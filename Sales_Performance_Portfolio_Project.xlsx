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Clean Data" sheetId="4" state="visible" r:id="rId4"/>
    <sheet xmlns:r="http://schemas.openxmlformats.org/officeDocument/2006/relationships" name="Monthly Analysis" sheetId="5" state="visible" r:id="rId5"/>
    <sheet xmlns:r="http://schemas.openxmlformats.org/officeDocument/2006/relationships" name="Category Analysis" sheetId="6" state="visible" r:id="rId6"/>
    <sheet xmlns:r="http://schemas.openxmlformats.org/officeDocument/2006/relationships" name="Region Analysis" sheetId="7" state="visible" r:id="rId7"/>
    <sheet xmlns:r="http://schemas.openxmlformats.org/officeDocument/2006/relationships" name="Methodology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mmm 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hair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Analysis'!$A$2:$A$13</f>
            </numRef>
          </cat>
          <val>
            <numRef>
              <f>'Monthly Analysis'!$B$2:$B$13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GHS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Analysis'!$A$2:$A$5</f>
            </numRef>
          </cat>
          <val>
            <numRef>
              <f>'Category 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GHS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Transactions" displayName="RawTransactions" ref="A1:L1202" headerRowCount="1">
  <autoFilter ref="A1:L1202"/>
  <tableColumns count="12">
    <tableColumn id="1" name="Order ID"/>
    <tableColumn id="2" name="Order Date"/>
    <tableColumn id="3" name="Product Category"/>
    <tableColumn id="4" name="Product"/>
    <tableColumn id="5" name="Region"/>
    <tableColumn id="6" name="Sales Channel"/>
    <tableColumn id="7" name="Customer Type"/>
    <tableColumn id="8" name="Quantity"/>
    <tableColumn id="9" name="Unit Price (GHS)"/>
    <tableColumn id="10" name="Unit Cost (GHS)"/>
    <tableColumn id="11" name="Discount Rate"/>
    <tableColumn id="12" name="Delivery Cost (GHS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Transactions" displayName="CleanTransactions" ref="A1:Q1201" headerRowCount="1">
  <autoFilter ref="A1:Q1201"/>
  <tableColumns count="17">
    <tableColumn id="1" name="Order ID"/>
    <tableColumn id="2" name="Order Date"/>
    <tableColumn id="3" name="Product Category"/>
    <tableColumn id="4" name="Product"/>
    <tableColumn id="5" name="Region"/>
    <tableColumn id="6" name="Sales Channel"/>
    <tableColumn id="7" name="Customer Type"/>
    <tableColumn id="8" name="Quantity"/>
    <tableColumn id="9" name="Unit Price (GHS)"/>
    <tableColumn id="10" name="Unit Cost (GHS)"/>
    <tableColumn id="11" name="Discount Rate"/>
    <tableColumn id="12" name="Delivery Cost (GHS)"/>
    <tableColumn id="13" name="Net Sales (GHS)"/>
    <tableColumn id="14" name="Product Cost (GHS)"/>
    <tableColumn id="15" name="Estimated Contribution (GHS)"/>
    <tableColumn id="16" name="Contribution Margin"/>
    <tableColumn id="17" name="Data Quality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8" customHeight="1">
      <c r="A1" s="1" t="inlineStr">
        <is>
          <t>SALES PERFORMANCE &amp; PROFITABILITY ANALYSIS</t>
        </is>
      </c>
      <c r="B1" s="1" t="n"/>
    </row>
    <row r="2">
      <c r="A2" s="2" t="inlineStr">
        <is>
          <t>Portfolio project | Simulated Ghanaian retail business | Microsoft Excel</t>
        </is>
      </c>
      <c r="B2" s="3" t="n"/>
    </row>
    <row r="3">
      <c r="A3" s="2" t="inlineStr">
        <is>
          <t>Purpose</t>
        </is>
      </c>
      <c r="B3" s="3" t="inlineStr">
        <is>
          <t>Demonstrate data cleaning, KPI calculation, PivotTable-style summaries, dashboarding, and business recommendations.</t>
        </is>
      </c>
    </row>
    <row r="4">
      <c r="A4" s="2" t="inlineStr">
        <is>
          <t>Important note</t>
        </is>
      </c>
      <c r="B4" s="3" t="inlineStr">
        <is>
          <t>All records are simulated for learning and portfolio demonstration. This is not real company data.</t>
        </is>
      </c>
    </row>
    <row r="5">
      <c r="A5" s="2" t="inlineStr">
        <is>
          <t>Workbook guide</t>
        </is>
      </c>
      <c r="B5" s="3" t="inlineStr">
        <is>
          <t>Raw Data: simulated transactions including deliberate data quality issues.</t>
        </is>
      </c>
    </row>
    <row r="6">
      <c r="A6" s="2" t="inlineStr"/>
      <c r="B6" s="3" t="inlineStr">
        <is>
          <t>Clean Data: corrected data and formula-driven KPIs.</t>
        </is>
      </c>
    </row>
    <row r="7">
      <c r="A7" s="2" t="inlineStr"/>
      <c r="B7" s="3" t="inlineStr">
        <is>
          <t>Monthly Analysis: monthly sales, estimated contribution, and order count.</t>
        </is>
      </c>
    </row>
    <row r="8">
      <c r="A8" s="2" t="inlineStr"/>
      <c r="B8" s="3" t="inlineStr">
        <is>
          <t>Category Analysis: sales and estimated contribution by product category.</t>
        </is>
      </c>
    </row>
    <row r="9">
      <c r="A9" s="2" t="inlineStr"/>
      <c r="B9" s="3" t="inlineStr">
        <is>
          <t>Region Analysis: sales and estimated contribution by region.</t>
        </is>
      </c>
    </row>
    <row r="10">
      <c r="A10" s="2" t="inlineStr"/>
      <c r="B10" s="3" t="inlineStr">
        <is>
          <t>Dashboard: management-facing KPIs and charts.</t>
        </is>
      </c>
    </row>
    <row r="11">
      <c r="A11" s="2" t="inlineStr"/>
      <c r="B11" s="3" t="inlineStr">
        <is>
          <t>Methodology: KPI definitions, assumptions and limitations.</t>
        </is>
      </c>
    </row>
    <row r="12">
      <c r="A12" s="2" t="inlineStr">
        <is>
          <t>Suggested workflow</t>
        </is>
      </c>
      <c r="B12" s="3" t="inlineStr">
        <is>
          <t>1. Review Raw Data. 2. Check Clean Data decisions. 3. Inspect KPI formulas. 4. Review analysis tabs. 5. Read dashboard and recommendations.</t>
        </is>
      </c>
    </row>
    <row r="13">
      <c r="A13" s="2" t="inlineStr">
        <is>
          <t>Definitions</t>
        </is>
      </c>
      <c r="B13" s="3" t="inlineStr">
        <is>
          <t>Net Sales = Quantity × Unit Price × (1 − Discount Rate).</t>
        </is>
      </c>
    </row>
    <row r="14">
      <c r="A14" s="2" t="inlineStr"/>
      <c r="B14" s="3" t="inlineStr">
        <is>
          <t>Product Cost = Quantity × Unit Cost.</t>
        </is>
      </c>
    </row>
    <row r="15">
      <c r="A15" s="2" t="inlineStr"/>
      <c r="B15" s="3" t="inlineStr">
        <is>
          <t>Estimated Contribution = Net Sales − Product Cost − Delivery Cost.</t>
        </is>
      </c>
    </row>
    <row r="16">
      <c r="A16" s="2" t="inlineStr"/>
      <c r="B16" s="3" t="inlineStr">
        <is>
          <t>Contribution Margin = Estimated Contribution ÷ Net Sales.</t>
        </is>
      </c>
    </row>
    <row r="17">
      <c r="A17" s="2" t="inlineStr">
        <is>
          <t>Limitations</t>
        </is>
      </c>
      <c r="B17" s="3" t="inlineStr">
        <is>
          <t>No overheads, taxes, returns, inventory holding costs, marketing costs, or payment fees are included. Contribution is not accounting profit.</t>
        </is>
      </c>
    </row>
    <row r="18">
      <c r="A18" s="2" t="inlineStr">
        <is>
          <t>Interview tip</t>
        </is>
      </c>
      <c r="B18" s="3" t="inlineStr">
        <is>
          <t>Be ready to explain how you cleaned data, why you chose each KPI, what the dashboard suggests, and what further data management should collect.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0" customWidth="1" min="10" max="10"/>
  </cols>
  <sheetData>
    <row r="1" ht="28" customHeight="1">
      <c r="A1" s="1" t="inlineStr">
        <is>
          <t>SALES PERFORMANCE DASHBOARD | SIMULATED DATA</t>
        </is>
      </c>
      <c r="B1" s="1" t="n"/>
      <c r="C1" s="1" t="n"/>
      <c r="D1" s="1" t="n"/>
      <c r="E1" s="1" t="n"/>
    </row>
    <row r="2">
      <c r="A2" s="3" t="inlineStr">
        <is>
          <t>Reporting period: Jan–Dec 2025 | Currency: GHS | Estimated contribution excludes overheads and other unrecorded costs</t>
        </is>
      </c>
      <c r="B2" s="3" t="n"/>
      <c r="C2" s="3" t="n"/>
      <c r="D2" s="3" t="n"/>
      <c r="E2" s="3" t="n"/>
    </row>
    <row r="3">
      <c r="A3" s="4" t="inlineStr">
        <is>
          <t>Total Net Sales (GHS)</t>
        </is>
      </c>
      <c r="B3" s="4" t="inlineStr">
        <is>
          <t>Estimated Contribution (GHS)</t>
        </is>
      </c>
      <c r="C3" s="4" t="inlineStr">
        <is>
          <t>Contribution Margin</t>
        </is>
      </c>
      <c r="D3" s="4" t="inlineStr">
        <is>
          <t>Transactions</t>
        </is>
      </c>
      <c r="E3" s="4" t="inlineStr">
        <is>
          <t>Units Sold</t>
        </is>
      </c>
    </row>
    <row r="4">
      <c r="A4" s="5">
        <f>'Monthly Analysis'!B2+'Monthly Analysis'!B3+'Monthly Analysis'!B4+'Monthly Analysis'!B5+'Monthly Analysis'!B6+'Monthly Analysis'!B7+'Monthly Analysis'!B8+'Monthly Analysis'!B9+'Monthly Analysis'!B10+'Monthly Analysis'!B11+'Monthly Analysis'!B12+'Monthly Analysis'!B13</f>
        <v/>
      </c>
      <c r="B4" s="5">
        <f>'Monthly Analysis'!C2+'Monthly Analysis'!C3+'Monthly Analysis'!C4+'Monthly Analysis'!C5+'Monthly Analysis'!C6+'Monthly Analysis'!C7+'Monthly Analysis'!C8+'Monthly Analysis'!C9+'Monthly Analysis'!C10+'Monthly Analysis'!C11+'Monthly Analysis'!C12+'Monthly Analysis'!C13</f>
        <v/>
      </c>
      <c r="C4" s="5">
        <f>IFERROR(B4/A4,0)</f>
        <v/>
      </c>
      <c r="D4" s="5">
        <f>SUM('Monthly Analysis'!D2:D13)</f>
        <v/>
      </c>
      <c r="E4" s="5">
        <f>SUM('Clean Data'!H2:H1201)</f>
        <v/>
      </c>
    </row>
    <row r="5">
      <c r="A5" s="3" t="inlineStr">
        <is>
          <t>Use the analysis tabs to investigate trends and compare product categories and regions.</t>
        </is>
      </c>
      <c r="B5" s="3" t="n"/>
      <c r="C5" s="3" t="n"/>
      <c r="D5" s="3" t="n"/>
      <c r="E5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8" customWidth="1" min="3" max="3"/>
    <col width="18" customWidth="1" min="4" max="4"/>
    <col width="15" customWidth="1" min="5" max="5"/>
    <col width="16" customWidth="1" min="6" max="6"/>
    <col width="15" customWidth="1" min="7" max="7"/>
    <col width="13" customWidth="1" min="8" max="8"/>
    <col width="18" customWidth="1" min="9" max="9"/>
    <col width="17" customWidth="1" min="10" max="10"/>
    <col width="15" customWidth="1" min="11" max="11"/>
    <col width="21" customWidth="1" min="12" max="12"/>
  </cols>
  <sheetData>
    <row r="1" ht="28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 Category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Sales Channel</t>
        </is>
      </c>
      <c r="G1" s="1" t="inlineStr">
        <is>
          <t>Customer Type</t>
        </is>
      </c>
      <c r="H1" s="1" t="inlineStr">
        <is>
          <t>Quantity</t>
        </is>
      </c>
      <c r="I1" s="1" t="inlineStr">
        <is>
          <t>Unit Price (GHS)</t>
        </is>
      </c>
      <c r="J1" s="1" t="inlineStr">
        <is>
          <t>Unit Cost (GHS)</t>
        </is>
      </c>
      <c r="K1" s="1" t="inlineStr">
        <is>
          <t>Discount Rate</t>
        </is>
      </c>
      <c r="L1" s="1" t="inlineStr">
        <is>
          <t>Delivery Cost (GHS)</t>
        </is>
      </c>
    </row>
    <row r="2">
      <c r="A2" s="3" t="inlineStr">
        <is>
          <t>ORD-10001</t>
        </is>
      </c>
      <c r="B2" s="6" t="n">
        <v>45769</v>
      </c>
      <c r="C2" s="3" t="inlineStr">
        <is>
          <t>Clothing</t>
        </is>
      </c>
      <c r="D2" s="3" t="inlineStr">
        <is>
          <t>Dresses</t>
        </is>
      </c>
      <c r="E2" s="3" t="inlineStr">
        <is>
          <t>Ashanti</t>
        </is>
      </c>
      <c r="F2" s="3" t="inlineStr">
        <is>
          <t>Online</t>
        </is>
      </c>
      <c r="G2" s="3" t="inlineStr">
        <is>
          <t>Returning</t>
        </is>
      </c>
      <c r="H2" s="3" t="n">
        <v>4</v>
      </c>
      <c r="I2" s="3" t="n">
        <v>150</v>
      </c>
      <c r="J2" s="3" t="n">
        <v>84.76000000000001</v>
      </c>
      <c r="K2" s="3" t="n">
        <v>0</v>
      </c>
      <c r="L2" s="3" t="n">
        <v>8.119999999999999</v>
      </c>
    </row>
    <row r="3">
      <c r="A3" s="3" t="inlineStr">
        <is>
          <t>ORD-10002</t>
        </is>
      </c>
      <c r="B3" s="6" t="n">
        <v>45899</v>
      </c>
      <c r="C3" s="3" t="inlineStr">
        <is>
          <t>Clothing</t>
        </is>
      </c>
      <c r="D3" s="3" t="inlineStr">
        <is>
          <t>Trousers</t>
        </is>
      </c>
      <c r="E3" s="3" t="inlineStr">
        <is>
          <t>Greater Accra</t>
        </is>
      </c>
      <c r="F3" s="3" t="inlineStr">
        <is>
          <t>Retail Shop</t>
        </is>
      </c>
      <c r="G3" s="3" t="inlineStr">
        <is>
          <t>Returning</t>
        </is>
      </c>
      <c r="H3" s="3" t="n">
        <v>1</v>
      </c>
      <c r="I3" s="3" t="n">
        <v>130</v>
      </c>
      <c r="J3" s="3" t="n">
        <v>73.8</v>
      </c>
      <c r="K3" s="3" t="n">
        <v>0</v>
      </c>
      <c r="L3" s="3" t="n">
        <v>3.84</v>
      </c>
    </row>
    <row r="4">
      <c r="A4" s="3" t="inlineStr">
        <is>
          <t>ORD-10003</t>
        </is>
      </c>
      <c r="B4" s="6" t="n">
        <v>45801</v>
      </c>
      <c r="C4" s="3" t="inlineStr">
        <is>
          <t>Home &amp; Lifestyle</t>
        </is>
      </c>
      <c r="D4" s="3" t="inlineStr">
        <is>
          <t>Small Home Goods</t>
        </is>
      </c>
      <c r="E4" s="3" t="inlineStr">
        <is>
          <t>Ashanti</t>
        </is>
      </c>
      <c r="F4" s="3" t="inlineStr">
        <is>
          <t>Retail Shop</t>
        </is>
      </c>
      <c r="G4" s="3" t="inlineStr">
        <is>
          <t>Returning</t>
        </is>
      </c>
      <c r="H4" s="3" t="n">
        <v>4</v>
      </c>
      <c r="I4" s="3" t="n">
        <v>130</v>
      </c>
      <c r="J4" s="3" t="n">
        <v>70.56</v>
      </c>
      <c r="K4" s="3" t="n">
        <v>0</v>
      </c>
      <c r="L4" s="3" t="n">
        <v>10.95</v>
      </c>
    </row>
    <row r="5">
      <c r="A5" s="3" t="inlineStr">
        <is>
          <t>ORD-10004</t>
        </is>
      </c>
      <c r="B5" s="6" t="n">
        <v>45971</v>
      </c>
      <c r="C5" s="3" t="inlineStr">
        <is>
          <t>Accessories</t>
        </is>
      </c>
      <c r="D5" s="3" t="inlineStr">
        <is>
          <t>Watches</t>
        </is>
      </c>
      <c r="E5" s="3" t="inlineStr">
        <is>
          <t>Northern</t>
        </is>
      </c>
      <c r="F5" s="3" t="inlineStr">
        <is>
          <t>Phone/WhatsApp</t>
        </is>
      </c>
      <c r="G5" s="3" t="inlineStr">
        <is>
          <t>New</t>
        </is>
      </c>
      <c r="H5" s="3" t="n">
        <v>3</v>
      </c>
      <c r="I5" s="3" t="n">
        <v>80</v>
      </c>
      <c r="J5" s="3" t="n">
        <v>37.41</v>
      </c>
      <c r="K5" s="3" t="n">
        <v>0.05</v>
      </c>
      <c r="L5" s="3" t="n">
        <v>22.63</v>
      </c>
    </row>
    <row r="6">
      <c r="A6" s="3" t="inlineStr">
        <is>
          <t>ORD-10005</t>
        </is>
      </c>
      <c r="B6" s="6" t="n">
        <v>45898</v>
      </c>
      <c r="C6" s="3" t="inlineStr">
        <is>
          <t>Home &amp; Lifestyle</t>
        </is>
      </c>
      <c r="D6" s="3" t="inlineStr">
        <is>
          <t>Travel Mugs</t>
        </is>
      </c>
      <c r="E6" s="3" t="inlineStr">
        <is>
          <t>Greater Accra</t>
        </is>
      </c>
      <c r="F6" s="3" t="inlineStr">
        <is>
          <t>Retail Shop</t>
        </is>
      </c>
      <c r="G6" s="3" t="inlineStr">
        <is>
          <t>Returning</t>
        </is>
      </c>
      <c r="H6" s="3" t="n">
        <v>2</v>
      </c>
      <c r="I6" s="3" t="n">
        <v>90</v>
      </c>
      <c r="J6" s="3" t="n">
        <v>46.61</v>
      </c>
      <c r="K6" s="3" t="n">
        <v>0</v>
      </c>
      <c r="L6" s="3" t="n">
        <v>9.33</v>
      </c>
    </row>
    <row r="7">
      <c r="A7" s="3" t="inlineStr">
        <is>
          <t>ORD-10006</t>
        </is>
      </c>
      <c r="B7" s="6" t="n">
        <v>45936</v>
      </c>
      <c r="C7" s="3" t="inlineStr">
        <is>
          <t>Clothing</t>
        </is>
      </c>
      <c r="D7" s="3" t="inlineStr">
        <is>
          <t>Trousers</t>
        </is>
      </c>
      <c r="E7" s="3" t="inlineStr">
        <is>
          <t>Ashanti</t>
        </is>
      </c>
      <c r="F7" s="3" t="inlineStr">
        <is>
          <t>Phone/WhatsApp</t>
        </is>
      </c>
      <c r="G7" s="3" t="inlineStr">
        <is>
          <t>Returning</t>
        </is>
      </c>
      <c r="H7" s="3" t="n">
        <v>3</v>
      </c>
      <c r="I7" s="3" t="n">
        <v>110</v>
      </c>
      <c r="J7" s="3" t="n">
        <v>55.82</v>
      </c>
      <c r="K7" s="3" t="n">
        <v>0.05</v>
      </c>
      <c r="L7" s="3" t="n">
        <v>37.45</v>
      </c>
    </row>
    <row r="8">
      <c r="A8" s="3" t="inlineStr">
        <is>
          <t>ORD-10007</t>
        </is>
      </c>
      <c r="B8" s="6" t="n">
        <v>45689</v>
      </c>
      <c r="C8" s="3" t="inlineStr">
        <is>
          <t>Home &amp; Lifestyle</t>
        </is>
      </c>
      <c r="D8" s="3" t="inlineStr">
        <is>
          <t>Backpacks</t>
        </is>
      </c>
      <c r="E8" s="3" t="inlineStr">
        <is>
          <t>Greater Accra</t>
        </is>
      </c>
      <c r="F8" s="3" t="inlineStr">
        <is>
          <t>Retail Shop</t>
        </is>
      </c>
      <c r="G8" s="3" t="inlineStr">
        <is>
          <t>Returning</t>
        </is>
      </c>
      <c r="H8" s="3" t="n">
        <v>2</v>
      </c>
      <c r="I8" s="3" t="n">
        <v>200</v>
      </c>
      <c r="J8" s="3" t="n">
        <v>103.12</v>
      </c>
      <c r="K8" s="3" t="n">
        <v>0</v>
      </c>
      <c r="L8" s="3" t="n">
        <v>8.800000000000001</v>
      </c>
    </row>
    <row r="9">
      <c r="A9" s="3" t="inlineStr">
        <is>
          <t>ORD-10008</t>
        </is>
      </c>
      <c r="B9" s="6" t="n">
        <v>45982</v>
      </c>
      <c r="C9" s="3" t="inlineStr">
        <is>
          <t>Clothing</t>
        </is>
      </c>
      <c r="D9" s="3" t="inlineStr">
        <is>
          <t>Dresses</t>
        </is>
      </c>
      <c r="E9" s="3" t="inlineStr">
        <is>
          <t>Ashanti</t>
        </is>
      </c>
      <c r="F9" s="3" t="inlineStr">
        <is>
          <t>Phone/WhatsApp</t>
        </is>
      </c>
      <c r="G9" s="3" t="inlineStr">
        <is>
          <t>Returning</t>
        </is>
      </c>
      <c r="H9" s="3" t="n">
        <v>3</v>
      </c>
      <c r="I9" s="3" t="n">
        <v>230</v>
      </c>
      <c r="J9" s="3" t="n">
        <v>122.39</v>
      </c>
      <c r="K9" s="3" t="n">
        <v>0.15</v>
      </c>
      <c r="L9" s="3" t="n">
        <v>30.18</v>
      </c>
    </row>
    <row r="10">
      <c r="A10" s="3" t="inlineStr">
        <is>
          <t>ORD-10009</t>
        </is>
      </c>
      <c r="B10" s="6" t="n">
        <v>45697</v>
      </c>
      <c r="C10" s="3" t="inlineStr">
        <is>
          <t>Accessories</t>
        </is>
      </c>
      <c r="D10" s="3" t="inlineStr">
        <is>
          <t>Bags</t>
        </is>
      </c>
      <c r="E10" s="3" t="inlineStr">
        <is>
          <t>Ashanti</t>
        </is>
      </c>
      <c r="F10" s="3" t="inlineStr">
        <is>
          <t>Retail Shop</t>
        </is>
      </c>
      <c r="G10" s="3" t="inlineStr">
        <is>
          <t>Returning</t>
        </is>
      </c>
      <c r="H10" s="3" t="n">
        <v>3</v>
      </c>
      <c r="I10" s="3" t="n">
        <v>85</v>
      </c>
      <c r="J10" s="3" t="n">
        <v>37.84</v>
      </c>
      <c r="K10" s="3" t="n">
        <v>0</v>
      </c>
      <c r="L10" s="3" t="n">
        <v>9.33</v>
      </c>
    </row>
    <row r="11">
      <c r="A11" s="3" t="inlineStr">
        <is>
          <t>ORD-10010</t>
        </is>
      </c>
      <c r="B11" s="6" t="n">
        <v>45665</v>
      </c>
      <c r="C11" s="3" t="inlineStr">
        <is>
          <t>Clothing</t>
        </is>
      </c>
      <c r="D11" s="3" t="inlineStr">
        <is>
          <t>Dresses</t>
        </is>
      </c>
      <c r="E11" s="3" t="inlineStr">
        <is>
          <t>Ashanti</t>
        </is>
      </c>
      <c r="F11" s="3" t="inlineStr">
        <is>
          <t>Retail Shop</t>
        </is>
      </c>
      <c r="G11" s="3" t="inlineStr">
        <is>
          <t>Returning</t>
        </is>
      </c>
      <c r="H11" s="3" t="n">
        <v>1</v>
      </c>
      <c r="I11" s="3" t="n">
        <v>135</v>
      </c>
      <c r="J11" s="3" t="n">
        <v>67.51000000000001</v>
      </c>
      <c r="K11" s="3" t="n">
        <v>0.05</v>
      </c>
      <c r="L11" s="3" t="n">
        <v>8.18</v>
      </c>
    </row>
    <row r="12">
      <c r="A12" s="3" t="inlineStr">
        <is>
          <t>ORD-10011</t>
        </is>
      </c>
      <c r="B12" s="6" t="n">
        <v>45896</v>
      </c>
      <c r="C12" s="3" t="inlineStr">
        <is>
          <t>Footwear</t>
        </is>
      </c>
      <c r="D12" s="3" t="inlineStr">
        <is>
          <t>Boots</t>
        </is>
      </c>
      <c r="E12" s="3" t="inlineStr">
        <is>
          <t>Greater Accra</t>
        </is>
      </c>
      <c r="F12" s="3" t="inlineStr">
        <is>
          <t>Retail Shop</t>
        </is>
      </c>
      <c r="G12" s="3" t="inlineStr">
        <is>
          <t>Returning</t>
        </is>
      </c>
      <c r="H12" s="3" t="n">
        <v>1</v>
      </c>
      <c r="I12" s="3" t="n">
        <v>420</v>
      </c>
      <c r="J12" s="3" t="n">
        <v>252.42</v>
      </c>
      <c r="K12" s="3" t="n">
        <v>0</v>
      </c>
      <c r="L12" s="3" t="n">
        <v>3.68</v>
      </c>
    </row>
    <row r="13">
      <c r="A13" s="3" t="inlineStr">
        <is>
          <t>ORD-10012</t>
        </is>
      </c>
      <c r="B13" s="6" t="n">
        <v>45675</v>
      </c>
      <c r="C13" s="3" t="inlineStr">
        <is>
          <t>Accessories</t>
        </is>
      </c>
      <c r="D13" s="3" t="inlineStr">
        <is>
          <t>Belts</t>
        </is>
      </c>
      <c r="E13" s="3" t="inlineStr">
        <is>
          <t>Greater Accra</t>
        </is>
      </c>
      <c r="F13" s="3" t="inlineStr">
        <is>
          <t>Online</t>
        </is>
      </c>
      <c r="G13" s="3" t="inlineStr">
        <is>
          <t>Returning</t>
        </is>
      </c>
      <c r="H13" s="3" t="n">
        <v>4</v>
      </c>
      <c r="I13" s="3" t="n">
        <v>180</v>
      </c>
      <c r="J13" s="3" t="n">
        <v>77.34</v>
      </c>
      <c r="K13" s="3" t="n">
        <v>0</v>
      </c>
      <c r="L13" s="3" t="n">
        <v>30.41</v>
      </c>
    </row>
    <row r="14">
      <c r="A14" s="3" t="inlineStr">
        <is>
          <t>ORD-10013</t>
        </is>
      </c>
      <c r="B14" s="6" t="n">
        <v>45699</v>
      </c>
      <c r="C14" s="3" t="inlineStr">
        <is>
          <t>Clothing</t>
        </is>
      </c>
      <c r="D14" s="3" t="inlineStr">
        <is>
          <t>Dresses</t>
        </is>
      </c>
      <c r="E14" s="3" t="inlineStr">
        <is>
          <t>Greater Accra</t>
        </is>
      </c>
      <c r="F14" s="3" t="inlineStr">
        <is>
          <t>Online</t>
        </is>
      </c>
      <c r="G14" s="3" t="inlineStr">
        <is>
          <t>Returning</t>
        </is>
      </c>
      <c r="H14" s="3" t="n">
        <v>4</v>
      </c>
      <c r="I14" s="3" t="n">
        <v>300</v>
      </c>
      <c r="J14" s="3" t="n">
        <v>154.08</v>
      </c>
      <c r="K14" s="3" t="n">
        <v>0.05</v>
      </c>
      <c r="L14" s="3" t="n">
        <v>14.88</v>
      </c>
    </row>
    <row r="15">
      <c r="A15" s="3" t="inlineStr">
        <is>
          <t>ORD-10014</t>
        </is>
      </c>
      <c r="B15" s="6" t="n">
        <v>45842</v>
      </c>
      <c r="C15" s="3" t="inlineStr">
        <is>
          <t>Clothing</t>
        </is>
      </c>
      <c r="D15" s="3" t="inlineStr">
        <is>
          <t>Jackets</t>
        </is>
      </c>
      <c r="E15" s="3" t="inlineStr">
        <is>
          <t>Western</t>
        </is>
      </c>
      <c r="F15" s="3" t="inlineStr">
        <is>
          <t>Retail Shop</t>
        </is>
      </c>
      <c r="G15" s="3" t="inlineStr">
        <is>
          <t>New</t>
        </is>
      </c>
      <c r="H15" s="3" t="n">
        <v>5</v>
      </c>
      <c r="I15" s="3" t="n">
        <v>105</v>
      </c>
      <c r="J15" s="3" t="n">
        <v>60.36</v>
      </c>
      <c r="K15" s="3" t="n">
        <v>0</v>
      </c>
      <c r="L15" s="3" t="n">
        <v>8.42</v>
      </c>
    </row>
    <row r="16">
      <c r="A16" s="3" t="inlineStr">
        <is>
          <t>ORD-10015</t>
        </is>
      </c>
      <c r="B16" s="6" t="n">
        <v>45924</v>
      </c>
      <c r="C16" s="3" t="inlineStr">
        <is>
          <t>Clothing</t>
        </is>
      </c>
      <c r="D16" s="3" t="inlineStr">
        <is>
          <t>Dresses</t>
        </is>
      </c>
      <c r="E16" s="3" t="inlineStr">
        <is>
          <t>Greater Accra</t>
        </is>
      </c>
      <c r="F16" s="3" t="inlineStr">
        <is>
          <t>Phone/WhatsApp</t>
        </is>
      </c>
      <c r="G16" s="3" t="inlineStr">
        <is>
          <t>New</t>
        </is>
      </c>
      <c r="H16" s="3" t="n">
        <v>1</v>
      </c>
      <c r="I16" s="3" t="n">
        <v>140</v>
      </c>
      <c r="J16" s="3" t="n">
        <v>67.2</v>
      </c>
      <c r="K16" s="3" t="n">
        <v>0</v>
      </c>
      <c r="L16" s="3" t="n">
        <v>41.15</v>
      </c>
    </row>
    <row r="17">
      <c r="A17" s="3" t="inlineStr">
        <is>
          <t>ORD-10016</t>
        </is>
      </c>
      <c r="B17" s="6" t="n">
        <v>45789</v>
      </c>
      <c r="C17" s="3" t="inlineStr">
        <is>
          <t>Clothing</t>
        </is>
      </c>
      <c r="D17" s="3" t="inlineStr">
        <is>
          <t>Shirts</t>
        </is>
      </c>
      <c r="E17" s="3" t="inlineStr">
        <is>
          <t>Ashanti</t>
        </is>
      </c>
      <c r="F17" s="3" t="inlineStr">
        <is>
          <t>Online</t>
        </is>
      </c>
      <c r="G17" s="3" t="inlineStr">
        <is>
          <t>New</t>
        </is>
      </c>
      <c r="H17" s="3" t="n">
        <v>1</v>
      </c>
      <c r="I17" s="3" t="n">
        <v>160</v>
      </c>
      <c r="J17" s="3" t="n">
        <v>74.83</v>
      </c>
      <c r="K17" s="3" t="n">
        <v>0.15</v>
      </c>
      <c r="L17" s="3" t="n">
        <v>31.76</v>
      </c>
    </row>
    <row r="18">
      <c r="A18" s="3" t="inlineStr">
        <is>
          <t>ORD-10017</t>
        </is>
      </c>
      <c r="B18" s="6" t="n">
        <v>45977</v>
      </c>
      <c r="C18" s="3" t="inlineStr">
        <is>
          <t>Footwear</t>
        </is>
      </c>
      <c r="D18" s="3" t="inlineStr">
        <is>
          <t>Sandals</t>
        </is>
      </c>
      <c r="E18" s="3" t="inlineStr">
        <is>
          <t>Northern</t>
        </is>
      </c>
      <c r="F18" s="3" t="inlineStr">
        <is>
          <t>Retail Shop</t>
        </is>
      </c>
      <c r="G18" s="3" t="inlineStr">
        <is>
          <t>New</t>
        </is>
      </c>
      <c r="H18" s="3" t="n">
        <v>2</v>
      </c>
      <c r="I18" s="3" t="n">
        <v>380</v>
      </c>
      <c r="J18" s="3" t="n">
        <v>228.53</v>
      </c>
      <c r="K18" s="3" t="n">
        <v>0</v>
      </c>
      <c r="L18" s="3" t="n">
        <v>3.85</v>
      </c>
    </row>
    <row r="19">
      <c r="A19" s="3" t="inlineStr">
        <is>
          <t>ORD-10018</t>
        </is>
      </c>
      <c r="B19" s="6" t="n">
        <v>45920</v>
      </c>
      <c r="C19" s="3" t="inlineStr">
        <is>
          <t>Accessories</t>
        </is>
      </c>
      <c r="D19" s="3" t="inlineStr">
        <is>
          <t>Watches</t>
        </is>
      </c>
      <c r="E19" s="3" t="inlineStr">
        <is>
          <t>Central</t>
        </is>
      </c>
      <c r="F19" s="3" t="inlineStr">
        <is>
          <t>Online</t>
        </is>
      </c>
      <c r="G19" s="3" t="inlineStr">
        <is>
          <t>New</t>
        </is>
      </c>
      <c r="H19" s="3" t="n">
        <v>4</v>
      </c>
      <c r="I19" s="3" t="n">
        <v>185</v>
      </c>
      <c r="J19" s="3" t="n">
        <v>89.31999999999999</v>
      </c>
      <c r="K19" s="3" t="n">
        <v>0</v>
      </c>
      <c r="L19" s="3" t="n">
        <v>29.44</v>
      </c>
    </row>
    <row r="20">
      <c r="A20" s="3" t="inlineStr">
        <is>
          <t>ORD-10019</t>
        </is>
      </c>
      <c r="B20" s="6" t="n">
        <v>45824</v>
      </c>
      <c r="C20" s="3" t="inlineStr">
        <is>
          <t>Footwear</t>
        </is>
      </c>
      <c r="D20" s="3" t="inlineStr">
        <is>
          <t>Sandals</t>
        </is>
      </c>
      <c r="E20" s="3" t="inlineStr">
        <is>
          <t>Central</t>
        </is>
      </c>
      <c r="F20" s="3" t="inlineStr">
        <is>
          <t>Retail Shop</t>
        </is>
      </c>
      <c r="G20" s="3" t="inlineStr">
        <is>
          <t>Returning</t>
        </is>
      </c>
      <c r="H20" s="3" t="n">
        <v>3</v>
      </c>
      <c r="I20" s="3" t="n">
        <v>270</v>
      </c>
      <c r="J20" s="3" t="n">
        <v>170.84</v>
      </c>
      <c r="K20" s="3" t="n">
        <v>0.05</v>
      </c>
      <c r="L20" s="3" t="n">
        <v>2.64</v>
      </c>
    </row>
    <row r="21">
      <c r="A21" s="3" t="inlineStr">
        <is>
          <t>ORD-10020</t>
        </is>
      </c>
      <c r="B21" s="6" t="n">
        <v>45955</v>
      </c>
      <c r="C21" s="3" t="inlineStr">
        <is>
          <t>Footwear</t>
        </is>
      </c>
      <c r="D21" s="3" t="inlineStr">
        <is>
          <t>Formal Shoes</t>
        </is>
      </c>
      <c r="E21" s="3" t="inlineStr">
        <is>
          <t>Ashanti</t>
        </is>
      </c>
      <c r="F21" s="3" t="inlineStr">
        <is>
          <t>Phone/WhatsApp</t>
        </is>
      </c>
      <c r="G21" s="3" t="inlineStr">
        <is>
          <t>Returning</t>
        </is>
      </c>
      <c r="H21" s="3" t="n">
        <v>2</v>
      </c>
      <c r="I21" s="3" t="n">
        <v>290</v>
      </c>
      <c r="J21" s="3" t="n">
        <v>161.03</v>
      </c>
      <c r="K21" s="3" t="n">
        <v>0</v>
      </c>
      <c r="L21" s="3" t="n">
        <v>22.34</v>
      </c>
    </row>
    <row r="22">
      <c r="A22" s="3" t="inlineStr">
        <is>
          <t>ORD-10021</t>
        </is>
      </c>
      <c r="B22" s="6" t="n">
        <v>45843</v>
      </c>
      <c r="C22" s="3" t="inlineStr">
        <is>
          <t>Home &amp; Lifestyle</t>
        </is>
      </c>
      <c r="D22" s="3" t="inlineStr">
        <is>
          <t>Backpacks</t>
        </is>
      </c>
      <c r="E22" s="3" t="inlineStr">
        <is>
          <t>Greater Accra</t>
        </is>
      </c>
      <c r="F22" s="3" t="inlineStr">
        <is>
          <t>Retail Shop</t>
        </is>
      </c>
      <c r="G22" s="3" t="inlineStr">
        <is>
          <t>New</t>
        </is>
      </c>
      <c r="H22" s="3" t="n">
        <v>3</v>
      </c>
      <c r="I22" s="3" t="n">
        <v>170</v>
      </c>
      <c r="J22" s="3" t="n">
        <v>82.45</v>
      </c>
      <c r="K22" s="3" t="n">
        <v>0</v>
      </c>
      <c r="L22" s="3" t="n">
        <v>10.72</v>
      </c>
    </row>
    <row r="23">
      <c r="A23" s="3" t="inlineStr">
        <is>
          <t>ORD-10022</t>
        </is>
      </c>
      <c r="B23" s="6" t="n">
        <v>45688</v>
      </c>
      <c r="C23" s="3" t="inlineStr">
        <is>
          <t>Footwear</t>
        </is>
      </c>
      <c r="D23" s="3" t="inlineStr">
        <is>
          <t>Sneakers</t>
        </is>
      </c>
      <c r="E23" s="3" t="inlineStr">
        <is>
          <t>Ashanti</t>
        </is>
      </c>
      <c r="F23" s="3" t="inlineStr">
        <is>
          <t>Online</t>
        </is>
      </c>
      <c r="G23" s="3" t="inlineStr">
        <is>
          <t>Returning</t>
        </is>
      </c>
      <c r="H23" s="3" t="n">
        <v>2</v>
      </c>
      <c r="I23" s="3" t="n">
        <v>235</v>
      </c>
      <c r="J23" s="3" t="n">
        <v>123.06</v>
      </c>
      <c r="K23" s="3" t="n">
        <v>0.1</v>
      </c>
      <c r="L23" s="3" t="n">
        <v>12.79</v>
      </c>
    </row>
    <row r="24">
      <c r="A24" s="3" t="inlineStr">
        <is>
          <t>ORD-10023</t>
        </is>
      </c>
      <c r="B24" s="6" t="n">
        <v>45931</v>
      </c>
      <c r="C24" s="3" t="inlineStr">
        <is>
          <t>Footwear</t>
        </is>
      </c>
      <c r="D24" s="3" t="inlineStr">
        <is>
          <t>Boots</t>
        </is>
      </c>
      <c r="E24" s="3" t="inlineStr">
        <is>
          <t>Ashanti</t>
        </is>
      </c>
      <c r="F24" s="3" t="inlineStr">
        <is>
          <t>Online</t>
        </is>
      </c>
      <c r="G24" s="3" t="inlineStr">
        <is>
          <t>New</t>
        </is>
      </c>
      <c r="H24" s="3" t="n">
        <v>1</v>
      </c>
      <c r="I24" s="3" t="n">
        <v>220</v>
      </c>
      <c r="J24" s="3" t="n">
        <v>121.22</v>
      </c>
      <c r="K24" s="3" t="n">
        <v>0</v>
      </c>
      <c r="L24" s="3" t="n">
        <v>40.98</v>
      </c>
    </row>
    <row r="25">
      <c r="A25" s="3" t="inlineStr">
        <is>
          <t>ORD-10024</t>
        </is>
      </c>
      <c r="B25" s="6" t="n">
        <v>45895</v>
      </c>
      <c r="C25" s="3" t="inlineStr">
        <is>
          <t>Accessories</t>
        </is>
      </c>
      <c r="D25" s="3" t="inlineStr">
        <is>
          <t>Bags</t>
        </is>
      </c>
      <c r="E25" s="3" t="inlineStr">
        <is>
          <t>Greater Accra</t>
        </is>
      </c>
      <c r="F25" s="3" t="inlineStr">
        <is>
          <t>Phone/WhatsApp</t>
        </is>
      </c>
      <c r="G25" s="3" t="inlineStr">
        <is>
          <t>Returning</t>
        </is>
      </c>
      <c r="H25" s="3" t="n">
        <v>2</v>
      </c>
      <c r="I25" s="3" t="n">
        <v>95</v>
      </c>
      <c r="J25" s="3" t="n">
        <v>44.71</v>
      </c>
      <c r="K25" s="3" t="n">
        <v>0.1</v>
      </c>
      <c r="L25" s="3" t="n">
        <v>43.48</v>
      </c>
    </row>
    <row r="26">
      <c r="A26" s="3" t="inlineStr">
        <is>
          <t>ORD-10025</t>
        </is>
      </c>
      <c r="B26" s="6" t="n">
        <v>45887</v>
      </c>
      <c r="C26" s="3" t="inlineStr">
        <is>
          <t>Footwear</t>
        </is>
      </c>
      <c r="D26" s="3" t="inlineStr">
        <is>
          <t>Formal Shoes</t>
        </is>
      </c>
      <c r="E26" s="3" t="inlineStr">
        <is>
          <t>Ashanti</t>
        </is>
      </c>
      <c r="F26" s="3" t="inlineStr">
        <is>
          <t>Retail Shop</t>
        </is>
      </c>
      <c r="G26" s="3" t="inlineStr">
        <is>
          <t>Returning</t>
        </is>
      </c>
      <c r="H26" s="3" t="n">
        <v>10</v>
      </c>
      <c r="I26" s="3" t="n">
        <v>350</v>
      </c>
      <c r="J26" s="3" t="n">
        <v>220.89</v>
      </c>
      <c r="K26" s="3" t="n">
        <v>0.15</v>
      </c>
      <c r="L26" s="3" t="n">
        <v>3.07</v>
      </c>
    </row>
    <row r="27">
      <c r="A27" s="3" t="inlineStr">
        <is>
          <t>ORD-10026</t>
        </is>
      </c>
      <c r="B27" s="6" t="n">
        <v>45690</v>
      </c>
      <c r="C27" s="3" t="inlineStr">
        <is>
          <t>Home &amp; Lifestyle</t>
        </is>
      </c>
      <c r="D27" s="3" t="inlineStr">
        <is>
          <t>Travel Mugs</t>
        </is>
      </c>
      <c r="E27" s="3" t="inlineStr">
        <is>
          <t>Western</t>
        </is>
      </c>
      <c r="F27" s="3" t="inlineStr">
        <is>
          <t>Retail Shop</t>
        </is>
      </c>
      <c r="G27" s="3" t="inlineStr">
        <is>
          <t>Returning</t>
        </is>
      </c>
      <c r="H27" s="3" t="n">
        <v>1</v>
      </c>
      <c r="I27" s="3" t="n">
        <v>90</v>
      </c>
      <c r="J27" s="3" t="n">
        <v>44.35</v>
      </c>
      <c r="K27" s="3" t="n">
        <v>0</v>
      </c>
      <c r="L27" s="3" t="n">
        <v>2.51</v>
      </c>
    </row>
    <row r="28">
      <c r="A28" s="3" t="inlineStr">
        <is>
          <t>ORD-10027</t>
        </is>
      </c>
      <c r="B28" s="6" t="n">
        <v>45975</v>
      </c>
      <c r="C28" s="3" t="inlineStr">
        <is>
          <t>Footwear</t>
        </is>
      </c>
      <c r="D28" s="3" t="inlineStr">
        <is>
          <t>Sandals</t>
        </is>
      </c>
      <c r="E28" s="3" t="inlineStr">
        <is>
          <t>Northern</t>
        </is>
      </c>
      <c r="F28" s="3" t="inlineStr">
        <is>
          <t>Online</t>
        </is>
      </c>
      <c r="G28" s="3" t="inlineStr">
        <is>
          <t>New</t>
        </is>
      </c>
      <c r="H28" s="3" t="n">
        <v>1</v>
      </c>
      <c r="I28" s="3" t="n">
        <v>470</v>
      </c>
      <c r="J28" s="3" t="n">
        <v>262.75</v>
      </c>
      <c r="K28" s="3" t="n">
        <v>0</v>
      </c>
      <c r="L28" s="3" t="n">
        <v>41.07</v>
      </c>
    </row>
    <row r="29">
      <c r="A29" s="3" t="inlineStr">
        <is>
          <t>ORD-10028</t>
        </is>
      </c>
      <c r="B29" s="6" t="n">
        <v>45824</v>
      </c>
      <c r="C29" s="3" t="inlineStr">
        <is>
          <t>Clothing</t>
        </is>
      </c>
      <c r="D29" s="3" t="inlineStr">
        <is>
          <t>Jackets</t>
        </is>
      </c>
      <c r="E29" s="3" t="inlineStr">
        <is>
          <t>Greater Accra</t>
        </is>
      </c>
      <c r="F29" s="3" t="inlineStr">
        <is>
          <t>Online</t>
        </is>
      </c>
      <c r="G29" s="3" t="inlineStr">
        <is>
          <t>Returning</t>
        </is>
      </c>
      <c r="H29" s="3" t="n">
        <v>2</v>
      </c>
      <c r="I29" s="3" t="n">
        <v>245</v>
      </c>
      <c r="J29" s="3" t="n">
        <v>118.97</v>
      </c>
      <c r="K29" s="3" t="n">
        <v>0</v>
      </c>
      <c r="L29" s="3" t="n">
        <v>16.33</v>
      </c>
    </row>
    <row r="30">
      <c r="A30" s="3" t="inlineStr">
        <is>
          <t>ORD-10029</t>
        </is>
      </c>
      <c r="B30" s="6" t="n">
        <v>45660</v>
      </c>
      <c r="C30" s="3" t="inlineStr">
        <is>
          <t>Home &amp; Lifestyle</t>
        </is>
      </c>
      <c r="D30" s="3" t="inlineStr">
        <is>
          <t>Backpacks</t>
        </is>
      </c>
      <c r="E30" s="3" t="inlineStr">
        <is>
          <t>Greater Accra</t>
        </is>
      </c>
      <c r="F30" s="3" t="inlineStr">
        <is>
          <t>Phone/WhatsApp</t>
        </is>
      </c>
      <c r="G30" s="3" t="inlineStr">
        <is>
          <t>Returning</t>
        </is>
      </c>
      <c r="H30" s="3" t="n">
        <v>3</v>
      </c>
      <c r="I30" s="3" t="n">
        <v>130</v>
      </c>
      <c r="J30" s="3" t="n">
        <v>66</v>
      </c>
      <c r="K30" s="3" t="n">
        <v>0</v>
      </c>
      <c r="L30" s="3" t="n">
        <v>10.37</v>
      </c>
    </row>
    <row r="31">
      <c r="A31" s="3" t="inlineStr">
        <is>
          <t>ORD-10030</t>
        </is>
      </c>
      <c r="B31" s="6" t="n">
        <v>45702</v>
      </c>
      <c r="C31" s="3" t="inlineStr">
        <is>
          <t>Footwear</t>
        </is>
      </c>
      <c r="D31" s="3" t="inlineStr">
        <is>
          <t>Sneakers</t>
        </is>
      </c>
      <c r="E31" s="3" t="inlineStr">
        <is>
          <t>Northern</t>
        </is>
      </c>
      <c r="F31" s="3" t="inlineStr">
        <is>
          <t>Retail Shop</t>
        </is>
      </c>
      <c r="G31" s="3" t="inlineStr">
        <is>
          <t>Returning</t>
        </is>
      </c>
      <c r="H31" s="3" t="n">
        <v>3</v>
      </c>
      <c r="I31" s="3" t="n">
        <v>260</v>
      </c>
      <c r="J31" s="3" t="n">
        <v>156.08</v>
      </c>
      <c r="K31" s="3" t="n">
        <v>0.1</v>
      </c>
      <c r="L31" s="3" t="n">
        <v>3.44</v>
      </c>
    </row>
    <row r="32">
      <c r="A32" s="3" t="inlineStr">
        <is>
          <t>ORD-10031</t>
        </is>
      </c>
      <c r="B32" s="6" t="n">
        <v>45799</v>
      </c>
      <c r="C32" s="3" t="inlineStr">
        <is>
          <t>Clothing</t>
        </is>
      </c>
      <c r="D32" s="3" t="inlineStr">
        <is>
          <t>Jackets</t>
        </is>
      </c>
      <c r="E32" s="3" t="inlineStr">
        <is>
          <t>Ashanti</t>
        </is>
      </c>
      <c r="F32" s="3" t="inlineStr">
        <is>
          <t>Phone/WhatsApp</t>
        </is>
      </c>
      <c r="G32" s="3" t="inlineStr">
        <is>
          <t>Returning</t>
        </is>
      </c>
      <c r="H32" s="3" t="n">
        <v>1</v>
      </c>
      <c r="I32" s="3" t="n">
        <v>180</v>
      </c>
      <c r="J32" s="3" t="n">
        <v>82.76000000000001</v>
      </c>
      <c r="K32" s="3" t="n">
        <v>0.1</v>
      </c>
      <c r="L32" s="3" t="n">
        <v>35.45</v>
      </c>
    </row>
    <row r="33">
      <c r="A33" s="3" t="inlineStr">
        <is>
          <t>ORD-10032</t>
        </is>
      </c>
      <c r="B33" s="6" t="n">
        <v>45714</v>
      </c>
      <c r="C33" s="3" t="inlineStr">
        <is>
          <t>Home &amp; Lifestyle</t>
        </is>
      </c>
      <c r="D33" s="3" t="inlineStr">
        <is>
          <t>Small Home Goods</t>
        </is>
      </c>
      <c r="E33" s="3" t="n">
        <v/>
      </c>
      <c r="F33" s="3" t="inlineStr">
        <is>
          <t>Retail Shop</t>
        </is>
      </c>
      <c r="G33" s="3" t="inlineStr">
        <is>
          <t>Returning</t>
        </is>
      </c>
      <c r="H33" s="3" t="n">
        <v>1</v>
      </c>
      <c r="I33" s="3" t="n">
        <v>140</v>
      </c>
      <c r="J33" s="3" t="n">
        <v>82.92</v>
      </c>
      <c r="K33" s="3" t="n">
        <v>0.1</v>
      </c>
      <c r="L33" s="3" t="n">
        <v>3</v>
      </c>
    </row>
    <row r="34">
      <c r="A34" s="3" t="inlineStr">
        <is>
          <t>ORD-10033</t>
        </is>
      </c>
      <c r="B34" s="6" t="n">
        <v>45941</v>
      </c>
      <c r="C34" s="3" t="inlineStr">
        <is>
          <t>Clothing</t>
        </is>
      </c>
      <c r="D34" s="3" t="inlineStr">
        <is>
          <t>Trousers</t>
        </is>
      </c>
      <c r="E34" s="3" t="inlineStr">
        <is>
          <t>Greater Accra</t>
        </is>
      </c>
      <c r="F34" s="3" t="inlineStr">
        <is>
          <t>Retail Shop</t>
        </is>
      </c>
      <c r="G34" s="3" t="inlineStr">
        <is>
          <t>New</t>
        </is>
      </c>
      <c r="H34" s="3" t="n">
        <v>1</v>
      </c>
      <c r="I34" s="3" t="n">
        <v>135</v>
      </c>
      <c r="J34" s="3" t="n">
        <v>65.36</v>
      </c>
      <c r="K34" s="3" t="n">
        <v>0</v>
      </c>
      <c r="L34" s="3" t="n">
        <v>8.119999999999999</v>
      </c>
    </row>
    <row r="35">
      <c r="A35" s="3" t="inlineStr">
        <is>
          <t>ORD-10034</t>
        </is>
      </c>
      <c r="B35" s="6" t="n">
        <v>45892</v>
      </c>
      <c r="C35" s="3" t="inlineStr">
        <is>
          <t>Clothing</t>
        </is>
      </c>
      <c r="D35" s="3" t="inlineStr">
        <is>
          <t>Shirts</t>
        </is>
      </c>
      <c r="E35" s="3" t="inlineStr">
        <is>
          <t>Greater Accra</t>
        </is>
      </c>
      <c r="F35" s="3" t="inlineStr">
        <is>
          <t>Online</t>
        </is>
      </c>
      <c r="G35" s="3" t="inlineStr">
        <is>
          <t>New</t>
        </is>
      </c>
      <c r="H35" s="3" t="n">
        <v>1</v>
      </c>
      <c r="I35" s="3" t="n">
        <v>170</v>
      </c>
      <c r="J35" s="3" t="n">
        <v>91.26000000000001</v>
      </c>
      <c r="K35" s="3" t="n">
        <v>0.05</v>
      </c>
      <c r="L35" s="3" t="n">
        <v>14.27</v>
      </c>
    </row>
    <row r="36">
      <c r="A36" s="3" t="inlineStr">
        <is>
          <t>ORD-10035</t>
        </is>
      </c>
      <c r="B36" s="6" t="n">
        <v>45997</v>
      </c>
      <c r="C36" s="3" t="inlineStr">
        <is>
          <t>Footwear</t>
        </is>
      </c>
      <c r="D36" s="3" t="inlineStr">
        <is>
          <t>Boots</t>
        </is>
      </c>
      <c r="E36" s="3" t="inlineStr">
        <is>
          <t>Greater Accra</t>
        </is>
      </c>
      <c r="F36" s="3" t="inlineStr">
        <is>
          <t>Retail Shop</t>
        </is>
      </c>
      <c r="G36" s="3" t="inlineStr">
        <is>
          <t>New</t>
        </is>
      </c>
      <c r="H36" s="3" t="n">
        <v>1</v>
      </c>
      <c r="I36" s="3" t="n">
        <v>230</v>
      </c>
      <c r="J36" s="3" t="n">
        <v>144.68</v>
      </c>
      <c r="K36" s="3" t="n">
        <v>0.1</v>
      </c>
      <c r="L36" s="3" t="n">
        <v>3.79</v>
      </c>
    </row>
    <row r="37">
      <c r="A37" s="3" t="inlineStr">
        <is>
          <t>ORD-10036</t>
        </is>
      </c>
      <c r="B37" s="6" t="n">
        <v>45964</v>
      </c>
      <c r="C37" s="3" t="inlineStr">
        <is>
          <t>Footwear</t>
        </is>
      </c>
      <c r="D37" s="3" t="inlineStr">
        <is>
          <t>Boots</t>
        </is>
      </c>
      <c r="E37" s="3" t="inlineStr">
        <is>
          <t>Western</t>
        </is>
      </c>
      <c r="F37" s="3" t="inlineStr">
        <is>
          <t>Phone/WhatsApp</t>
        </is>
      </c>
      <c r="G37" s="3" t="inlineStr">
        <is>
          <t>New</t>
        </is>
      </c>
      <c r="H37" s="3" t="n">
        <v>8</v>
      </c>
      <c r="I37" s="3" t="n">
        <v>225</v>
      </c>
      <c r="J37" s="3" t="n">
        <v>117.98</v>
      </c>
      <c r="K37" s="3" t="n">
        <v>0.05</v>
      </c>
      <c r="L37" s="3" t="n">
        <v>28.51</v>
      </c>
    </row>
    <row r="38">
      <c r="A38" s="3" t="inlineStr">
        <is>
          <t>ORD-10037</t>
        </is>
      </c>
      <c r="B38" s="6" t="n">
        <v>45707</v>
      </c>
      <c r="C38" s="3" t="inlineStr">
        <is>
          <t>Home &amp; Lifestyle</t>
        </is>
      </c>
      <c r="D38" s="3" t="inlineStr">
        <is>
          <t>Wallets</t>
        </is>
      </c>
      <c r="E38" s="3" t="inlineStr">
        <is>
          <t>Central</t>
        </is>
      </c>
      <c r="F38" s="3" t="inlineStr">
        <is>
          <t>Online</t>
        </is>
      </c>
      <c r="G38" s="3" t="inlineStr">
        <is>
          <t>New</t>
        </is>
      </c>
      <c r="H38" s="3" t="n">
        <v>1</v>
      </c>
      <c r="I38" s="3" t="n">
        <v>105</v>
      </c>
      <c r="J38" s="3" t="n">
        <v>59.06</v>
      </c>
      <c r="K38" s="3" t="n">
        <v>0.2</v>
      </c>
      <c r="L38" s="3" t="n">
        <v>16.89</v>
      </c>
    </row>
    <row r="39">
      <c r="A39" s="3" t="inlineStr">
        <is>
          <t>ORD-10038</t>
        </is>
      </c>
      <c r="B39" s="6" t="n">
        <v>45718</v>
      </c>
      <c r="C39" s="3" t="inlineStr">
        <is>
          <t>Home &amp; Lifestyle</t>
        </is>
      </c>
      <c r="D39" s="3" t="inlineStr">
        <is>
          <t>Backpacks</t>
        </is>
      </c>
      <c r="E39" s="3" t="inlineStr">
        <is>
          <t>Ashanti</t>
        </is>
      </c>
      <c r="F39" s="3" t="inlineStr">
        <is>
          <t>Retail Shop</t>
        </is>
      </c>
      <c r="G39" s="3" t="inlineStr">
        <is>
          <t>New</t>
        </is>
      </c>
      <c r="H39" s="3" t="n">
        <v>2</v>
      </c>
      <c r="I39" s="3" t="n">
        <v>135</v>
      </c>
      <c r="J39" s="3" t="n">
        <v>72.5</v>
      </c>
      <c r="K39" s="3" t="n">
        <v>0.05</v>
      </c>
      <c r="L39" s="3" t="n">
        <v>0.04</v>
      </c>
    </row>
    <row r="40">
      <c r="A40" s="3" t="inlineStr">
        <is>
          <t>ORD-10039</t>
        </is>
      </c>
      <c r="B40" s="6" t="n">
        <v>45666</v>
      </c>
      <c r="C40" s="3" t="inlineStr">
        <is>
          <t>Clothing</t>
        </is>
      </c>
      <c r="D40" s="3" t="inlineStr">
        <is>
          <t>Jackets</t>
        </is>
      </c>
      <c r="E40" s="3" t="inlineStr">
        <is>
          <t>Greater Accra</t>
        </is>
      </c>
      <c r="F40" s="3" t="inlineStr">
        <is>
          <t>Retail Shop</t>
        </is>
      </c>
      <c r="G40" s="3" t="inlineStr">
        <is>
          <t>Returning</t>
        </is>
      </c>
      <c r="H40" s="3" t="n">
        <v>3</v>
      </c>
      <c r="I40" s="3" t="n">
        <v>130</v>
      </c>
      <c r="J40" s="3" t="n">
        <v>71.81</v>
      </c>
      <c r="K40" s="3" t="n">
        <v>0.05</v>
      </c>
      <c r="L40" s="3" t="n">
        <v>3.78</v>
      </c>
    </row>
    <row r="41">
      <c r="A41" s="3" t="inlineStr">
        <is>
          <t>ORD-10040</t>
        </is>
      </c>
      <c r="B41" s="6" t="n">
        <v>45941</v>
      </c>
      <c r="C41" s="3" t="inlineStr">
        <is>
          <t>Home &amp; Lifestyle</t>
        </is>
      </c>
      <c r="D41" s="3" t="inlineStr">
        <is>
          <t>Travel Mugs</t>
        </is>
      </c>
      <c r="E41" s="3" t="inlineStr">
        <is>
          <t>Ashanti</t>
        </is>
      </c>
      <c r="F41" s="3" t="inlineStr">
        <is>
          <t>Retail Shop</t>
        </is>
      </c>
      <c r="G41" s="3" t="inlineStr">
        <is>
          <t>Returning</t>
        </is>
      </c>
      <c r="H41" s="3" t="n">
        <v>1</v>
      </c>
      <c r="I41" s="3" t="n">
        <v>135</v>
      </c>
      <c r="J41" s="3" t="n">
        <v>77.90000000000001</v>
      </c>
      <c r="K41" s="3" t="n">
        <v>0</v>
      </c>
      <c r="L41" s="3" t="n">
        <v>9.699999999999999</v>
      </c>
    </row>
    <row r="42">
      <c r="A42" s="3" t="inlineStr">
        <is>
          <t>ORD-10041</t>
        </is>
      </c>
      <c r="B42" s="6" t="n">
        <v>45721</v>
      </c>
      <c r="C42" s="3" t="inlineStr">
        <is>
          <t>Clothing</t>
        </is>
      </c>
      <c r="D42" s="3" t="inlineStr">
        <is>
          <t>Trousers</t>
        </is>
      </c>
      <c r="E42" s="3" t="inlineStr">
        <is>
          <t>Greater Accra</t>
        </is>
      </c>
      <c r="F42" s="3" t="inlineStr">
        <is>
          <t>Online</t>
        </is>
      </c>
      <c r="G42" s="3" t="inlineStr">
        <is>
          <t>New</t>
        </is>
      </c>
      <c r="H42" s="3" t="n">
        <v>2</v>
      </c>
      <c r="I42" s="3" t="n">
        <v>160</v>
      </c>
      <c r="J42" s="3" t="n">
        <v>89.13</v>
      </c>
      <c r="K42" s="3" t="n">
        <v>0</v>
      </c>
      <c r="L42" s="3" t="n">
        <v>21.56</v>
      </c>
    </row>
    <row r="43">
      <c r="A43" s="3" t="inlineStr">
        <is>
          <t>ORD-10042</t>
        </is>
      </c>
      <c r="B43" s="6" t="n">
        <v>45684</v>
      </c>
      <c r="C43" s="3" t="inlineStr">
        <is>
          <t>Footwear</t>
        </is>
      </c>
      <c r="D43" s="3" t="inlineStr">
        <is>
          <t>Sandals</t>
        </is>
      </c>
      <c r="E43" s="3" t="inlineStr">
        <is>
          <t>Greater Accra</t>
        </is>
      </c>
      <c r="F43" s="3" t="inlineStr">
        <is>
          <t>Online</t>
        </is>
      </c>
      <c r="G43" s="3" t="inlineStr">
        <is>
          <t>Returning</t>
        </is>
      </c>
      <c r="H43" s="3" t="n">
        <v>2</v>
      </c>
      <c r="I43" s="3" t="n">
        <v>245</v>
      </c>
      <c r="J43" s="3" t="n">
        <v>154.54</v>
      </c>
      <c r="K43" s="3" t="n">
        <v>0</v>
      </c>
      <c r="L43" s="3" t="n">
        <v>21.15</v>
      </c>
    </row>
    <row r="44">
      <c r="A44" s="3" t="inlineStr">
        <is>
          <t>ORD-10043</t>
        </is>
      </c>
      <c r="B44" s="6" t="n">
        <v>45749</v>
      </c>
      <c r="C44" s="3" t="inlineStr">
        <is>
          <t>Home &amp; Lifestyle</t>
        </is>
      </c>
      <c r="D44" s="3" t="inlineStr">
        <is>
          <t>Backpacks</t>
        </is>
      </c>
      <c r="E44" s="3" t="inlineStr">
        <is>
          <t>Western</t>
        </is>
      </c>
      <c r="F44" s="3" t="inlineStr">
        <is>
          <t>Online</t>
        </is>
      </c>
      <c r="G44" s="3" t="inlineStr">
        <is>
          <t>Returning</t>
        </is>
      </c>
      <c r="H44" s="3" t="n">
        <v>4</v>
      </c>
      <c r="I44" s="3" t="n">
        <v>110</v>
      </c>
      <c r="J44" s="3" t="n">
        <v>56.75</v>
      </c>
      <c r="K44" s="3" t="n">
        <v>0</v>
      </c>
      <c r="L44" s="3" t="n">
        <v>36.5</v>
      </c>
    </row>
    <row r="45">
      <c r="A45" s="3" t="inlineStr">
        <is>
          <t>ORD-10044</t>
        </is>
      </c>
      <c r="B45" s="6" t="n">
        <v>45768</v>
      </c>
      <c r="C45" s="3" t="inlineStr">
        <is>
          <t>Accessories</t>
        </is>
      </c>
      <c r="D45" s="3" t="inlineStr">
        <is>
          <t>Belts</t>
        </is>
      </c>
      <c r="E45" s="3" t="inlineStr">
        <is>
          <t>Greater Accra</t>
        </is>
      </c>
      <c r="F45" s="3" t="inlineStr">
        <is>
          <t>Retail Shop</t>
        </is>
      </c>
      <c r="G45" s="3" t="inlineStr">
        <is>
          <t>Returning</t>
        </is>
      </c>
      <c r="H45" s="3" t="n">
        <v>1</v>
      </c>
      <c r="I45" s="3" t="n">
        <v>115</v>
      </c>
      <c r="J45" s="3" t="n">
        <v>57.81</v>
      </c>
      <c r="K45" s="3" t="n">
        <v>0</v>
      </c>
      <c r="L45" s="3" t="n">
        <v>11.3</v>
      </c>
    </row>
    <row r="46">
      <c r="A46" s="3" t="inlineStr">
        <is>
          <t>ORD-10045</t>
        </is>
      </c>
      <c r="B46" s="6" t="n">
        <v>45860</v>
      </c>
      <c r="C46" s="3" t="inlineStr">
        <is>
          <t>Clothing</t>
        </is>
      </c>
      <c r="D46" s="3" t="inlineStr">
        <is>
          <t>Shirts</t>
        </is>
      </c>
      <c r="E46" s="3" t="inlineStr">
        <is>
          <t>Central</t>
        </is>
      </c>
      <c r="F46" s="3" t="inlineStr">
        <is>
          <t>Online</t>
        </is>
      </c>
      <c r="G46" s="3" t="inlineStr">
        <is>
          <t>New</t>
        </is>
      </c>
      <c r="H46" s="3" t="n">
        <v>1</v>
      </c>
      <c r="I46" s="3" t="n">
        <v>205</v>
      </c>
      <c r="J46" s="3" t="n">
        <v>102.86</v>
      </c>
      <c r="K46" s="3" t="n">
        <v>0.05</v>
      </c>
      <c r="L46" s="3" t="n">
        <v>23.47</v>
      </c>
    </row>
    <row r="47">
      <c r="A47" s="3" t="inlineStr">
        <is>
          <t>ORD-10046</t>
        </is>
      </c>
      <c r="B47" s="6" t="n">
        <v>45660</v>
      </c>
      <c r="C47" s="3" t="inlineStr">
        <is>
          <t>Clothing</t>
        </is>
      </c>
      <c r="D47" s="3" t="inlineStr">
        <is>
          <t>Dresses</t>
        </is>
      </c>
      <c r="E47" s="3" t="inlineStr">
        <is>
          <t>Greater Accra</t>
        </is>
      </c>
      <c r="F47" s="3" t="inlineStr">
        <is>
          <t>Retail Shop</t>
        </is>
      </c>
      <c r="G47" s="3" t="inlineStr">
        <is>
          <t>Returning</t>
        </is>
      </c>
      <c r="H47" s="3" t="n">
        <v>4</v>
      </c>
      <c r="I47" s="3" t="n">
        <v>195</v>
      </c>
      <c r="J47" s="3" t="n">
        <v>97.75</v>
      </c>
      <c r="K47" s="3" t="n">
        <v>0</v>
      </c>
      <c r="L47" s="3" t="n">
        <v>8.98</v>
      </c>
    </row>
    <row r="48">
      <c r="A48" s="3" t="inlineStr">
        <is>
          <t>ORD-10047</t>
        </is>
      </c>
      <c r="B48" s="6" t="n">
        <v>45963</v>
      </c>
      <c r="C48" s="3" t="inlineStr">
        <is>
          <t>Clothing</t>
        </is>
      </c>
      <c r="D48" s="3" t="inlineStr">
        <is>
          <t>Dresses</t>
        </is>
      </c>
      <c r="E48" s="3" t="inlineStr">
        <is>
          <t>Ashanti</t>
        </is>
      </c>
      <c r="F48" s="3" t="inlineStr">
        <is>
          <t>Retail Shop</t>
        </is>
      </c>
      <c r="G48" s="3" t="inlineStr">
        <is>
          <t>Returning</t>
        </is>
      </c>
      <c r="H48" s="3" t="n">
        <v>3</v>
      </c>
      <c r="I48" s="3" t="n">
        <v>180</v>
      </c>
      <c r="J48" s="3" t="n">
        <v>86.52</v>
      </c>
      <c r="K48" s="3" t="n">
        <v>0</v>
      </c>
      <c r="L48" s="3" t="n">
        <v>4.06</v>
      </c>
    </row>
    <row r="49">
      <c r="A49" s="3" t="inlineStr">
        <is>
          <t>ORD-10048</t>
        </is>
      </c>
      <c r="B49" s="6" t="n">
        <v>45835</v>
      </c>
      <c r="C49" s="3" t="inlineStr">
        <is>
          <t>Footwear</t>
        </is>
      </c>
      <c r="D49" s="3" t="inlineStr">
        <is>
          <t>Boots</t>
        </is>
      </c>
      <c r="E49" s="3" t="inlineStr">
        <is>
          <t>Greater Accra</t>
        </is>
      </c>
      <c r="F49" s="3" t="inlineStr">
        <is>
          <t>Phone/WhatsApp</t>
        </is>
      </c>
      <c r="G49" s="3" t="inlineStr">
        <is>
          <t>Returning</t>
        </is>
      </c>
      <c r="H49" s="3" t="n">
        <v>4</v>
      </c>
      <c r="I49" s="3" t="n">
        <v>460</v>
      </c>
      <c r="J49" s="3" t="n">
        <v>234.69</v>
      </c>
      <c r="K49" s="3" t="n">
        <v>0.1</v>
      </c>
      <c r="L49" s="3" t="n">
        <v>24.67</v>
      </c>
    </row>
    <row r="50">
      <c r="A50" s="3" t="inlineStr">
        <is>
          <t>ORD-10049</t>
        </is>
      </c>
      <c r="B50" s="6" t="n">
        <v>45730</v>
      </c>
      <c r="C50" s="3" t="inlineStr">
        <is>
          <t>Clothing</t>
        </is>
      </c>
      <c r="D50" s="3" t="inlineStr">
        <is>
          <t>Trousers</t>
        </is>
      </c>
      <c r="E50" s="3" t="inlineStr">
        <is>
          <t>Greater Accra</t>
        </is>
      </c>
      <c r="F50" s="3" t="inlineStr">
        <is>
          <t>Phone/WhatsApp</t>
        </is>
      </c>
      <c r="G50" s="3" t="inlineStr">
        <is>
          <t>Returning</t>
        </is>
      </c>
      <c r="H50" s="3" t="n">
        <v>1</v>
      </c>
      <c r="I50" s="3" t="n">
        <v>155</v>
      </c>
      <c r="J50" s="3" t="n">
        <v>87.42</v>
      </c>
      <c r="K50" s="3" t="n">
        <v>0</v>
      </c>
      <c r="L50" s="3" t="n">
        <v>11.01</v>
      </c>
    </row>
    <row r="51">
      <c r="A51" s="3" t="inlineStr">
        <is>
          <t>ORD-10050</t>
        </is>
      </c>
      <c r="B51" s="6" t="n">
        <v>45850</v>
      </c>
      <c r="C51" s="3" t="inlineStr">
        <is>
          <t>Footwear</t>
        </is>
      </c>
      <c r="D51" s="3" t="inlineStr">
        <is>
          <t>Formal Shoes</t>
        </is>
      </c>
      <c r="E51" s="3" t="inlineStr">
        <is>
          <t>Greater Accra</t>
        </is>
      </c>
      <c r="F51" s="3" t="inlineStr">
        <is>
          <t>Retail Shop</t>
        </is>
      </c>
      <c r="G51" s="3" t="inlineStr">
        <is>
          <t>Returning</t>
        </is>
      </c>
      <c r="H51" s="3" t="n">
        <v>3</v>
      </c>
      <c r="I51" s="3" t="n">
        <v>375</v>
      </c>
      <c r="J51" s="3" t="n">
        <v>200.26</v>
      </c>
      <c r="K51" s="3" t="n">
        <v>0</v>
      </c>
      <c r="L51" s="3" t="n">
        <v>9.43</v>
      </c>
    </row>
    <row r="52">
      <c r="A52" s="3" t="inlineStr">
        <is>
          <t>ORD-10051</t>
        </is>
      </c>
      <c r="B52" s="6" t="n">
        <v>45934</v>
      </c>
      <c r="C52" s="3" t="inlineStr">
        <is>
          <t>Home &amp; Lifestyle</t>
        </is>
      </c>
      <c r="D52" s="3" t="inlineStr">
        <is>
          <t>Wallets</t>
        </is>
      </c>
      <c r="E52" s="3" t="inlineStr">
        <is>
          <t>Central</t>
        </is>
      </c>
      <c r="F52" s="3" t="inlineStr">
        <is>
          <t>Retail Shop</t>
        </is>
      </c>
      <c r="G52" s="3" t="inlineStr">
        <is>
          <t>Returning</t>
        </is>
      </c>
      <c r="H52" s="3" t="n">
        <v>1</v>
      </c>
      <c r="I52" s="3" t="n">
        <v>90</v>
      </c>
      <c r="J52" s="3" t="n">
        <v>50.38</v>
      </c>
      <c r="K52" s="3" t="n">
        <v>0.05</v>
      </c>
      <c r="L52" s="3" t="n">
        <v>11.91</v>
      </c>
    </row>
    <row r="53">
      <c r="A53" s="3" t="inlineStr">
        <is>
          <t>ORD-10052</t>
        </is>
      </c>
      <c r="B53" s="6" t="n">
        <v>45929</v>
      </c>
      <c r="C53" s="3" t="inlineStr">
        <is>
          <t>Clothing</t>
        </is>
      </c>
      <c r="D53" s="3" t="inlineStr">
        <is>
          <t>Trousers</t>
        </is>
      </c>
      <c r="E53" s="3" t="inlineStr">
        <is>
          <t>Greater Accra</t>
        </is>
      </c>
      <c r="F53" s="3" t="inlineStr">
        <is>
          <t>Retail Shop</t>
        </is>
      </c>
      <c r="G53" s="3" t="inlineStr">
        <is>
          <t>Returning</t>
        </is>
      </c>
      <c r="H53" s="3" t="n">
        <v>4</v>
      </c>
      <c r="I53" s="3" t="n">
        <v>205</v>
      </c>
      <c r="J53" s="3" t="n">
        <v>119.04</v>
      </c>
      <c r="K53" s="3" t="n">
        <v>0</v>
      </c>
      <c r="L53" s="3" t="n">
        <v>4.51</v>
      </c>
    </row>
    <row r="54">
      <c r="A54" s="3" t="inlineStr">
        <is>
          <t>ORD-10053</t>
        </is>
      </c>
      <c r="B54" s="6" t="n">
        <v>45886</v>
      </c>
      <c r="C54" s="3" t="inlineStr">
        <is>
          <t>Footwear</t>
        </is>
      </c>
      <c r="D54" s="3" t="inlineStr">
        <is>
          <t>Sandals</t>
        </is>
      </c>
      <c r="E54" s="3" t="inlineStr">
        <is>
          <t>Ashanti</t>
        </is>
      </c>
      <c r="F54" s="3" t="inlineStr">
        <is>
          <t>Retail Shop</t>
        </is>
      </c>
      <c r="G54" s="3" t="inlineStr">
        <is>
          <t>Returning</t>
        </is>
      </c>
      <c r="H54" s="3" t="n">
        <v>1</v>
      </c>
      <c r="I54" s="3" t="n">
        <v>405</v>
      </c>
      <c r="J54" s="3" t="n">
        <v>223.13</v>
      </c>
      <c r="K54" s="3" t="n">
        <v>0.05</v>
      </c>
      <c r="L54" s="3" t="n">
        <v>0.06</v>
      </c>
    </row>
    <row r="55">
      <c r="A55" s="3" t="inlineStr">
        <is>
          <t>ORD-10054</t>
        </is>
      </c>
      <c r="B55" s="6" t="n">
        <v>45694</v>
      </c>
      <c r="C55" s="3" t="inlineStr">
        <is>
          <t>Clothing</t>
        </is>
      </c>
      <c r="D55" s="3" t="inlineStr">
        <is>
          <t>Shirts</t>
        </is>
      </c>
      <c r="E55" s="3" t="inlineStr">
        <is>
          <t>Ashanti</t>
        </is>
      </c>
      <c r="F55" s="3" t="inlineStr">
        <is>
          <t>Retail Shop</t>
        </is>
      </c>
      <c r="G55" s="3" t="inlineStr">
        <is>
          <t>Returning</t>
        </is>
      </c>
      <c r="H55" s="3" t="n">
        <v>2</v>
      </c>
      <c r="I55" s="3" t="n">
        <v>185</v>
      </c>
      <c r="J55" s="3" t="n">
        <v>98.90000000000001</v>
      </c>
      <c r="K55" s="3" t="n">
        <v>0</v>
      </c>
      <c r="L55" s="3" t="n">
        <v>0.87</v>
      </c>
    </row>
    <row r="56">
      <c r="A56" s="3" t="inlineStr">
        <is>
          <t>ORD-10055</t>
        </is>
      </c>
      <c r="B56" s="6" t="n">
        <v>45685</v>
      </c>
      <c r="C56" s="3" t="inlineStr">
        <is>
          <t>Home &amp; Lifestyle</t>
        </is>
      </c>
      <c r="D56" s="3" t="inlineStr">
        <is>
          <t>Backpacks</t>
        </is>
      </c>
      <c r="E56" s="3" t="inlineStr">
        <is>
          <t>Western</t>
        </is>
      </c>
      <c r="F56" s="3" t="inlineStr">
        <is>
          <t>Phone/WhatsApp</t>
        </is>
      </c>
      <c r="G56" s="3" t="inlineStr">
        <is>
          <t>New</t>
        </is>
      </c>
      <c r="H56" s="3" t="n">
        <v>5</v>
      </c>
      <c r="I56" s="3" t="n">
        <v>140</v>
      </c>
      <c r="J56" s="3" t="n">
        <v>76.84999999999999</v>
      </c>
      <c r="K56" s="3" t="n">
        <v>0.1</v>
      </c>
      <c r="L56" s="3" t="n">
        <v>33.97</v>
      </c>
    </row>
    <row r="57">
      <c r="A57" s="3" t="inlineStr">
        <is>
          <t>ORD-10056</t>
        </is>
      </c>
      <c r="B57" s="6" t="n">
        <v>45837</v>
      </c>
      <c r="C57" s="3" t="inlineStr">
        <is>
          <t>Accessories</t>
        </is>
      </c>
      <c r="D57" s="3" t="inlineStr">
        <is>
          <t>Bags</t>
        </is>
      </c>
      <c r="E57" s="3" t="inlineStr">
        <is>
          <t>Western</t>
        </is>
      </c>
      <c r="F57" s="3" t="inlineStr">
        <is>
          <t>Online</t>
        </is>
      </c>
      <c r="G57" s="3" t="inlineStr">
        <is>
          <t>Returning</t>
        </is>
      </c>
      <c r="H57" s="3" t="n">
        <v>3</v>
      </c>
      <c r="I57" s="3" t="n">
        <v>115</v>
      </c>
      <c r="J57" s="3" t="n">
        <v>60.03</v>
      </c>
      <c r="K57" s="3" t="n">
        <v>0</v>
      </c>
      <c r="L57" s="3" t="n">
        <v>26.75</v>
      </c>
    </row>
    <row r="58">
      <c r="A58" s="3" t="inlineStr">
        <is>
          <t>ORD-10057</t>
        </is>
      </c>
      <c r="B58" s="6" t="n">
        <v>45997</v>
      </c>
      <c r="C58" s="3" t="inlineStr">
        <is>
          <t>Accessories</t>
        </is>
      </c>
      <c r="D58" s="3" t="inlineStr">
        <is>
          <t>Sunglasses</t>
        </is>
      </c>
      <c r="E58" s="3" t="inlineStr">
        <is>
          <t>Ashanti</t>
        </is>
      </c>
      <c r="F58" s="3" t="inlineStr">
        <is>
          <t>Online</t>
        </is>
      </c>
      <c r="G58" s="3" t="inlineStr">
        <is>
          <t>Returning</t>
        </is>
      </c>
      <c r="H58" s="3" t="n">
        <v>3</v>
      </c>
      <c r="I58" s="3" t="n">
        <v>120</v>
      </c>
      <c r="J58" s="3" t="n">
        <v>53.45</v>
      </c>
      <c r="K58" s="3" t="n">
        <v>0</v>
      </c>
      <c r="L58" s="3" t="n">
        <v>26.38</v>
      </c>
    </row>
    <row r="59">
      <c r="A59" s="3" t="inlineStr">
        <is>
          <t>ORD-10058</t>
        </is>
      </c>
      <c r="B59" s="6" t="n">
        <v>45799</v>
      </c>
      <c r="C59" s="3" t="inlineStr">
        <is>
          <t>Accessories</t>
        </is>
      </c>
      <c r="D59" s="3" t="inlineStr">
        <is>
          <t>Bags</t>
        </is>
      </c>
      <c r="E59" s="3" t="inlineStr">
        <is>
          <t>Ashanti</t>
        </is>
      </c>
      <c r="F59" s="3" t="inlineStr">
        <is>
          <t>Retail Shop</t>
        </is>
      </c>
      <c r="G59" s="3" t="inlineStr">
        <is>
          <t>Returning</t>
        </is>
      </c>
      <c r="H59" s="3" t="n">
        <v>2</v>
      </c>
      <c r="I59" s="3" t="n">
        <v>65</v>
      </c>
      <c r="J59" s="3" t="n">
        <v>29.19</v>
      </c>
      <c r="K59" s="3" t="n">
        <v>0.1</v>
      </c>
      <c r="L59" s="3" t="n">
        <v>1.52</v>
      </c>
    </row>
    <row r="60">
      <c r="A60" s="3" t="inlineStr">
        <is>
          <t>ORD-10059</t>
        </is>
      </c>
      <c r="B60" s="6" t="n">
        <v>45762</v>
      </c>
      <c r="C60" s="3" t="inlineStr">
        <is>
          <t>Clothing</t>
        </is>
      </c>
      <c r="D60" s="3" t="inlineStr">
        <is>
          <t>Shirts</t>
        </is>
      </c>
      <c r="E60" s="3" t="inlineStr">
        <is>
          <t>Greater Accra</t>
        </is>
      </c>
      <c r="F60" s="3" t="inlineStr">
        <is>
          <t>Retail Shop</t>
        </is>
      </c>
      <c r="G60" s="3" t="inlineStr">
        <is>
          <t>Returning</t>
        </is>
      </c>
      <c r="H60" s="3" t="n">
        <v>1</v>
      </c>
      <c r="I60" s="3" t="n">
        <v>125</v>
      </c>
      <c r="J60" s="3" t="n">
        <v>65.09999999999999</v>
      </c>
      <c r="K60" s="3" t="n">
        <v>0</v>
      </c>
      <c r="L60" s="3" t="n">
        <v>7.84</v>
      </c>
    </row>
    <row r="61">
      <c r="A61" s="3" t="inlineStr">
        <is>
          <t>ORD-10060</t>
        </is>
      </c>
      <c r="B61" s="6" t="n">
        <v>45679</v>
      </c>
      <c r="C61" s="3" t="inlineStr">
        <is>
          <t>Clothing</t>
        </is>
      </c>
      <c r="D61" s="3" t="inlineStr">
        <is>
          <t>Shirts</t>
        </is>
      </c>
      <c r="E61" s="3" t="inlineStr">
        <is>
          <t>Greater Accra</t>
        </is>
      </c>
      <c r="F61" s="3" t="inlineStr">
        <is>
          <t>Retail Shop</t>
        </is>
      </c>
      <c r="G61" s="3" t="inlineStr">
        <is>
          <t>Returning</t>
        </is>
      </c>
      <c r="H61" s="3" t="n">
        <v>2</v>
      </c>
      <c r="I61" s="3" t="n">
        <v>145</v>
      </c>
      <c r="J61" s="3" t="n">
        <v>70.7</v>
      </c>
      <c r="K61" s="3" t="n">
        <v>0.15</v>
      </c>
      <c r="L61" s="3" t="n">
        <v>0.29</v>
      </c>
    </row>
    <row r="62">
      <c r="A62" s="3" t="inlineStr">
        <is>
          <t>ORD-10061</t>
        </is>
      </c>
      <c r="B62" s="6" t="n">
        <v>45670</v>
      </c>
      <c r="C62" s="3" t="inlineStr">
        <is>
          <t>Footwear</t>
        </is>
      </c>
      <c r="D62" s="3" t="inlineStr">
        <is>
          <t>Boots</t>
        </is>
      </c>
      <c r="E62" s="3" t="inlineStr">
        <is>
          <t>Greater Accra</t>
        </is>
      </c>
      <c r="F62" s="3" t="inlineStr">
        <is>
          <t>Online</t>
        </is>
      </c>
      <c r="G62" s="3" t="inlineStr">
        <is>
          <t>Returning</t>
        </is>
      </c>
      <c r="H62" s="3" t="n">
        <v>3</v>
      </c>
      <c r="I62" s="3" t="n">
        <v>250</v>
      </c>
      <c r="J62" s="3" t="n">
        <v>148.23</v>
      </c>
      <c r="K62" s="3" t="n">
        <v>0.1</v>
      </c>
      <c r="L62" s="3" t="n">
        <v>30.09</v>
      </c>
    </row>
    <row r="63">
      <c r="A63" s="3" t="inlineStr">
        <is>
          <t>ORD-10062</t>
        </is>
      </c>
      <c r="B63" s="6" t="n">
        <v>45803</v>
      </c>
      <c r="C63" s="3" t="inlineStr">
        <is>
          <t>Accessories</t>
        </is>
      </c>
      <c r="D63" s="3" t="inlineStr">
        <is>
          <t>Watches</t>
        </is>
      </c>
      <c r="E63" s="3" t="inlineStr">
        <is>
          <t>Ashanti</t>
        </is>
      </c>
      <c r="F63" s="3" t="inlineStr">
        <is>
          <t>Online</t>
        </is>
      </c>
      <c r="G63" s="3" t="inlineStr">
        <is>
          <t>New</t>
        </is>
      </c>
      <c r="H63" s="3" t="n">
        <v>1</v>
      </c>
      <c r="I63" s="3" t="n">
        <v>120</v>
      </c>
      <c r="J63" s="3" t="n">
        <v>61.7</v>
      </c>
      <c r="K63" s="3" t="n">
        <v>0.1</v>
      </c>
      <c r="L63" s="3" t="n">
        <v>8.5</v>
      </c>
    </row>
    <row r="64">
      <c r="A64" s="3" t="inlineStr">
        <is>
          <t>ORD-10063</t>
        </is>
      </c>
      <c r="B64" s="6" t="n">
        <v>45939</v>
      </c>
      <c r="C64" s="3" t="inlineStr">
        <is>
          <t>Footwear</t>
        </is>
      </c>
      <c r="D64" s="3" t="inlineStr">
        <is>
          <t>Formal Shoes</t>
        </is>
      </c>
      <c r="E64" s="3" t="inlineStr">
        <is>
          <t>Greater Accra</t>
        </is>
      </c>
      <c r="F64" s="3" t="inlineStr">
        <is>
          <t>Retail Shop</t>
        </is>
      </c>
      <c r="G64" s="3" t="inlineStr">
        <is>
          <t>Returning</t>
        </is>
      </c>
      <c r="H64" s="3" t="n">
        <v>4</v>
      </c>
      <c r="I64" s="3" t="n">
        <v>195</v>
      </c>
      <c r="J64" s="3" t="n">
        <v>105.45</v>
      </c>
      <c r="K64" s="3" t="n">
        <v>0</v>
      </c>
      <c r="L64" s="3" t="n">
        <v>11.96</v>
      </c>
    </row>
    <row r="65">
      <c r="A65" s="3" t="inlineStr">
        <is>
          <t>ORD-10064</t>
        </is>
      </c>
      <c r="B65" s="6" t="n">
        <v>46021</v>
      </c>
      <c r="C65" s="3" t="inlineStr">
        <is>
          <t>Clothing</t>
        </is>
      </c>
      <c r="D65" s="3" t="inlineStr">
        <is>
          <t>Dresses</t>
        </is>
      </c>
      <c r="E65" s="3" t="inlineStr">
        <is>
          <t>Greater Accra</t>
        </is>
      </c>
      <c r="F65" s="3" t="inlineStr">
        <is>
          <t>Retail Shop</t>
        </is>
      </c>
      <c r="G65" s="3" t="inlineStr">
        <is>
          <t>New</t>
        </is>
      </c>
      <c r="H65" s="3" t="n">
        <v>1</v>
      </c>
      <c r="I65" s="3" t="n">
        <v>135</v>
      </c>
      <c r="J65" s="3" t="n">
        <v>65.22</v>
      </c>
      <c r="K65" s="3" t="n">
        <v>0.2</v>
      </c>
      <c r="L65" s="3" t="n">
        <v>11.69</v>
      </c>
    </row>
    <row r="66">
      <c r="A66" s="3" t="inlineStr">
        <is>
          <t>ORD-10065</t>
        </is>
      </c>
      <c r="B66" s="6" t="n">
        <v>45870</v>
      </c>
      <c r="C66" s="3" t="inlineStr">
        <is>
          <t>Footwear</t>
        </is>
      </c>
      <c r="D66" s="3" t="inlineStr">
        <is>
          <t>Formal Shoes</t>
        </is>
      </c>
      <c r="E66" s="3" t="inlineStr">
        <is>
          <t>Greater Accra</t>
        </is>
      </c>
      <c r="F66" s="3" t="inlineStr">
        <is>
          <t>Online</t>
        </is>
      </c>
      <c r="G66" s="3" t="inlineStr">
        <is>
          <t>New</t>
        </is>
      </c>
      <c r="H66" s="3" t="n">
        <v>1</v>
      </c>
      <c r="I66" s="3" t="n">
        <v>325</v>
      </c>
      <c r="J66" s="3" t="n">
        <v>197.95</v>
      </c>
      <c r="K66" s="3" t="n">
        <v>0.05</v>
      </c>
      <c r="L66" s="3" t="n">
        <v>27.06</v>
      </c>
    </row>
    <row r="67">
      <c r="A67" s="3" t="inlineStr">
        <is>
          <t>ORD-10066</t>
        </is>
      </c>
      <c r="B67" s="6" t="n">
        <v>45747</v>
      </c>
      <c r="C67" s="3" t="inlineStr">
        <is>
          <t>Clothing</t>
        </is>
      </c>
      <c r="D67" s="3" t="inlineStr">
        <is>
          <t>Trousers</t>
        </is>
      </c>
      <c r="E67" s="3" t="inlineStr">
        <is>
          <t>Greater Accra</t>
        </is>
      </c>
      <c r="F67" s="3" t="inlineStr">
        <is>
          <t>Phone/WhatsApp</t>
        </is>
      </c>
      <c r="G67" s="3" t="inlineStr">
        <is>
          <t>Returning</t>
        </is>
      </c>
      <c r="H67" s="3" t="n">
        <v>2</v>
      </c>
      <c r="I67" s="3" t="n">
        <v>125</v>
      </c>
      <c r="J67" s="3" t="n">
        <v>67.73</v>
      </c>
      <c r="K67" s="3" t="n">
        <v>0</v>
      </c>
      <c r="L67" s="3" t="n">
        <v>25.82</v>
      </c>
    </row>
    <row r="68">
      <c r="A68" s="3" t="inlineStr">
        <is>
          <t>ORD-10067</t>
        </is>
      </c>
      <c r="B68" s="6" t="n">
        <v>45789</v>
      </c>
      <c r="C68" s="3" t="inlineStr">
        <is>
          <t>Home &amp; Lifestyle</t>
        </is>
      </c>
      <c r="D68" s="3" t="inlineStr">
        <is>
          <t>Backpacks</t>
        </is>
      </c>
      <c r="E68" s="3" t="inlineStr">
        <is>
          <t>Western</t>
        </is>
      </c>
      <c r="F68" s="3" t="inlineStr">
        <is>
          <t>Online</t>
        </is>
      </c>
      <c r="G68" s="3" t="inlineStr">
        <is>
          <t>Returning</t>
        </is>
      </c>
      <c r="H68" s="3" t="n">
        <v>4</v>
      </c>
      <c r="I68" s="3" t="n">
        <v>105</v>
      </c>
      <c r="J68" s="3" t="n">
        <v>58.15</v>
      </c>
      <c r="K68" s="3" t="n">
        <v>0.15</v>
      </c>
      <c r="L68" s="3" t="n">
        <v>14.84</v>
      </c>
    </row>
    <row r="69">
      <c r="A69" s="3" t="inlineStr">
        <is>
          <t>ORD-10068</t>
        </is>
      </c>
      <c r="B69" s="6" t="n">
        <v>45732</v>
      </c>
      <c r="C69" s="3" t="inlineStr">
        <is>
          <t>Clothing</t>
        </is>
      </c>
      <c r="D69" s="3" t="inlineStr">
        <is>
          <t>Dresses</t>
        </is>
      </c>
      <c r="E69" s="3" t="inlineStr">
        <is>
          <t>Ashanti</t>
        </is>
      </c>
      <c r="F69" s="3" t="inlineStr">
        <is>
          <t>Online</t>
        </is>
      </c>
      <c r="G69" s="3" t="inlineStr">
        <is>
          <t>Returning</t>
        </is>
      </c>
      <c r="H69" s="3" t="n">
        <v>1</v>
      </c>
      <c r="I69" s="3" t="n">
        <v>200</v>
      </c>
      <c r="J69" s="3" t="n">
        <v>94.58</v>
      </c>
      <c r="K69" s="3" t="n">
        <v>0.1</v>
      </c>
      <c r="L69" s="3" t="n">
        <v>33.01</v>
      </c>
    </row>
    <row r="70">
      <c r="A70" s="3" t="inlineStr">
        <is>
          <t>ORD-10069</t>
        </is>
      </c>
      <c r="B70" s="6" t="n">
        <v>45975</v>
      </c>
      <c r="C70" s="3" t="inlineStr">
        <is>
          <t>Footwear</t>
        </is>
      </c>
      <c r="D70" s="3" t="inlineStr">
        <is>
          <t>Boots</t>
        </is>
      </c>
      <c r="E70" s="3" t="inlineStr">
        <is>
          <t>Greater Accra</t>
        </is>
      </c>
      <c r="F70" s="3" t="inlineStr">
        <is>
          <t>Retail Shop</t>
        </is>
      </c>
      <c r="G70" s="3" t="inlineStr">
        <is>
          <t>Returning</t>
        </is>
      </c>
      <c r="H70" s="3" t="n">
        <v>5</v>
      </c>
      <c r="I70" s="3" t="n">
        <v>235</v>
      </c>
      <c r="J70" s="3" t="n">
        <v>124.85</v>
      </c>
      <c r="K70" s="3" t="n">
        <v>0.05</v>
      </c>
      <c r="L70" s="3" t="n">
        <v>1.95</v>
      </c>
    </row>
    <row r="71">
      <c r="A71" s="3" t="inlineStr">
        <is>
          <t>ORD-10070</t>
        </is>
      </c>
      <c r="B71" s="6" t="n">
        <v>46013</v>
      </c>
      <c r="C71" s="3" t="inlineStr">
        <is>
          <t>Home &amp; Lifestyle</t>
        </is>
      </c>
      <c r="D71" s="3" t="inlineStr">
        <is>
          <t>Backpacks</t>
        </is>
      </c>
      <c r="E71" s="3" t="inlineStr">
        <is>
          <t>Western</t>
        </is>
      </c>
      <c r="F71" s="3" t="inlineStr">
        <is>
          <t>Online</t>
        </is>
      </c>
      <c r="G71" s="3" t="inlineStr">
        <is>
          <t>Returning</t>
        </is>
      </c>
      <c r="H71" s="3" t="n">
        <v>2</v>
      </c>
      <c r="I71" s="3" t="n">
        <v>90</v>
      </c>
      <c r="J71" s="3" t="n">
        <v>48.31</v>
      </c>
      <c r="K71" s="3" t="n">
        <v>0</v>
      </c>
      <c r="L71" s="3" t="n">
        <v>24.69</v>
      </c>
    </row>
    <row r="72">
      <c r="A72" s="3" t="inlineStr">
        <is>
          <t>ORD-10071</t>
        </is>
      </c>
      <c r="B72" s="6" t="n">
        <v>45973</v>
      </c>
      <c r="C72" s="3" t="inlineStr">
        <is>
          <t>Clothing</t>
        </is>
      </c>
      <c r="D72" s="3" t="inlineStr">
        <is>
          <t>Dresses</t>
        </is>
      </c>
      <c r="E72" s="3" t="inlineStr">
        <is>
          <t>Ashanti</t>
        </is>
      </c>
      <c r="F72" s="3" t="inlineStr">
        <is>
          <t>Phone/WhatsApp</t>
        </is>
      </c>
      <c r="G72" s="3" t="inlineStr">
        <is>
          <t>Returning</t>
        </is>
      </c>
      <c r="H72" s="3" t="n">
        <v>1</v>
      </c>
      <c r="I72" s="3" t="n">
        <v>145</v>
      </c>
      <c r="J72" s="3" t="n">
        <v>67.20999999999999</v>
      </c>
      <c r="K72" s="3" t="n">
        <v>0.1</v>
      </c>
      <c r="L72" s="3" t="n">
        <v>34.65</v>
      </c>
    </row>
    <row r="73">
      <c r="A73" s="3" t="inlineStr">
        <is>
          <t>ORD-10072</t>
        </is>
      </c>
      <c r="B73" s="6" t="n">
        <v>45947</v>
      </c>
      <c r="C73" s="3" t="inlineStr">
        <is>
          <t>Clothing</t>
        </is>
      </c>
      <c r="D73" s="3" t="inlineStr">
        <is>
          <t>Shirts</t>
        </is>
      </c>
      <c r="E73" s="3" t="inlineStr">
        <is>
          <t>Greater Accra</t>
        </is>
      </c>
      <c r="F73" s="3" t="inlineStr">
        <is>
          <t>Retail Shop</t>
        </is>
      </c>
      <c r="G73" s="3" t="inlineStr">
        <is>
          <t>New</t>
        </is>
      </c>
      <c r="H73" s="3" t="n">
        <v>4</v>
      </c>
      <c r="I73" s="3" t="n">
        <v>155</v>
      </c>
      <c r="J73" s="3" t="n">
        <v>71.09</v>
      </c>
      <c r="K73" s="3" t="n">
        <v>0</v>
      </c>
      <c r="L73" s="3" t="n">
        <v>6.87</v>
      </c>
    </row>
    <row r="74">
      <c r="A74" s="3" t="inlineStr">
        <is>
          <t>ORD-10073</t>
        </is>
      </c>
      <c r="B74" s="6" t="n">
        <v>45961</v>
      </c>
      <c r="C74" s="3" t="inlineStr">
        <is>
          <t>Accessories</t>
        </is>
      </c>
      <c r="D74" s="3" t="inlineStr">
        <is>
          <t>Watches</t>
        </is>
      </c>
      <c r="E74" s="3" t="inlineStr">
        <is>
          <t>Greater Accra</t>
        </is>
      </c>
      <c r="F74" s="3" t="inlineStr">
        <is>
          <t>Online</t>
        </is>
      </c>
      <c r="G74" s="3" t="inlineStr">
        <is>
          <t>New</t>
        </is>
      </c>
      <c r="H74" s="3" t="n">
        <v>2</v>
      </c>
      <c r="I74" s="3" t="n">
        <v>130</v>
      </c>
      <c r="J74" s="3" t="n">
        <v>61.14</v>
      </c>
      <c r="K74" s="3" t="n">
        <v>0</v>
      </c>
      <c r="L74" s="3" t="n">
        <v>17.19</v>
      </c>
    </row>
    <row r="75">
      <c r="A75" s="3" t="inlineStr">
        <is>
          <t>ORD-10074</t>
        </is>
      </c>
      <c r="B75" s="6" t="n">
        <v>45799</v>
      </c>
      <c r="C75" s="3" t="inlineStr">
        <is>
          <t>Footwear</t>
        </is>
      </c>
      <c r="D75" s="3" t="inlineStr">
        <is>
          <t>Boots</t>
        </is>
      </c>
      <c r="E75" s="3" t="inlineStr">
        <is>
          <t>Northern</t>
        </is>
      </c>
      <c r="F75" s="3" t="inlineStr">
        <is>
          <t>Phone/WhatsApp</t>
        </is>
      </c>
      <c r="G75" s="3" t="inlineStr">
        <is>
          <t>Returning</t>
        </is>
      </c>
      <c r="H75" s="3" t="n">
        <v>10</v>
      </c>
      <c r="I75" s="3" t="n">
        <v>605</v>
      </c>
      <c r="J75" s="3" t="n">
        <v>329.79</v>
      </c>
      <c r="K75" s="3" t="n">
        <v>0.15</v>
      </c>
      <c r="L75" s="3" t="n">
        <v>11.96</v>
      </c>
    </row>
    <row r="76">
      <c r="A76" s="3" t="inlineStr">
        <is>
          <t>ORD-10075</t>
        </is>
      </c>
      <c r="B76" s="6" t="n">
        <v>45920</v>
      </c>
      <c r="C76" s="3" t="inlineStr">
        <is>
          <t>Footwear</t>
        </is>
      </c>
      <c r="D76" s="3" t="inlineStr">
        <is>
          <t>Formal Shoes</t>
        </is>
      </c>
      <c r="E76" s="3" t="inlineStr">
        <is>
          <t>Greater Accra</t>
        </is>
      </c>
      <c r="F76" s="3" t="inlineStr">
        <is>
          <t>Retail Shop</t>
        </is>
      </c>
      <c r="G76" s="3" t="inlineStr">
        <is>
          <t>New</t>
        </is>
      </c>
      <c r="H76" s="3" t="n">
        <v>4</v>
      </c>
      <c r="I76" s="3" t="n">
        <v>495</v>
      </c>
      <c r="J76" s="3" t="n">
        <v>268.8</v>
      </c>
      <c r="K76" s="3" t="n">
        <v>0.05</v>
      </c>
      <c r="L76" s="3" t="n">
        <v>3.04</v>
      </c>
    </row>
    <row r="77">
      <c r="A77" s="3" t="inlineStr">
        <is>
          <t>ORD-10076</t>
        </is>
      </c>
      <c r="B77" s="6" t="n">
        <v>45703</v>
      </c>
      <c r="C77" s="3" t="inlineStr">
        <is>
          <t>Accessories</t>
        </is>
      </c>
      <c r="D77" s="3" t="inlineStr">
        <is>
          <t>Belts</t>
        </is>
      </c>
      <c r="E77" s="3" t="inlineStr">
        <is>
          <t>Central</t>
        </is>
      </c>
      <c r="F77" s="3" t="inlineStr">
        <is>
          <t>Retail Shop</t>
        </is>
      </c>
      <c r="G77" s="3" t="inlineStr">
        <is>
          <t>New</t>
        </is>
      </c>
      <c r="H77" s="3" t="n">
        <v>1</v>
      </c>
      <c r="I77" s="3" t="n">
        <v>115</v>
      </c>
      <c r="J77" s="3" t="n">
        <v>57.16</v>
      </c>
      <c r="K77" s="3" t="n">
        <v>0</v>
      </c>
      <c r="L77" s="3" t="n">
        <v>1.22</v>
      </c>
    </row>
    <row r="78">
      <c r="A78" s="3" t="inlineStr">
        <is>
          <t>ORD-10077</t>
        </is>
      </c>
      <c r="B78" s="6" t="n">
        <v>45911</v>
      </c>
      <c r="C78" s="3" t="inlineStr">
        <is>
          <t>Footwear</t>
        </is>
      </c>
      <c r="D78" s="3" t="inlineStr">
        <is>
          <t>Sneakers</t>
        </is>
      </c>
      <c r="E78" s="3" t="inlineStr">
        <is>
          <t>Ashanti</t>
        </is>
      </c>
      <c r="F78" s="3" t="inlineStr">
        <is>
          <t>Retail Shop</t>
        </is>
      </c>
      <c r="G78" s="3" t="inlineStr">
        <is>
          <t>Returning</t>
        </is>
      </c>
      <c r="H78" s="3" t="n">
        <v>5</v>
      </c>
      <c r="I78" s="3" t="n">
        <v>265</v>
      </c>
      <c r="J78" s="3" t="n">
        <v>139.15</v>
      </c>
      <c r="K78" s="3" t="n">
        <v>0</v>
      </c>
      <c r="L78" s="3" t="n">
        <v>2.28</v>
      </c>
    </row>
    <row r="79">
      <c r="A79" s="3" t="inlineStr">
        <is>
          <t>ORD-10078</t>
        </is>
      </c>
      <c r="B79" s="6" t="n">
        <v>45768</v>
      </c>
      <c r="C79" s="3" t="inlineStr">
        <is>
          <t>Footwear</t>
        </is>
      </c>
      <c r="D79" s="3" t="inlineStr">
        <is>
          <t>Sneakers</t>
        </is>
      </c>
      <c r="E79" s="3" t="inlineStr">
        <is>
          <t>Ashanti</t>
        </is>
      </c>
      <c r="F79" s="3" t="inlineStr">
        <is>
          <t>Retail Shop</t>
        </is>
      </c>
      <c r="G79" s="3" t="inlineStr">
        <is>
          <t>New</t>
        </is>
      </c>
      <c r="H79" s="3" t="n">
        <v>3</v>
      </c>
      <c r="I79" s="3" t="n">
        <v>600</v>
      </c>
      <c r="J79" s="3" t="n">
        <v>315.9</v>
      </c>
      <c r="K79" s="3" t="n">
        <v>0.1</v>
      </c>
      <c r="L79" s="3" t="n">
        <v>1.96</v>
      </c>
    </row>
    <row r="80">
      <c r="A80" s="3" t="inlineStr">
        <is>
          <t>ORD-10079</t>
        </is>
      </c>
      <c r="B80" s="6" t="n">
        <v>45979</v>
      </c>
      <c r="C80" s="3" t="inlineStr">
        <is>
          <t>Clothing</t>
        </is>
      </c>
      <c r="D80" s="3" t="inlineStr">
        <is>
          <t>Dresses</t>
        </is>
      </c>
      <c r="E80" s="3" t="inlineStr">
        <is>
          <t>Ashanti</t>
        </is>
      </c>
      <c r="F80" s="3" t="inlineStr">
        <is>
          <t>Online</t>
        </is>
      </c>
      <c r="G80" s="3" t="inlineStr">
        <is>
          <t>Returning</t>
        </is>
      </c>
      <c r="H80" s="3" t="n">
        <v>3</v>
      </c>
      <c r="I80" s="3" t="n">
        <v>140</v>
      </c>
      <c r="J80" s="3" t="n">
        <v>68.81</v>
      </c>
      <c r="K80" s="3" t="n">
        <v>0.1</v>
      </c>
      <c r="L80" s="3" t="n">
        <v>14.8</v>
      </c>
    </row>
    <row r="81">
      <c r="A81" s="3" t="inlineStr">
        <is>
          <t>ORD-10080</t>
        </is>
      </c>
      <c r="B81" s="6" t="n">
        <v>45701</v>
      </c>
      <c r="C81" s="3" t="inlineStr">
        <is>
          <t>Footwear</t>
        </is>
      </c>
      <c r="D81" s="3" t="inlineStr">
        <is>
          <t>Boots</t>
        </is>
      </c>
      <c r="E81" s="3" t="inlineStr">
        <is>
          <t>Greater Accra</t>
        </is>
      </c>
      <c r="F81" s="3" t="inlineStr">
        <is>
          <t>Retail Shop</t>
        </is>
      </c>
      <c r="G81" s="3" t="inlineStr">
        <is>
          <t>Returning</t>
        </is>
      </c>
      <c r="H81" s="3" t="n">
        <v>10</v>
      </c>
      <c r="I81" s="3" t="n">
        <v>290</v>
      </c>
      <c r="J81" s="3" t="n">
        <v>180.76</v>
      </c>
      <c r="K81" s="3" t="n">
        <v>0.15</v>
      </c>
      <c r="L81" s="3" t="n">
        <v>11.19</v>
      </c>
    </row>
    <row r="82">
      <c r="A82" s="3" t="inlineStr">
        <is>
          <t>ORD-10081</t>
        </is>
      </c>
      <c r="B82" s="6" t="n">
        <v>45949</v>
      </c>
      <c r="C82" s="3" t="inlineStr">
        <is>
          <t>Clothing</t>
        </is>
      </c>
      <c r="D82" s="3" t="inlineStr">
        <is>
          <t>Jackets</t>
        </is>
      </c>
      <c r="E82" s="3" t="inlineStr">
        <is>
          <t>Ashanti</t>
        </is>
      </c>
      <c r="F82" s="3" t="inlineStr">
        <is>
          <t>Online</t>
        </is>
      </c>
      <c r="G82" s="3" t="inlineStr">
        <is>
          <t>Returning</t>
        </is>
      </c>
      <c r="H82" s="3" t="n">
        <v>1</v>
      </c>
      <c r="I82" s="3" t="n">
        <v>165</v>
      </c>
      <c r="J82" s="3" t="n">
        <v>87.02</v>
      </c>
      <c r="K82" s="3" t="n">
        <v>0.05</v>
      </c>
      <c r="L82" s="3" t="n">
        <v>14.4</v>
      </c>
    </row>
    <row r="83">
      <c r="A83" s="3" t="inlineStr">
        <is>
          <t>ORD-10082</t>
        </is>
      </c>
      <c r="B83" s="6" t="n">
        <v>45976</v>
      </c>
      <c r="C83" s="3" t="inlineStr">
        <is>
          <t>Footwear</t>
        </is>
      </c>
      <c r="D83" s="3" t="inlineStr">
        <is>
          <t>Boots</t>
        </is>
      </c>
      <c r="E83" s="3" t="inlineStr">
        <is>
          <t>Western</t>
        </is>
      </c>
      <c r="F83" s="3" t="inlineStr">
        <is>
          <t>Phone/WhatsApp</t>
        </is>
      </c>
      <c r="G83" s="3" t="inlineStr">
        <is>
          <t>Returning</t>
        </is>
      </c>
      <c r="H83" s="3" t="n">
        <v>5</v>
      </c>
      <c r="I83" s="3" t="n">
        <v>230</v>
      </c>
      <c r="J83" s="3" t="n">
        <v>120.12</v>
      </c>
      <c r="K83" s="3" t="n">
        <v>0.05</v>
      </c>
      <c r="L83" s="3" t="n">
        <v>32.14</v>
      </c>
    </row>
    <row r="84">
      <c r="A84" s="3" t="inlineStr">
        <is>
          <t>ORD-10083</t>
        </is>
      </c>
      <c r="B84" s="6" t="n">
        <v>45928</v>
      </c>
      <c r="C84" s="3" t="inlineStr">
        <is>
          <t>Clothing</t>
        </is>
      </c>
      <c r="D84" s="3" t="inlineStr">
        <is>
          <t>Trousers</t>
        </is>
      </c>
      <c r="E84" s="3" t="inlineStr">
        <is>
          <t>Ashanti</t>
        </is>
      </c>
      <c r="F84" s="3" t="inlineStr">
        <is>
          <t>Phone/WhatsApp</t>
        </is>
      </c>
      <c r="G84" s="3" t="inlineStr">
        <is>
          <t>New</t>
        </is>
      </c>
      <c r="H84" s="3" t="n">
        <v>1</v>
      </c>
      <c r="I84" s="3" t="n">
        <v>185</v>
      </c>
      <c r="J84" s="3" t="n">
        <v>104.79</v>
      </c>
      <c r="K84" s="3" t="n">
        <v>0.05</v>
      </c>
      <c r="L84" s="3" t="n">
        <v>35.29</v>
      </c>
    </row>
    <row r="85">
      <c r="A85" s="3" t="inlineStr">
        <is>
          <t>ORD-10084</t>
        </is>
      </c>
      <c r="B85" s="6" t="n">
        <v>45682</v>
      </c>
      <c r="C85" s="3" t="inlineStr">
        <is>
          <t>Footwear</t>
        </is>
      </c>
      <c r="D85" s="3" t="inlineStr">
        <is>
          <t>Sneakers</t>
        </is>
      </c>
      <c r="E85" s="3" t="inlineStr">
        <is>
          <t>Ashanti</t>
        </is>
      </c>
      <c r="F85" s="3" t="inlineStr">
        <is>
          <t>Online</t>
        </is>
      </c>
      <c r="G85" s="3" t="inlineStr">
        <is>
          <t>Returning</t>
        </is>
      </c>
      <c r="H85" s="3" t="n">
        <v>1</v>
      </c>
      <c r="I85" s="3" t="n">
        <v>375</v>
      </c>
      <c r="J85" s="3" t="n">
        <v>195.3</v>
      </c>
      <c r="K85" s="3" t="n">
        <v>0</v>
      </c>
      <c r="L85" s="3" t="n">
        <v>30.61</v>
      </c>
    </row>
    <row r="86">
      <c r="A86" s="3" t="inlineStr">
        <is>
          <t>ORD-10085</t>
        </is>
      </c>
      <c r="B86" s="6" t="n">
        <v>45853</v>
      </c>
      <c r="C86" s="3" t="inlineStr">
        <is>
          <t>Footwear</t>
        </is>
      </c>
      <c r="D86" s="3" t="inlineStr">
        <is>
          <t>Sneakers</t>
        </is>
      </c>
      <c r="E86" s="3" t="inlineStr">
        <is>
          <t>Central</t>
        </is>
      </c>
      <c r="F86" s="3" t="inlineStr">
        <is>
          <t>Retail Shop</t>
        </is>
      </c>
      <c r="G86" s="3" t="inlineStr">
        <is>
          <t>Returning</t>
        </is>
      </c>
      <c r="H86" s="3" t="n">
        <v>1</v>
      </c>
      <c r="I86" s="3" t="n">
        <v>355</v>
      </c>
      <c r="J86" s="3" t="n">
        <v>178.43</v>
      </c>
      <c r="K86" s="3" t="n">
        <v>0</v>
      </c>
      <c r="L86" s="3" t="n">
        <v>4.9</v>
      </c>
    </row>
    <row r="87">
      <c r="A87" s="3" t="inlineStr">
        <is>
          <t>ORD-10086</t>
        </is>
      </c>
      <c r="B87" s="6" t="n">
        <v>45668</v>
      </c>
      <c r="C87" s="3" t="inlineStr">
        <is>
          <t>Home &amp; Lifestyle</t>
        </is>
      </c>
      <c r="D87" s="3" t="inlineStr">
        <is>
          <t>Wallets</t>
        </is>
      </c>
      <c r="E87" s="3" t="inlineStr">
        <is>
          <t>Western</t>
        </is>
      </c>
      <c r="F87" s="3" t="inlineStr">
        <is>
          <t>Online</t>
        </is>
      </c>
      <c r="G87" s="3" t="inlineStr">
        <is>
          <t>Returning</t>
        </is>
      </c>
      <c r="H87" s="3" t="n">
        <v>1</v>
      </c>
      <c r="I87" s="3" t="n">
        <v>235</v>
      </c>
      <c r="J87" s="3" t="n">
        <v>124.97</v>
      </c>
      <c r="K87" s="3" t="n">
        <v>0</v>
      </c>
      <c r="L87" s="3" t="n">
        <v>40.35</v>
      </c>
    </row>
    <row r="88">
      <c r="A88" s="3" t="inlineStr">
        <is>
          <t>ORD-10087</t>
        </is>
      </c>
      <c r="B88" s="6" t="n">
        <v>45842</v>
      </c>
      <c r="C88" s="3" t="inlineStr">
        <is>
          <t>Footwear</t>
        </is>
      </c>
      <c r="D88" s="3" t="inlineStr">
        <is>
          <t>Formal Shoes</t>
        </is>
      </c>
      <c r="E88" s="3" t="inlineStr">
        <is>
          <t>Greater Accra</t>
        </is>
      </c>
      <c r="F88" s="3" t="inlineStr">
        <is>
          <t>Retail Shop</t>
        </is>
      </c>
      <c r="G88" s="3" t="inlineStr">
        <is>
          <t>New</t>
        </is>
      </c>
      <c r="H88" s="3" t="n">
        <v>1</v>
      </c>
      <c r="I88" s="3" t="n">
        <v>255</v>
      </c>
      <c r="J88" s="3" t="n">
        <v>130.37</v>
      </c>
      <c r="K88" s="3" t="n">
        <v>0</v>
      </c>
      <c r="L88" s="3" t="n">
        <v>1.51</v>
      </c>
    </row>
    <row r="89">
      <c r="A89" s="3" t="inlineStr">
        <is>
          <t>ORD-10088</t>
        </is>
      </c>
      <c r="B89" s="6" t="n">
        <v>45836</v>
      </c>
      <c r="C89" s="3" t="inlineStr">
        <is>
          <t>Home &amp; Lifestyle</t>
        </is>
      </c>
      <c r="D89" s="3" t="inlineStr">
        <is>
          <t>Small Home Goods</t>
        </is>
      </c>
      <c r="E89" s="3" t="inlineStr">
        <is>
          <t>Central</t>
        </is>
      </c>
      <c r="F89" s="3" t="inlineStr">
        <is>
          <t>Retail Shop</t>
        </is>
      </c>
      <c r="G89" s="3" t="inlineStr">
        <is>
          <t>New</t>
        </is>
      </c>
      <c r="H89" s="3" t="n">
        <v>1</v>
      </c>
      <c r="I89" s="3" t="n">
        <v>100</v>
      </c>
      <c r="J89" s="3" t="n">
        <v>51.95</v>
      </c>
      <c r="K89" s="3" t="n">
        <v>0.05</v>
      </c>
      <c r="L89" s="3" t="n">
        <v>6.43</v>
      </c>
    </row>
    <row r="90">
      <c r="A90" s="3" t="inlineStr">
        <is>
          <t>ORD-10089</t>
        </is>
      </c>
      <c r="B90" s="6" t="n">
        <v>45787</v>
      </c>
      <c r="C90" s="3" t="inlineStr">
        <is>
          <t>Accessories</t>
        </is>
      </c>
      <c r="D90" s="3" t="inlineStr">
        <is>
          <t>Watches</t>
        </is>
      </c>
      <c r="E90" s="3" t="inlineStr">
        <is>
          <t>Greater Accra</t>
        </is>
      </c>
      <c r="F90" s="3" t="inlineStr">
        <is>
          <t>Retail Shop</t>
        </is>
      </c>
      <c r="G90" s="3" t="inlineStr">
        <is>
          <t>New</t>
        </is>
      </c>
      <c r="H90" s="3" t="n">
        <v>1</v>
      </c>
      <c r="I90" s="3" t="n">
        <v>155</v>
      </c>
      <c r="J90" s="3" t="n">
        <v>78.73999999999999</v>
      </c>
      <c r="K90" s="3" t="n">
        <v>0.1</v>
      </c>
      <c r="L90" s="3" t="n">
        <v>2.6</v>
      </c>
    </row>
    <row r="91">
      <c r="A91" s="3" t="inlineStr">
        <is>
          <t>ORD-10090</t>
        </is>
      </c>
      <c r="B91" s="6" t="n">
        <v>45882</v>
      </c>
      <c r="C91" s="3" t="inlineStr">
        <is>
          <t>Footwear</t>
        </is>
      </c>
      <c r="D91" s="3" t="inlineStr">
        <is>
          <t>Formal Shoes</t>
        </is>
      </c>
      <c r="E91" s="3" t="inlineStr">
        <is>
          <t>Northern</t>
        </is>
      </c>
      <c r="F91" s="3" t="inlineStr">
        <is>
          <t>Retail Shop</t>
        </is>
      </c>
      <c r="G91" s="3" t="inlineStr">
        <is>
          <t>Returning</t>
        </is>
      </c>
      <c r="H91" s="3" t="n">
        <v>5</v>
      </c>
      <c r="I91" s="3" t="n">
        <v>360</v>
      </c>
      <c r="J91" s="3" t="n">
        <v>221.79</v>
      </c>
      <c r="K91" s="3" t="n">
        <v>0</v>
      </c>
      <c r="L91" s="3" t="n">
        <v>4.15</v>
      </c>
    </row>
    <row r="92">
      <c r="A92" s="3" t="inlineStr">
        <is>
          <t>ORD-10091</t>
        </is>
      </c>
      <c r="B92" s="6" t="n">
        <v>45698</v>
      </c>
      <c r="C92" s="3" t="inlineStr">
        <is>
          <t>Accessories</t>
        </is>
      </c>
      <c r="D92" s="3" t="inlineStr">
        <is>
          <t>Belts</t>
        </is>
      </c>
      <c r="E92" s="3" t="inlineStr">
        <is>
          <t>Greater Accra</t>
        </is>
      </c>
      <c r="F92" s="3" t="inlineStr">
        <is>
          <t>Retail Shop</t>
        </is>
      </c>
      <c r="G92" s="3" t="inlineStr">
        <is>
          <t>Returning</t>
        </is>
      </c>
      <c r="H92" s="3" t="n">
        <v>3</v>
      </c>
      <c r="I92" s="3" t="n">
        <v>75</v>
      </c>
      <c r="J92" s="3" t="n">
        <v>34.69</v>
      </c>
      <c r="K92" s="3" t="n">
        <v>0</v>
      </c>
      <c r="L92" s="3" t="n">
        <v>3.18</v>
      </c>
    </row>
    <row r="93">
      <c r="A93" s="3" t="inlineStr">
        <is>
          <t>ORD-10092</t>
        </is>
      </c>
      <c r="B93" s="6" t="n">
        <v>45852</v>
      </c>
      <c r="C93" s="3" t="inlineStr">
        <is>
          <t>Footwear</t>
        </is>
      </c>
      <c r="D93" s="3" t="inlineStr">
        <is>
          <t>Boots</t>
        </is>
      </c>
      <c r="E93" s="3" t="inlineStr">
        <is>
          <t>Ashanti</t>
        </is>
      </c>
      <c r="F93" s="3" t="inlineStr">
        <is>
          <t>Retail Shop</t>
        </is>
      </c>
      <c r="G93" s="3" t="inlineStr">
        <is>
          <t>Returning</t>
        </is>
      </c>
      <c r="H93" s="3" t="n">
        <v>2</v>
      </c>
      <c r="I93" s="3" t="n">
        <v>435</v>
      </c>
      <c r="J93" s="3" t="n">
        <v>227.45</v>
      </c>
      <c r="K93" s="3" t="n">
        <v>0.05</v>
      </c>
      <c r="L93" s="3" t="n">
        <v>4.2</v>
      </c>
    </row>
    <row r="94">
      <c r="A94" s="3" t="inlineStr">
        <is>
          <t>ORD-10093</t>
        </is>
      </c>
      <c r="B94" s="6" t="n">
        <v>45899</v>
      </c>
      <c r="C94" s="3" t="inlineStr">
        <is>
          <t>Home &amp; Lifestyle</t>
        </is>
      </c>
      <c r="D94" s="3" t="inlineStr">
        <is>
          <t>Backpacks</t>
        </is>
      </c>
      <c r="E94" s="3" t="inlineStr">
        <is>
          <t>Greater Accra</t>
        </is>
      </c>
      <c r="F94" s="3" t="inlineStr">
        <is>
          <t>Retail Shop</t>
        </is>
      </c>
      <c r="G94" s="3" t="inlineStr">
        <is>
          <t>Returning</t>
        </is>
      </c>
      <c r="H94" s="3" t="n">
        <v>3</v>
      </c>
      <c r="I94" s="3" t="n">
        <v>165</v>
      </c>
      <c r="J94" s="3" t="n">
        <v>92.14</v>
      </c>
      <c r="K94" s="3" t="n">
        <v>0.1</v>
      </c>
      <c r="L94" s="3" t="n">
        <v>10.76</v>
      </c>
    </row>
    <row r="95">
      <c r="A95" s="3" t="inlineStr">
        <is>
          <t>ORD-10094</t>
        </is>
      </c>
      <c r="B95" s="6" t="n">
        <v>45966</v>
      </c>
      <c r="C95" s="3" t="inlineStr">
        <is>
          <t>Accessories</t>
        </is>
      </c>
      <c r="D95" s="3" t="inlineStr">
        <is>
          <t>Sunglasses</t>
        </is>
      </c>
      <c r="E95" s="3" t="inlineStr">
        <is>
          <t>Greater Accra</t>
        </is>
      </c>
      <c r="F95" s="3" t="inlineStr">
        <is>
          <t>Retail Shop</t>
        </is>
      </c>
      <c r="G95" s="3" t="inlineStr">
        <is>
          <t>Returning</t>
        </is>
      </c>
      <c r="H95" s="3" t="n">
        <v>1</v>
      </c>
      <c r="I95" s="3" t="n">
        <v>145</v>
      </c>
      <c r="J95" s="3" t="n">
        <v>73.38</v>
      </c>
      <c r="K95" s="3" t="n">
        <v>0</v>
      </c>
      <c r="L95" s="3" t="n">
        <v>0.86</v>
      </c>
    </row>
    <row r="96">
      <c r="A96" s="3" t="inlineStr">
        <is>
          <t>ORD-10095</t>
        </is>
      </c>
      <c r="B96" s="6" t="n">
        <v>45764</v>
      </c>
      <c r="C96" s="3" t="inlineStr">
        <is>
          <t>Footwear</t>
        </is>
      </c>
      <c r="D96" s="3" t="inlineStr">
        <is>
          <t>Sandals</t>
        </is>
      </c>
      <c r="E96" s="3" t="inlineStr">
        <is>
          <t>Greater Accra</t>
        </is>
      </c>
      <c r="F96" s="3" t="inlineStr">
        <is>
          <t>Retail Shop</t>
        </is>
      </c>
      <c r="G96" s="3" t="inlineStr">
        <is>
          <t>Returning</t>
        </is>
      </c>
      <c r="H96" s="3" t="n">
        <v>1</v>
      </c>
      <c r="I96" s="3" t="n">
        <v>205</v>
      </c>
      <c r="J96" s="3" t="n">
        <v>112.73</v>
      </c>
      <c r="K96" s="3" t="n">
        <v>0.05</v>
      </c>
      <c r="L96" s="3" t="n">
        <v>9.710000000000001</v>
      </c>
    </row>
    <row r="97">
      <c r="A97" s="3" t="inlineStr">
        <is>
          <t>ORD-10096</t>
        </is>
      </c>
      <c r="B97" s="6" t="n">
        <v>45886</v>
      </c>
      <c r="C97" s="3" t="inlineStr">
        <is>
          <t>Clothing</t>
        </is>
      </c>
      <c r="D97" s="3" t="inlineStr">
        <is>
          <t>Shirts</t>
        </is>
      </c>
      <c r="E97" s="3" t="inlineStr">
        <is>
          <t>Greater Accra</t>
        </is>
      </c>
      <c r="F97" s="3" t="inlineStr">
        <is>
          <t>Retail Shop</t>
        </is>
      </c>
      <c r="G97" s="3" t="inlineStr">
        <is>
          <t>New</t>
        </is>
      </c>
      <c r="H97" s="3" t="n">
        <v>4</v>
      </c>
      <c r="I97" s="3" t="n">
        <v>240</v>
      </c>
      <c r="J97" s="3" t="n">
        <v>126.37</v>
      </c>
      <c r="K97" s="3" t="n">
        <v>0</v>
      </c>
      <c r="L97" s="3" t="n">
        <v>1.51</v>
      </c>
    </row>
    <row r="98">
      <c r="A98" s="3" t="inlineStr">
        <is>
          <t>ORD-10097</t>
        </is>
      </c>
      <c r="B98" s="6" t="n">
        <v>45961</v>
      </c>
      <c r="C98" s="3" t="inlineStr">
        <is>
          <t>Home &amp; Lifestyle</t>
        </is>
      </c>
      <c r="D98" s="3" t="inlineStr">
        <is>
          <t>Backpacks</t>
        </is>
      </c>
      <c r="E98" s="3" t="inlineStr">
        <is>
          <t>Central</t>
        </is>
      </c>
      <c r="F98" s="3" t="inlineStr">
        <is>
          <t>Retail Shop</t>
        </is>
      </c>
      <c r="G98" s="3" t="inlineStr">
        <is>
          <t>Returning</t>
        </is>
      </c>
      <c r="H98" s="3" t="n">
        <v>5</v>
      </c>
      <c r="I98" s="3" t="n">
        <v>90</v>
      </c>
      <c r="J98" s="3" t="n">
        <v>51.19</v>
      </c>
      <c r="K98" s="3" t="n">
        <v>0.05</v>
      </c>
      <c r="L98" s="3" t="n">
        <v>8.6</v>
      </c>
    </row>
    <row r="99">
      <c r="A99" s="3" t="inlineStr">
        <is>
          <t>ORD-10098</t>
        </is>
      </c>
      <c r="B99" s="6" t="n">
        <v>45853</v>
      </c>
      <c r="C99" s="3" t="inlineStr">
        <is>
          <t>Footwear</t>
        </is>
      </c>
      <c r="D99" s="3" t="inlineStr">
        <is>
          <t>Sandals</t>
        </is>
      </c>
      <c r="E99" s="3" t="inlineStr">
        <is>
          <t>Central</t>
        </is>
      </c>
      <c r="F99" s="3" t="inlineStr">
        <is>
          <t>Retail Shop</t>
        </is>
      </c>
      <c r="G99" s="3" t="inlineStr">
        <is>
          <t>Returning</t>
        </is>
      </c>
      <c r="H99" s="3" t="n">
        <v>2</v>
      </c>
      <c r="I99" s="3" t="n">
        <v>345</v>
      </c>
      <c r="J99" s="3" t="n">
        <v>217.41</v>
      </c>
      <c r="K99" s="3" t="n">
        <v>0.05</v>
      </c>
      <c r="L99" s="3" t="n">
        <v>8.82</v>
      </c>
    </row>
    <row r="100">
      <c r="A100" s="3" t="inlineStr">
        <is>
          <t>ORD-10099</t>
        </is>
      </c>
      <c r="B100" s="6" t="n">
        <v>45904</v>
      </c>
      <c r="C100" s="3" t="inlineStr">
        <is>
          <t>Accessories</t>
        </is>
      </c>
      <c r="D100" s="3" t="inlineStr">
        <is>
          <t>Belts</t>
        </is>
      </c>
      <c r="E100" s="3" t="inlineStr">
        <is>
          <t>Greater Accra</t>
        </is>
      </c>
      <c r="F100" s="3" t="inlineStr">
        <is>
          <t>Online</t>
        </is>
      </c>
      <c r="G100" s="3" t="inlineStr">
        <is>
          <t>Returning</t>
        </is>
      </c>
      <c r="H100" s="3" t="n">
        <v>2</v>
      </c>
      <c r="I100" s="3" t="n">
        <v>130</v>
      </c>
      <c r="J100" s="3" t="n">
        <v>69.28</v>
      </c>
      <c r="K100" s="3" t="n">
        <v>0.2</v>
      </c>
      <c r="L100" s="3" t="n">
        <v>37.74</v>
      </c>
    </row>
    <row r="101">
      <c r="A101" s="3" t="inlineStr">
        <is>
          <t>ORD-10100</t>
        </is>
      </c>
      <c r="B101" s="6" t="n">
        <v>45724</v>
      </c>
      <c r="C101" s="3" t="inlineStr">
        <is>
          <t>Clothing</t>
        </is>
      </c>
      <c r="D101" s="3" t="inlineStr">
        <is>
          <t>Trousers</t>
        </is>
      </c>
      <c r="E101" s="3" t="inlineStr">
        <is>
          <t>Ashanti</t>
        </is>
      </c>
      <c r="F101" s="3" t="inlineStr">
        <is>
          <t>Phone/WhatsApp</t>
        </is>
      </c>
      <c r="G101" s="3" t="inlineStr">
        <is>
          <t>New</t>
        </is>
      </c>
      <c r="H101" s="3" t="n">
        <v>2</v>
      </c>
      <c r="I101" s="3" t="n">
        <v>165</v>
      </c>
      <c r="J101" s="3" t="n">
        <v>83.68000000000001</v>
      </c>
      <c r="K101" s="3" t="n">
        <v>0.05</v>
      </c>
      <c r="L101" s="3" t="n">
        <v>36.76</v>
      </c>
    </row>
    <row r="102">
      <c r="A102" s="3" t="inlineStr">
        <is>
          <t>ORD-10101</t>
        </is>
      </c>
      <c r="B102" s="6" t="n">
        <v>45906</v>
      </c>
      <c r="C102" s="3" t="inlineStr">
        <is>
          <t>Clothing</t>
        </is>
      </c>
      <c r="D102" s="3" t="inlineStr">
        <is>
          <t>Jackets</t>
        </is>
      </c>
      <c r="E102" s="3" t="inlineStr">
        <is>
          <t>Ashanti</t>
        </is>
      </c>
      <c r="F102" s="3" t="inlineStr">
        <is>
          <t>Retail Shop</t>
        </is>
      </c>
      <c r="G102" s="3" t="inlineStr">
        <is>
          <t>Returning</t>
        </is>
      </c>
      <c r="H102" s="3" t="n">
        <v>3</v>
      </c>
      <c r="I102" s="3" t="n">
        <v>75</v>
      </c>
      <c r="J102" s="3" t="n">
        <v>38.48</v>
      </c>
      <c r="K102" s="3" t="n">
        <v>0.1</v>
      </c>
      <c r="L102" s="3" t="n">
        <v>1.41</v>
      </c>
    </row>
    <row r="103">
      <c r="A103" s="3" t="inlineStr">
        <is>
          <t>ORD-10102</t>
        </is>
      </c>
      <c r="B103" s="6" t="n">
        <v>45864</v>
      </c>
      <c r="C103" s="3" t="inlineStr">
        <is>
          <t>Footwear</t>
        </is>
      </c>
      <c r="D103" s="3" t="inlineStr">
        <is>
          <t>Sandals</t>
        </is>
      </c>
      <c r="E103" s="3" t="inlineStr">
        <is>
          <t>Northern</t>
        </is>
      </c>
      <c r="F103" s="3" t="inlineStr">
        <is>
          <t>Phone/WhatsApp</t>
        </is>
      </c>
      <c r="G103" s="3" t="inlineStr">
        <is>
          <t>Returning</t>
        </is>
      </c>
      <c r="H103" s="3" t="n">
        <v>2</v>
      </c>
      <c r="I103" s="3" t="n">
        <v>475</v>
      </c>
      <c r="J103" s="3" t="n">
        <v>294.87</v>
      </c>
      <c r="K103" s="3" t="n">
        <v>0.05</v>
      </c>
      <c r="L103" s="3" t="n">
        <v>29</v>
      </c>
    </row>
    <row r="104">
      <c r="A104" s="3" t="inlineStr">
        <is>
          <t>ORD-10103</t>
        </is>
      </c>
      <c r="B104" s="6" t="n">
        <v>45937</v>
      </c>
      <c r="C104" s="3" t="inlineStr">
        <is>
          <t>Accessories</t>
        </is>
      </c>
      <c r="D104" s="3" t="inlineStr">
        <is>
          <t>Bags</t>
        </is>
      </c>
      <c r="E104" s="3" t="inlineStr">
        <is>
          <t>Greater Accra</t>
        </is>
      </c>
      <c r="F104" s="3" t="inlineStr">
        <is>
          <t>Retail Shop</t>
        </is>
      </c>
      <c r="G104" s="3" t="inlineStr">
        <is>
          <t>Returning</t>
        </is>
      </c>
      <c r="H104" s="3" t="n">
        <v>2</v>
      </c>
      <c r="I104" s="3" t="n">
        <v>90</v>
      </c>
      <c r="J104" s="3" t="n">
        <v>42.85</v>
      </c>
      <c r="K104" s="3" t="n">
        <v>0</v>
      </c>
      <c r="L104" s="3" t="n">
        <v>6.93</v>
      </c>
    </row>
    <row r="105">
      <c r="A105" s="3" t="inlineStr">
        <is>
          <t>ORD-10104</t>
        </is>
      </c>
      <c r="B105" s="6" t="n">
        <v>45935</v>
      </c>
      <c r="C105" s="3" t="inlineStr">
        <is>
          <t>Accessories</t>
        </is>
      </c>
      <c r="D105" s="3" t="inlineStr">
        <is>
          <t>Bags</t>
        </is>
      </c>
      <c r="E105" s="3" t="inlineStr">
        <is>
          <t>Ashanti</t>
        </is>
      </c>
      <c r="F105" s="3" t="inlineStr">
        <is>
          <t>Online</t>
        </is>
      </c>
      <c r="G105" s="3" t="inlineStr">
        <is>
          <t>New</t>
        </is>
      </c>
      <c r="H105" s="3" t="n">
        <v>1</v>
      </c>
      <c r="I105" s="3" t="n">
        <v>150</v>
      </c>
      <c r="J105" s="3" t="n">
        <v>76.70999999999999</v>
      </c>
      <c r="K105" s="3" t="n">
        <v>0</v>
      </c>
      <c r="L105" s="3" t="n">
        <v>9.56</v>
      </c>
    </row>
    <row r="106">
      <c r="A106" s="3" t="inlineStr">
        <is>
          <t>ORD-10105</t>
        </is>
      </c>
      <c r="B106" s="6" t="n">
        <v>45975</v>
      </c>
      <c r="C106" s="3" t="inlineStr">
        <is>
          <t>Home &amp; Lifestyle</t>
        </is>
      </c>
      <c r="D106" s="3" t="inlineStr">
        <is>
          <t>Backpacks</t>
        </is>
      </c>
      <c r="E106" s="3" t="inlineStr">
        <is>
          <t>Greater Accra</t>
        </is>
      </c>
      <c r="F106" s="3" t="inlineStr">
        <is>
          <t>Retail Shop</t>
        </is>
      </c>
      <c r="G106" s="3" t="inlineStr">
        <is>
          <t>New</t>
        </is>
      </c>
      <c r="H106" s="3" t="n">
        <v>1</v>
      </c>
      <c r="I106" s="3" t="n">
        <v>140</v>
      </c>
      <c r="J106" s="3" t="n">
        <v>82.41</v>
      </c>
      <c r="K106" s="3" t="n">
        <v>0.05</v>
      </c>
      <c r="L106" s="3" t="n">
        <v>4.21</v>
      </c>
    </row>
    <row r="107">
      <c r="A107" s="3" t="inlineStr">
        <is>
          <t>ORD-10106</t>
        </is>
      </c>
      <c r="B107" s="6" t="n">
        <v>45821</v>
      </c>
      <c r="C107" s="3" t="inlineStr">
        <is>
          <t>Footwear</t>
        </is>
      </c>
      <c r="D107" s="3" t="inlineStr">
        <is>
          <t>Formal Shoes</t>
        </is>
      </c>
      <c r="E107" s="3" t="inlineStr">
        <is>
          <t>Western</t>
        </is>
      </c>
      <c r="F107" s="3" t="inlineStr">
        <is>
          <t>Online</t>
        </is>
      </c>
      <c r="G107" s="3" t="inlineStr">
        <is>
          <t>Returning</t>
        </is>
      </c>
      <c r="H107" s="3" t="n">
        <v>3</v>
      </c>
      <c r="I107" s="3" t="n">
        <v>215</v>
      </c>
      <c r="J107" s="3" t="n">
        <v>112.77</v>
      </c>
      <c r="K107" s="3" t="n">
        <v>0</v>
      </c>
      <c r="L107" s="3" t="n">
        <v>14.82</v>
      </c>
    </row>
    <row r="108">
      <c r="A108" s="3" t="inlineStr">
        <is>
          <t>ORD-10107</t>
        </is>
      </c>
      <c r="B108" s="6" t="n">
        <v>45773</v>
      </c>
      <c r="C108" s="3" t="inlineStr">
        <is>
          <t>Clothing</t>
        </is>
      </c>
      <c r="D108" s="3" t="inlineStr">
        <is>
          <t>Jackets</t>
        </is>
      </c>
      <c r="E108" s="3" t="inlineStr">
        <is>
          <t>Northern</t>
        </is>
      </c>
      <c r="F108" s="3" t="inlineStr">
        <is>
          <t>Online</t>
        </is>
      </c>
      <c r="G108" s="3" t="inlineStr">
        <is>
          <t>Returning</t>
        </is>
      </c>
      <c r="H108" s="3" t="n">
        <v>1</v>
      </c>
      <c r="I108" s="3" t="n">
        <v>105</v>
      </c>
      <c r="J108" s="3" t="n">
        <v>51.39</v>
      </c>
      <c r="K108" s="3" t="n">
        <v>0.05</v>
      </c>
      <c r="L108" s="3" t="n">
        <v>21.87</v>
      </c>
    </row>
    <row r="109">
      <c r="A109" s="3" t="inlineStr">
        <is>
          <t>ORD-10108</t>
        </is>
      </c>
      <c r="B109" s="6" t="n">
        <v>45747</v>
      </c>
      <c r="C109" s="3" t="inlineStr">
        <is>
          <t>Home &amp; Lifestyle</t>
        </is>
      </c>
      <c r="D109" s="3" t="inlineStr">
        <is>
          <t>Backpacks</t>
        </is>
      </c>
      <c r="E109" s="3" t="inlineStr">
        <is>
          <t>Greater Accra</t>
        </is>
      </c>
      <c r="F109" s="3" t="inlineStr">
        <is>
          <t>Retail Shop</t>
        </is>
      </c>
      <c r="G109" s="3" t="inlineStr">
        <is>
          <t>Returning</t>
        </is>
      </c>
      <c r="H109" s="3" t="n">
        <v>2</v>
      </c>
      <c r="I109" s="3" t="n">
        <v>105</v>
      </c>
      <c r="J109" s="3" t="n">
        <v>60.48</v>
      </c>
      <c r="K109" s="3" t="n">
        <v>0</v>
      </c>
      <c r="L109" s="3" t="n">
        <v>9.58</v>
      </c>
    </row>
    <row r="110">
      <c r="A110" s="3" t="inlineStr">
        <is>
          <t>ORD-10109</t>
        </is>
      </c>
      <c r="B110" s="6" t="n">
        <v>45969</v>
      </c>
      <c r="C110" s="3" t="inlineStr">
        <is>
          <t>Clothing</t>
        </is>
      </c>
      <c r="D110" s="3" t="inlineStr">
        <is>
          <t>Shirts</t>
        </is>
      </c>
      <c r="E110" s="3" t="inlineStr">
        <is>
          <t>Northern</t>
        </is>
      </c>
      <c r="F110" s="3" t="inlineStr">
        <is>
          <t>Phone/WhatsApp</t>
        </is>
      </c>
      <c r="G110" s="3" t="inlineStr">
        <is>
          <t>Returning</t>
        </is>
      </c>
      <c r="H110" s="3" t="n">
        <v>0</v>
      </c>
      <c r="I110" s="3" t="n">
        <v>150</v>
      </c>
      <c r="J110" s="3" t="n">
        <v>83.58</v>
      </c>
      <c r="K110" s="3" t="n">
        <v>0</v>
      </c>
      <c r="L110" s="3" t="n">
        <v>34.26</v>
      </c>
    </row>
    <row r="111">
      <c r="A111" s="3" t="inlineStr">
        <is>
          <t>ORD-10110</t>
        </is>
      </c>
      <c r="B111" s="6" t="n">
        <v>45842</v>
      </c>
      <c r="C111" s="3" t="inlineStr">
        <is>
          <t>Footwear</t>
        </is>
      </c>
      <c r="D111" s="3" t="inlineStr">
        <is>
          <t>Sandals</t>
        </is>
      </c>
      <c r="E111" s="3" t="inlineStr">
        <is>
          <t>Greater Accra</t>
        </is>
      </c>
      <c r="F111" s="3" t="inlineStr">
        <is>
          <t>Retail Shop</t>
        </is>
      </c>
      <c r="G111" s="3" t="inlineStr">
        <is>
          <t>Returning</t>
        </is>
      </c>
      <c r="H111" s="3" t="n">
        <v>2</v>
      </c>
      <c r="I111" s="3" t="n">
        <v>140</v>
      </c>
      <c r="J111" s="3" t="n">
        <v>72.23</v>
      </c>
      <c r="K111" s="3" t="n">
        <v>0</v>
      </c>
      <c r="L111" s="3" t="n">
        <v>8.02</v>
      </c>
    </row>
    <row r="112">
      <c r="A112" s="3" t="inlineStr">
        <is>
          <t>ORD-10111</t>
        </is>
      </c>
      <c r="B112" s="6" t="n">
        <v>45902</v>
      </c>
      <c r="C112" s="3" t="inlineStr">
        <is>
          <t>Footwear</t>
        </is>
      </c>
      <c r="D112" s="3" t="inlineStr">
        <is>
          <t>Sneakers</t>
        </is>
      </c>
      <c r="E112" s="3" t="inlineStr">
        <is>
          <t>Ashanti</t>
        </is>
      </c>
      <c r="F112" s="3" t="inlineStr">
        <is>
          <t>Retail Shop</t>
        </is>
      </c>
      <c r="G112" s="3" t="inlineStr">
        <is>
          <t>New</t>
        </is>
      </c>
      <c r="H112" s="3" t="n">
        <v>1</v>
      </c>
      <c r="I112" s="3" t="n">
        <v>415</v>
      </c>
      <c r="J112" s="3" t="n">
        <v>259.4</v>
      </c>
      <c r="K112" s="3" t="n">
        <v>0.15</v>
      </c>
      <c r="L112" s="3" t="n">
        <v>9.41</v>
      </c>
    </row>
    <row r="113">
      <c r="A113" s="3" t="inlineStr">
        <is>
          <t>ORD-10112</t>
        </is>
      </c>
      <c r="B113" s="6" t="n">
        <v>45844</v>
      </c>
      <c r="C113" s="3" t="inlineStr">
        <is>
          <t>Footwear</t>
        </is>
      </c>
      <c r="D113" s="3" t="inlineStr">
        <is>
          <t>Formal Shoes</t>
        </is>
      </c>
      <c r="E113" s="3" t="inlineStr">
        <is>
          <t>Western</t>
        </is>
      </c>
      <c r="F113" s="3" t="inlineStr">
        <is>
          <t>Phone/WhatsApp</t>
        </is>
      </c>
      <c r="G113" s="3" t="inlineStr">
        <is>
          <t>Returning</t>
        </is>
      </c>
      <c r="H113" s="3" t="n">
        <v>3</v>
      </c>
      <c r="I113" s="3" t="n">
        <v>215</v>
      </c>
      <c r="J113" s="3" t="n">
        <v>134.38</v>
      </c>
      <c r="K113" s="3" t="n">
        <v>0</v>
      </c>
      <c r="L113" s="3" t="n">
        <v>13.49</v>
      </c>
    </row>
    <row r="114">
      <c r="A114" s="3" t="inlineStr">
        <is>
          <t>ORD-10113</t>
        </is>
      </c>
      <c r="B114" s="6" t="n">
        <v>45980</v>
      </c>
      <c r="C114" s="3" t="inlineStr">
        <is>
          <t>Home &amp; Lifestyle</t>
        </is>
      </c>
      <c r="D114" s="3" t="inlineStr">
        <is>
          <t>Small Home Goods</t>
        </is>
      </c>
      <c r="E114" s="3" t="inlineStr">
        <is>
          <t>Western</t>
        </is>
      </c>
      <c r="F114" s="3" t="inlineStr">
        <is>
          <t>Retail Shop</t>
        </is>
      </c>
      <c r="G114" s="3" t="inlineStr">
        <is>
          <t>New</t>
        </is>
      </c>
      <c r="H114" s="3" t="n">
        <v>4</v>
      </c>
      <c r="I114" s="3" t="n">
        <v>190</v>
      </c>
      <c r="J114" s="3" t="n">
        <v>101.77</v>
      </c>
      <c r="K114" s="3" t="n">
        <v>0.05</v>
      </c>
      <c r="L114" s="3" t="n">
        <v>6.66</v>
      </c>
    </row>
    <row r="115">
      <c r="A115" s="3" t="inlineStr">
        <is>
          <t>ORD-10114</t>
        </is>
      </c>
      <c r="B115" s="6" t="n">
        <v>45820</v>
      </c>
      <c r="C115" s="3" t="inlineStr">
        <is>
          <t>Clothing</t>
        </is>
      </c>
      <c r="D115" s="3" t="inlineStr">
        <is>
          <t>Dresses</t>
        </is>
      </c>
      <c r="E115" s="3" t="inlineStr">
        <is>
          <t>Western</t>
        </is>
      </c>
      <c r="F115" s="3" t="inlineStr">
        <is>
          <t>Phone/WhatsApp</t>
        </is>
      </c>
      <c r="G115" s="3" t="inlineStr">
        <is>
          <t>New</t>
        </is>
      </c>
      <c r="H115" s="3" t="n">
        <v>2</v>
      </c>
      <c r="I115" s="3" t="n">
        <v>80</v>
      </c>
      <c r="J115" s="3" t="n">
        <v>40.99</v>
      </c>
      <c r="K115" s="3" t="n">
        <v>0</v>
      </c>
      <c r="L115" s="3" t="n">
        <v>33.45</v>
      </c>
    </row>
    <row r="116">
      <c r="A116" s="3" t="inlineStr">
        <is>
          <t>ORD-10115</t>
        </is>
      </c>
      <c r="B116" s="6" t="n">
        <v>45724</v>
      </c>
      <c r="C116" s="3" t="inlineStr">
        <is>
          <t>Footwear</t>
        </is>
      </c>
      <c r="D116" s="3" t="inlineStr">
        <is>
          <t>Sneakers</t>
        </is>
      </c>
      <c r="E116" s="3" t="inlineStr">
        <is>
          <t>Greater Accra</t>
        </is>
      </c>
      <c r="F116" s="3" t="inlineStr">
        <is>
          <t>Retail Shop</t>
        </is>
      </c>
      <c r="G116" s="3" t="inlineStr">
        <is>
          <t>Returning</t>
        </is>
      </c>
      <c r="H116" s="3" t="n">
        <v>1</v>
      </c>
      <c r="I116" s="3" t="n">
        <v>400</v>
      </c>
      <c r="J116" s="3" t="n">
        <v>238.6</v>
      </c>
      <c r="K116" s="3" t="n">
        <v>0.05</v>
      </c>
      <c r="L116" s="3" t="n">
        <v>11.28</v>
      </c>
    </row>
    <row r="117">
      <c r="A117" s="3" t="inlineStr">
        <is>
          <t>ORD-10116</t>
        </is>
      </c>
      <c r="B117" s="6" t="n">
        <v>45993</v>
      </c>
      <c r="C117" s="3" t="inlineStr">
        <is>
          <t>Accessories</t>
        </is>
      </c>
      <c r="D117" s="3" t="inlineStr">
        <is>
          <t>Bags</t>
        </is>
      </c>
      <c r="E117" s="3" t="inlineStr">
        <is>
          <t>Greater Accra</t>
        </is>
      </c>
      <c r="F117" s="3" t="inlineStr">
        <is>
          <t>Retail Shop</t>
        </is>
      </c>
      <c r="G117" s="3" t="inlineStr">
        <is>
          <t>New</t>
        </is>
      </c>
      <c r="H117" s="3" t="n">
        <v>1</v>
      </c>
      <c r="I117" s="3" t="n">
        <v>95</v>
      </c>
      <c r="J117" s="3" t="n">
        <v>48.29</v>
      </c>
      <c r="K117" s="3" t="n">
        <v>0</v>
      </c>
      <c r="L117" s="3" t="n">
        <v>2.29</v>
      </c>
    </row>
    <row r="118">
      <c r="A118" s="3" t="inlineStr">
        <is>
          <t>ORD-10117</t>
        </is>
      </c>
      <c r="B118" s="6" t="n">
        <v>45939</v>
      </c>
      <c r="C118" s="3" t="inlineStr">
        <is>
          <t>Accessories</t>
        </is>
      </c>
      <c r="D118" s="3" t="inlineStr">
        <is>
          <t>Sunglasses</t>
        </is>
      </c>
      <c r="E118" s="3" t="inlineStr">
        <is>
          <t>Western</t>
        </is>
      </c>
      <c r="F118" s="3" t="inlineStr">
        <is>
          <t>Retail Shop</t>
        </is>
      </c>
      <c r="G118" s="3" t="inlineStr">
        <is>
          <t>Returning</t>
        </is>
      </c>
      <c r="H118" s="3" t="n">
        <v>2</v>
      </c>
      <c r="I118" s="3" t="n">
        <v>80</v>
      </c>
      <c r="J118" s="3" t="n">
        <v>40.78</v>
      </c>
      <c r="K118" s="3" t="n">
        <v>0.2</v>
      </c>
      <c r="L118" s="3" t="n">
        <v>11.12</v>
      </c>
    </row>
    <row r="119">
      <c r="A119" s="3" t="inlineStr">
        <is>
          <t>ORD-10118</t>
        </is>
      </c>
      <c r="B119" s="6" t="n">
        <v>45911</v>
      </c>
      <c r="C119" s="3" t="inlineStr">
        <is>
          <t>Footwear</t>
        </is>
      </c>
      <c r="D119" s="3" t="inlineStr">
        <is>
          <t>Boots</t>
        </is>
      </c>
      <c r="E119" s="3" t="inlineStr">
        <is>
          <t>Greater Accra</t>
        </is>
      </c>
      <c r="F119" s="3" t="inlineStr">
        <is>
          <t>Online</t>
        </is>
      </c>
      <c r="G119" s="3" t="inlineStr">
        <is>
          <t>Returning</t>
        </is>
      </c>
      <c r="H119" s="3" t="n">
        <v>1</v>
      </c>
      <c r="I119" s="3" t="n">
        <v>190</v>
      </c>
      <c r="J119" s="3" t="n">
        <v>98.73</v>
      </c>
      <c r="K119" s="3" t="n">
        <v>0.1</v>
      </c>
      <c r="L119" s="3" t="n">
        <v>9.130000000000001</v>
      </c>
    </row>
    <row r="120">
      <c r="A120" s="3" t="inlineStr">
        <is>
          <t>ORD-10119</t>
        </is>
      </c>
      <c r="B120" s="6" t="n">
        <v>45891</v>
      </c>
      <c r="C120" s="3" t="inlineStr">
        <is>
          <t>Clothing</t>
        </is>
      </c>
      <c r="D120" s="3" t="inlineStr">
        <is>
          <t>Dresses</t>
        </is>
      </c>
      <c r="E120" s="3" t="inlineStr">
        <is>
          <t>Central</t>
        </is>
      </c>
      <c r="F120" s="3" t="inlineStr">
        <is>
          <t>Phone/WhatsApp</t>
        </is>
      </c>
      <c r="G120" s="3" t="inlineStr">
        <is>
          <t>Returning</t>
        </is>
      </c>
      <c r="H120" s="3" t="n">
        <v>3</v>
      </c>
      <c r="I120" s="3" t="n">
        <v>135</v>
      </c>
      <c r="J120" s="3" t="n">
        <v>75.04000000000001</v>
      </c>
      <c r="K120" s="3" t="n">
        <v>0.05</v>
      </c>
      <c r="L120" s="3" t="n">
        <v>40.34</v>
      </c>
    </row>
    <row r="121">
      <c r="A121" s="3" t="inlineStr">
        <is>
          <t>ORD-10120</t>
        </is>
      </c>
      <c r="B121" s="6" t="n">
        <v>46021</v>
      </c>
      <c r="C121" s="3" t="inlineStr">
        <is>
          <t>Clothing</t>
        </is>
      </c>
      <c r="D121" s="3" t="inlineStr">
        <is>
          <t>Trousers</t>
        </is>
      </c>
      <c r="E121" s="3" t="inlineStr">
        <is>
          <t>Ashanti</t>
        </is>
      </c>
      <c r="F121" s="3" t="inlineStr">
        <is>
          <t>Phone/WhatsApp</t>
        </is>
      </c>
      <c r="G121" s="3" t="inlineStr">
        <is>
          <t>New</t>
        </is>
      </c>
      <c r="H121" s="3" t="n">
        <v>1</v>
      </c>
      <c r="I121" s="3" t="n">
        <v>235</v>
      </c>
      <c r="J121" s="3" t="n">
        <v>125.88</v>
      </c>
      <c r="K121" s="3" t="n">
        <v>0.1</v>
      </c>
      <c r="L121" s="3" t="n">
        <v>10.11</v>
      </c>
    </row>
    <row r="122">
      <c r="A122" s="3" t="inlineStr">
        <is>
          <t>ORD-10121</t>
        </is>
      </c>
      <c r="B122" s="6" t="n">
        <v>45663</v>
      </c>
      <c r="C122" s="3" t="inlineStr">
        <is>
          <t>Clothing</t>
        </is>
      </c>
      <c r="D122" s="3" t="inlineStr">
        <is>
          <t>Trousers</t>
        </is>
      </c>
      <c r="E122" s="3" t="inlineStr">
        <is>
          <t>Greater Accra</t>
        </is>
      </c>
      <c r="F122" s="3" t="inlineStr">
        <is>
          <t>Phone/WhatsApp</t>
        </is>
      </c>
      <c r="G122" s="3" t="inlineStr">
        <is>
          <t>Returning</t>
        </is>
      </c>
      <c r="H122" s="3" t="n">
        <v>1</v>
      </c>
      <c r="I122" s="3" t="n">
        <v>205</v>
      </c>
      <c r="J122" s="3" t="n">
        <v>102.17</v>
      </c>
      <c r="K122" s="3" t="n">
        <v>0</v>
      </c>
      <c r="L122" s="3" t="n">
        <v>22.96</v>
      </c>
    </row>
    <row r="123">
      <c r="A123" s="3" t="inlineStr">
        <is>
          <t>ORD-10122</t>
        </is>
      </c>
      <c r="B123" s="6" t="n">
        <v>46019</v>
      </c>
      <c r="C123" s="3" t="inlineStr">
        <is>
          <t>Footwear</t>
        </is>
      </c>
      <c r="D123" s="3" t="inlineStr">
        <is>
          <t>Sandals</t>
        </is>
      </c>
      <c r="E123" s="3" t="inlineStr">
        <is>
          <t>Greater Accra</t>
        </is>
      </c>
      <c r="F123" s="3" t="inlineStr">
        <is>
          <t>Phone/WhatsApp</t>
        </is>
      </c>
      <c r="G123" s="3" t="inlineStr">
        <is>
          <t>New</t>
        </is>
      </c>
      <c r="H123" s="3" t="n">
        <v>1</v>
      </c>
      <c r="I123" s="3" t="n">
        <v>400</v>
      </c>
      <c r="J123" s="3" t="n">
        <v>247.61</v>
      </c>
      <c r="K123" s="3" t="n">
        <v>0</v>
      </c>
      <c r="L123" s="3" t="n">
        <v>12.51</v>
      </c>
    </row>
    <row r="124">
      <c r="A124" s="3" t="inlineStr">
        <is>
          <t>ORD-10123</t>
        </is>
      </c>
      <c r="B124" s="6" t="n">
        <v>45852</v>
      </c>
      <c r="C124" s="3" t="inlineStr">
        <is>
          <t>Home &amp; Lifestyle</t>
        </is>
      </c>
      <c r="D124" s="3" t="inlineStr">
        <is>
          <t>Wallets</t>
        </is>
      </c>
      <c r="E124" s="3" t="inlineStr">
        <is>
          <t>Central</t>
        </is>
      </c>
      <c r="F124" s="3" t="inlineStr">
        <is>
          <t>Retail Shop</t>
        </is>
      </c>
      <c r="G124" s="3" t="inlineStr">
        <is>
          <t>New</t>
        </is>
      </c>
      <c r="H124" s="3" t="n">
        <v>3</v>
      </c>
      <c r="I124" s="3" t="n">
        <v>75</v>
      </c>
      <c r="J124" s="3" t="n">
        <v>41.24</v>
      </c>
      <c r="K124" s="3" t="n">
        <v>0</v>
      </c>
      <c r="L124" s="3" t="n">
        <v>9.869999999999999</v>
      </c>
    </row>
    <row r="125">
      <c r="A125" s="3" t="inlineStr">
        <is>
          <t>ORD-10124</t>
        </is>
      </c>
      <c r="B125" s="6" t="n">
        <v>45815</v>
      </c>
      <c r="C125" s="3" t="inlineStr">
        <is>
          <t>Footwear</t>
        </is>
      </c>
      <c r="D125" s="3" t="inlineStr">
        <is>
          <t>Sandals</t>
        </is>
      </c>
      <c r="E125" s="3" t="inlineStr">
        <is>
          <t>Northern</t>
        </is>
      </c>
      <c r="F125" s="3" t="inlineStr">
        <is>
          <t>Retail Shop</t>
        </is>
      </c>
      <c r="G125" s="3" t="inlineStr">
        <is>
          <t>Returning</t>
        </is>
      </c>
      <c r="H125" s="3" t="n">
        <v>2</v>
      </c>
      <c r="I125" s="3" t="n">
        <v>300</v>
      </c>
      <c r="J125" s="3" t="n">
        <v>153.01</v>
      </c>
      <c r="K125" s="3" t="n">
        <v>0</v>
      </c>
      <c r="L125" s="3" t="n">
        <v>11.39</v>
      </c>
    </row>
    <row r="126">
      <c r="A126" s="3" t="inlineStr">
        <is>
          <t>ORD-10125</t>
        </is>
      </c>
      <c r="B126" s="6" t="n">
        <v>45818</v>
      </c>
      <c r="C126" s="3" t="inlineStr">
        <is>
          <t>Clothing</t>
        </is>
      </c>
      <c r="D126" s="3" t="inlineStr">
        <is>
          <t>Shirts</t>
        </is>
      </c>
      <c r="E126" s="3" t="inlineStr">
        <is>
          <t>Greater Accra</t>
        </is>
      </c>
      <c r="F126" s="3" t="inlineStr">
        <is>
          <t>Online</t>
        </is>
      </c>
      <c r="G126" s="3" t="inlineStr">
        <is>
          <t>Returning</t>
        </is>
      </c>
      <c r="H126" s="3" t="n">
        <v>1</v>
      </c>
      <c r="I126" s="3" t="n">
        <v>260</v>
      </c>
      <c r="J126" s="3" t="n">
        <v>122.07</v>
      </c>
      <c r="K126" s="3" t="n">
        <v>0.1</v>
      </c>
      <c r="L126" s="3" t="n">
        <v>33.58</v>
      </c>
    </row>
    <row r="127">
      <c r="A127" s="3" t="inlineStr">
        <is>
          <t>ORD-10126</t>
        </is>
      </c>
      <c r="B127" s="6" t="n">
        <v>45907</v>
      </c>
      <c r="C127" s="3" t="inlineStr">
        <is>
          <t>Footwear</t>
        </is>
      </c>
      <c r="D127" s="3" t="inlineStr">
        <is>
          <t>Sandals</t>
        </is>
      </c>
      <c r="E127" s="3" t="inlineStr">
        <is>
          <t>Greater Accra</t>
        </is>
      </c>
      <c r="F127" s="3" t="inlineStr">
        <is>
          <t>Online</t>
        </is>
      </c>
      <c r="G127" s="3" t="inlineStr">
        <is>
          <t>Returning</t>
        </is>
      </c>
      <c r="H127" s="3" t="n">
        <v>1</v>
      </c>
      <c r="I127" s="3" t="n">
        <v>345</v>
      </c>
      <c r="J127" s="3" t="n">
        <v>189.77</v>
      </c>
      <c r="K127" s="3" t="n">
        <v>0</v>
      </c>
      <c r="L127" s="3" t="n">
        <v>10.75</v>
      </c>
    </row>
    <row r="128">
      <c r="A128" s="3" t="inlineStr">
        <is>
          <t>ORD-10127</t>
        </is>
      </c>
      <c r="B128" s="6" t="n">
        <v>45924</v>
      </c>
      <c r="C128" s="3" t="inlineStr">
        <is>
          <t>Footwear</t>
        </is>
      </c>
      <c r="D128" s="3" t="inlineStr">
        <is>
          <t>Sandals</t>
        </is>
      </c>
      <c r="E128" s="3" t="inlineStr">
        <is>
          <t>Ashanti</t>
        </is>
      </c>
      <c r="F128" s="3" t="inlineStr">
        <is>
          <t>Online</t>
        </is>
      </c>
      <c r="G128" s="3" t="inlineStr">
        <is>
          <t>Returning</t>
        </is>
      </c>
      <c r="H128" s="3" t="n">
        <v>3</v>
      </c>
      <c r="I128" s="3" t="n">
        <v>195</v>
      </c>
      <c r="J128" s="3" t="n">
        <v>111.4</v>
      </c>
      <c r="K128" s="3" t="n">
        <v>0</v>
      </c>
      <c r="L128" s="3" t="n">
        <v>25.48</v>
      </c>
    </row>
    <row r="129">
      <c r="A129" s="3" t="inlineStr">
        <is>
          <t>ORD-10128</t>
        </is>
      </c>
      <c r="B129" s="6" t="n">
        <v>45878</v>
      </c>
      <c r="C129" s="3" t="inlineStr">
        <is>
          <t>Footwear</t>
        </is>
      </c>
      <c r="D129" s="3" t="inlineStr">
        <is>
          <t>Sandals</t>
        </is>
      </c>
      <c r="E129" s="3" t="inlineStr">
        <is>
          <t>Ashanti</t>
        </is>
      </c>
      <c r="F129" s="3" t="inlineStr">
        <is>
          <t>Retail Shop</t>
        </is>
      </c>
      <c r="G129" s="3" t="inlineStr">
        <is>
          <t>Returning</t>
        </is>
      </c>
      <c r="H129" s="3" t="n">
        <v>4</v>
      </c>
      <c r="I129" s="3" t="n">
        <v>405</v>
      </c>
      <c r="J129" s="3" t="n">
        <v>250.2</v>
      </c>
      <c r="K129" s="3" t="n">
        <v>0.1</v>
      </c>
      <c r="L129" s="3" t="n">
        <v>8.4</v>
      </c>
    </row>
    <row r="130">
      <c r="A130" s="3" t="inlineStr">
        <is>
          <t>ORD-10129</t>
        </is>
      </c>
      <c r="B130" s="6" t="n">
        <v>45851</v>
      </c>
      <c r="C130" s="3" t="inlineStr">
        <is>
          <t>Accessories</t>
        </is>
      </c>
      <c r="D130" s="3" t="inlineStr">
        <is>
          <t>Watches</t>
        </is>
      </c>
      <c r="E130" s="3" t="inlineStr">
        <is>
          <t>Greater Accra</t>
        </is>
      </c>
      <c r="F130" s="3" t="inlineStr">
        <is>
          <t>Phone/WhatsApp</t>
        </is>
      </c>
      <c r="G130" s="3" t="inlineStr">
        <is>
          <t>New</t>
        </is>
      </c>
      <c r="H130" s="3" t="n">
        <v>3</v>
      </c>
      <c r="I130" s="3" t="n">
        <v>60</v>
      </c>
      <c r="J130" s="3" t="n">
        <v>30.38</v>
      </c>
      <c r="K130" s="3" t="n">
        <v>0.1</v>
      </c>
      <c r="L130" s="3" t="n">
        <v>20.44</v>
      </c>
    </row>
    <row r="131">
      <c r="A131" s="3" t="inlineStr">
        <is>
          <t>ORD-10130</t>
        </is>
      </c>
      <c r="B131" s="6" t="n">
        <v>45778</v>
      </c>
      <c r="C131" s="3" t="inlineStr">
        <is>
          <t>Clothing</t>
        </is>
      </c>
      <c r="D131" s="3" t="inlineStr">
        <is>
          <t>Dresses</t>
        </is>
      </c>
      <c r="E131" s="3" t="inlineStr">
        <is>
          <t>Central</t>
        </is>
      </c>
      <c r="F131" s="3" t="inlineStr">
        <is>
          <t>Retail Shop</t>
        </is>
      </c>
      <c r="G131" s="3" t="inlineStr">
        <is>
          <t>Returning</t>
        </is>
      </c>
      <c r="H131" s="3" t="n">
        <v>2</v>
      </c>
      <c r="I131" s="3" t="n">
        <v>195</v>
      </c>
      <c r="J131" s="3" t="n">
        <v>100.07</v>
      </c>
      <c r="K131" s="3" t="n">
        <v>0.1</v>
      </c>
      <c r="L131" s="3" t="n">
        <v>0.6899999999999999</v>
      </c>
    </row>
    <row r="132">
      <c r="A132" s="3" t="inlineStr">
        <is>
          <t>ORD-10131</t>
        </is>
      </c>
      <c r="B132" s="6" t="n">
        <v>45915</v>
      </c>
      <c r="C132" s="3" t="inlineStr">
        <is>
          <t>Footwear</t>
        </is>
      </c>
      <c r="D132" s="3" t="inlineStr">
        <is>
          <t>Boots</t>
        </is>
      </c>
      <c r="E132" s="3" t="inlineStr">
        <is>
          <t>Ashanti</t>
        </is>
      </c>
      <c r="F132" s="3" t="inlineStr">
        <is>
          <t>Retail Shop</t>
        </is>
      </c>
      <c r="G132" s="3" t="inlineStr">
        <is>
          <t>New</t>
        </is>
      </c>
      <c r="H132" s="3" t="n">
        <v>4</v>
      </c>
      <c r="I132" s="3" t="n">
        <v>165</v>
      </c>
      <c r="J132" s="3" t="n">
        <v>87.09</v>
      </c>
      <c r="K132" s="3" t="n">
        <v>0.15</v>
      </c>
      <c r="L132" s="3" t="n">
        <v>3.95</v>
      </c>
    </row>
    <row r="133">
      <c r="A133" s="3" t="inlineStr">
        <is>
          <t>ORD-10132</t>
        </is>
      </c>
      <c r="B133" s="6" t="n">
        <v>45679</v>
      </c>
      <c r="C133" s="3" t="inlineStr">
        <is>
          <t>Clothing</t>
        </is>
      </c>
      <c r="D133" s="3" t="inlineStr">
        <is>
          <t>Dresses</t>
        </is>
      </c>
      <c r="E133" s="3" t="inlineStr">
        <is>
          <t>Northern</t>
        </is>
      </c>
      <c r="F133" s="3" t="inlineStr">
        <is>
          <t>Retail Shop</t>
        </is>
      </c>
      <c r="G133" s="3" t="inlineStr">
        <is>
          <t>Returning</t>
        </is>
      </c>
      <c r="H133" s="3" t="n">
        <v>4</v>
      </c>
      <c r="I133" s="3" t="n">
        <v>210</v>
      </c>
      <c r="J133" s="3" t="n">
        <v>115.79</v>
      </c>
      <c r="K133" s="3" t="n">
        <v>0.1</v>
      </c>
      <c r="L133" s="3" t="n">
        <v>0.47</v>
      </c>
    </row>
    <row r="134">
      <c r="A134" s="3" t="inlineStr">
        <is>
          <t>ORD-10133</t>
        </is>
      </c>
      <c r="B134" s="6" t="n">
        <v>45967</v>
      </c>
      <c r="C134" s="3" t="inlineStr">
        <is>
          <t>Home &amp; Lifestyle</t>
        </is>
      </c>
      <c r="D134" s="3" t="inlineStr">
        <is>
          <t>Backpacks</t>
        </is>
      </c>
      <c r="E134" s="3" t="inlineStr">
        <is>
          <t>Greater Accra</t>
        </is>
      </c>
      <c r="F134" s="3" t="inlineStr">
        <is>
          <t>Retail Shop</t>
        </is>
      </c>
      <c r="G134" s="3" t="inlineStr">
        <is>
          <t>Returning</t>
        </is>
      </c>
      <c r="H134" s="3" t="n">
        <v>4</v>
      </c>
      <c r="I134" s="3" t="n">
        <v>145</v>
      </c>
      <c r="J134" s="3" t="n">
        <v>78.31999999999999</v>
      </c>
      <c r="K134" s="3" t="n">
        <v>0.1</v>
      </c>
      <c r="L134" s="3" t="n">
        <v>9.19</v>
      </c>
    </row>
    <row r="135">
      <c r="A135" s="3" t="inlineStr">
        <is>
          <t>ORD-10134</t>
        </is>
      </c>
      <c r="B135" s="6" t="n">
        <v>45713</v>
      </c>
      <c r="C135" s="3" t="inlineStr">
        <is>
          <t>Clothing</t>
        </is>
      </c>
      <c r="D135" s="3" t="inlineStr">
        <is>
          <t>Dresses</t>
        </is>
      </c>
      <c r="E135" s="3" t="inlineStr">
        <is>
          <t>Western</t>
        </is>
      </c>
      <c r="F135" s="3" t="inlineStr">
        <is>
          <t>Online</t>
        </is>
      </c>
      <c r="G135" s="3" t="inlineStr">
        <is>
          <t>Returning</t>
        </is>
      </c>
      <c r="H135" s="3" t="n">
        <v>3</v>
      </c>
      <c r="I135" s="3" t="n">
        <v>200</v>
      </c>
      <c r="J135" s="3" t="n">
        <v>99.98</v>
      </c>
      <c r="K135" s="3" t="n">
        <v>0</v>
      </c>
      <c r="L135" s="3" t="n">
        <v>17.35</v>
      </c>
    </row>
    <row r="136">
      <c r="A136" s="3" t="inlineStr">
        <is>
          <t>ORD-10135</t>
        </is>
      </c>
      <c r="B136" s="6" t="n">
        <v>45717</v>
      </c>
      <c r="C136" s="3" t="inlineStr">
        <is>
          <t>Accessories</t>
        </is>
      </c>
      <c r="D136" s="3" t="inlineStr">
        <is>
          <t>Belts</t>
        </is>
      </c>
      <c r="E136" s="3" t="inlineStr">
        <is>
          <t>Greater Accra</t>
        </is>
      </c>
      <c r="F136" s="3" t="inlineStr">
        <is>
          <t>Retail Shop</t>
        </is>
      </c>
      <c r="G136" s="3" t="inlineStr">
        <is>
          <t>New</t>
        </is>
      </c>
      <c r="H136" s="3" t="n">
        <v>2</v>
      </c>
      <c r="I136" s="3" t="n">
        <v>110</v>
      </c>
      <c r="J136" s="3" t="n">
        <v>52.58</v>
      </c>
      <c r="K136" s="3" t="n">
        <v>0.05</v>
      </c>
      <c r="L136" s="3" t="n">
        <v>8.390000000000001</v>
      </c>
    </row>
    <row r="137">
      <c r="A137" s="3" t="inlineStr">
        <is>
          <t>ORD-10136</t>
        </is>
      </c>
      <c r="B137" s="6" t="n">
        <v>45748</v>
      </c>
      <c r="C137" s="3" t="inlineStr">
        <is>
          <t>Clothing</t>
        </is>
      </c>
      <c r="D137" s="3" t="inlineStr">
        <is>
          <t>Shirts</t>
        </is>
      </c>
      <c r="E137" s="3" t="inlineStr">
        <is>
          <t>Western</t>
        </is>
      </c>
      <c r="F137" s="3" t="inlineStr">
        <is>
          <t>Online</t>
        </is>
      </c>
      <c r="G137" s="3" t="inlineStr">
        <is>
          <t>Returning</t>
        </is>
      </c>
      <c r="H137" s="3" t="n">
        <v>1</v>
      </c>
      <c r="I137" s="3" t="n">
        <v>255</v>
      </c>
      <c r="J137" s="3" t="n">
        <v>139.53</v>
      </c>
      <c r="K137" s="3" t="n">
        <v>0.2</v>
      </c>
      <c r="L137" s="3" t="n">
        <v>29.27</v>
      </c>
    </row>
    <row r="138">
      <c r="A138" s="3" t="inlineStr">
        <is>
          <t>ORD-10137</t>
        </is>
      </c>
      <c r="B138" s="6" t="n">
        <v>45676</v>
      </c>
      <c r="C138" s="3" t="inlineStr">
        <is>
          <t>Accessories</t>
        </is>
      </c>
      <c r="D138" s="3" t="inlineStr">
        <is>
          <t>Belts</t>
        </is>
      </c>
      <c r="E138" s="3" t="inlineStr">
        <is>
          <t>Ashanti</t>
        </is>
      </c>
      <c r="F138" s="3" t="inlineStr">
        <is>
          <t>Phone/WhatsApp</t>
        </is>
      </c>
      <c r="G138" s="3" t="inlineStr">
        <is>
          <t>Returning</t>
        </is>
      </c>
      <c r="H138" s="3" t="n">
        <v>4</v>
      </c>
      <c r="I138" s="3" t="n">
        <v>95</v>
      </c>
      <c r="J138" s="3" t="n">
        <v>47.64</v>
      </c>
      <c r="K138" s="3" t="n">
        <v>0</v>
      </c>
      <c r="L138" s="3" t="n">
        <v>38.47</v>
      </c>
    </row>
    <row r="139">
      <c r="A139" s="3" t="inlineStr">
        <is>
          <t>ORD-10138</t>
        </is>
      </c>
      <c r="B139" s="6" t="n">
        <v>45828</v>
      </c>
      <c r="C139" s="3" t="inlineStr">
        <is>
          <t>Clothing</t>
        </is>
      </c>
      <c r="D139" s="3" t="inlineStr">
        <is>
          <t>Dresses</t>
        </is>
      </c>
      <c r="E139" s="3" t="inlineStr">
        <is>
          <t>Greater Accra</t>
        </is>
      </c>
      <c r="F139" s="3" t="inlineStr">
        <is>
          <t>Online</t>
        </is>
      </c>
      <c r="G139" s="3" t="inlineStr">
        <is>
          <t>New</t>
        </is>
      </c>
      <c r="H139" s="3" t="n">
        <v>2</v>
      </c>
      <c r="I139" s="3" t="n">
        <v>125</v>
      </c>
      <c r="J139" s="3" t="n">
        <v>60.54</v>
      </c>
      <c r="K139" s="3" t="n">
        <v>0</v>
      </c>
      <c r="L139" s="3" t="n">
        <v>21.85</v>
      </c>
    </row>
    <row r="140">
      <c r="A140" s="3" t="inlineStr">
        <is>
          <t>ORD-10139</t>
        </is>
      </c>
      <c r="B140" s="6" t="n">
        <v>45888</v>
      </c>
      <c r="C140" s="3" t="inlineStr">
        <is>
          <t>Home &amp; Lifestyle</t>
        </is>
      </c>
      <c r="D140" s="3" t="inlineStr">
        <is>
          <t>Wallets</t>
        </is>
      </c>
      <c r="E140" s="3" t="inlineStr">
        <is>
          <t>Greater Accra</t>
        </is>
      </c>
      <c r="F140" s="3" t="inlineStr">
        <is>
          <t>Phone/WhatsApp</t>
        </is>
      </c>
      <c r="G140" s="3" t="inlineStr">
        <is>
          <t>Returning</t>
        </is>
      </c>
      <c r="H140" s="3" t="n">
        <v>6</v>
      </c>
      <c r="I140" s="3" t="n">
        <v>155</v>
      </c>
      <c r="J140" s="3" t="n">
        <v>93.69</v>
      </c>
      <c r="K140" s="3" t="n">
        <v>0</v>
      </c>
      <c r="L140" s="3" t="n">
        <v>38.12</v>
      </c>
    </row>
    <row r="141">
      <c r="A141" s="3" t="inlineStr">
        <is>
          <t>ORD-10140</t>
        </is>
      </c>
      <c r="B141" s="6" t="n">
        <v>45957</v>
      </c>
      <c r="C141" s="3" t="inlineStr">
        <is>
          <t>Clothing</t>
        </is>
      </c>
      <c r="D141" s="3" t="inlineStr">
        <is>
          <t>Jackets</t>
        </is>
      </c>
      <c r="E141" s="3" t="inlineStr">
        <is>
          <t>Greater Accra</t>
        </is>
      </c>
      <c r="F141" s="3" t="inlineStr">
        <is>
          <t>Retail Shop</t>
        </is>
      </c>
      <c r="G141" s="3" t="inlineStr">
        <is>
          <t>New</t>
        </is>
      </c>
      <c r="H141" s="3" t="n">
        <v>1</v>
      </c>
      <c r="I141" s="3" t="n">
        <v>160</v>
      </c>
      <c r="J141" s="3" t="n">
        <v>91.31</v>
      </c>
      <c r="K141" s="3" t="n">
        <v>0.15</v>
      </c>
      <c r="L141" s="3" t="n">
        <v>1.91</v>
      </c>
    </row>
    <row r="142">
      <c r="A142" s="3" t="inlineStr">
        <is>
          <t>ORD-10141</t>
        </is>
      </c>
      <c r="B142" s="6" t="n">
        <v>45754</v>
      </c>
      <c r="C142" s="3" t="inlineStr">
        <is>
          <t>Home &amp; Lifestyle</t>
        </is>
      </c>
      <c r="D142" s="3" t="inlineStr">
        <is>
          <t>Backpacks</t>
        </is>
      </c>
      <c r="E142" s="3" t="inlineStr">
        <is>
          <t>Ashanti</t>
        </is>
      </c>
      <c r="F142" s="3" t="inlineStr">
        <is>
          <t>Retail Shop</t>
        </is>
      </c>
      <c r="G142" s="3" t="inlineStr">
        <is>
          <t>Returning</t>
        </is>
      </c>
      <c r="H142" s="3" t="n">
        <v>6</v>
      </c>
      <c r="I142" s="3" t="n">
        <v>105</v>
      </c>
      <c r="J142" s="3" t="n">
        <v>53</v>
      </c>
      <c r="K142" s="3" t="n">
        <v>0.15</v>
      </c>
      <c r="L142" s="3" t="n">
        <v>2.35</v>
      </c>
    </row>
    <row r="143">
      <c r="A143" s="3" t="inlineStr">
        <is>
          <t>ORD-10142</t>
        </is>
      </c>
      <c r="B143" s="6" t="n">
        <v>45907</v>
      </c>
      <c r="C143" s="3" t="inlineStr">
        <is>
          <t>Clothing</t>
        </is>
      </c>
      <c r="D143" s="3" t="inlineStr">
        <is>
          <t>Jackets</t>
        </is>
      </c>
      <c r="E143" s="3" t="inlineStr">
        <is>
          <t>Northern</t>
        </is>
      </c>
      <c r="F143" s="3" t="inlineStr">
        <is>
          <t>Online</t>
        </is>
      </c>
      <c r="G143" s="3" t="inlineStr">
        <is>
          <t>Returning</t>
        </is>
      </c>
      <c r="H143" s="3" t="n">
        <v>3</v>
      </c>
      <c r="I143" s="3" t="n">
        <v>270</v>
      </c>
      <c r="J143" s="3" t="n">
        <v>147.6</v>
      </c>
      <c r="K143" s="3" t="n">
        <v>0.05</v>
      </c>
      <c r="L143" s="3" t="n">
        <v>8.199999999999999</v>
      </c>
    </row>
    <row r="144">
      <c r="A144" s="3" t="inlineStr">
        <is>
          <t>ORD-10143</t>
        </is>
      </c>
      <c r="B144" s="6" t="n">
        <v>45961</v>
      </c>
      <c r="C144" s="3" t="inlineStr">
        <is>
          <t>Home &amp; Lifestyle</t>
        </is>
      </c>
      <c r="D144" s="3" t="inlineStr">
        <is>
          <t>Travel Mugs</t>
        </is>
      </c>
      <c r="E144" s="3" t="inlineStr">
        <is>
          <t>Western</t>
        </is>
      </c>
      <c r="F144" s="3" t="inlineStr">
        <is>
          <t>Retail Shop</t>
        </is>
      </c>
      <c r="G144" s="3" t="inlineStr">
        <is>
          <t>Returning</t>
        </is>
      </c>
      <c r="H144" s="3" t="n">
        <v>1</v>
      </c>
      <c r="I144" s="3" t="n">
        <v>95</v>
      </c>
      <c r="J144" s="3" t="n">
        <v>51.35</v>
      </c>
      <c r="K144" s="3" t="n">
        <v>0</v>
      </c>
      <c r="L144" s="3" t="n">
        <v>5.16</v>
      </c>
    </row>
    <row r="145">
      <c r="A145" s="3" t="inlineStr">
        <is>
          <t>ORD-10144</t>
        </is>
      </c>
      <c r="B145" s="6" t="n">
        <v>45891</v>
      </c>
      <c r="C145" s="3" t="inlineStr">
        <is>
          <t>Footwear</t>
        </is>
      </c>
      <c r="D145" s="3" t="inlineStr">
        <is>
          <t>Sneakers</t>
        </is>
      </c>
      <c r="E145" s="3" t="inlineStr">
        <is>
          <t>Western</t>
        </is>
      </c>
      <c r="F145" s="3" t="inlineStr">
        <is>
          <t>Online</t>
        </is>
      </c>
      <c r="G145" s="3" t="inlineStr">
        <is>
          <t>New</t>
        </is>
      </c>
      <c r="H145" s="3" t="n">
        <v>2</v>
      </c>
      <c r="I145" s="3" t="n">
        <v>255</v>
      </c>
      <c r="J145" s="3" t="n">
        <v>144.25</v>
      </c>
      <c r="K145" s="3" t="n">
        <v>0</v>
      </c>
      <c r="L145" s="3" t="n">
        <v>27.89</v>
      </c>
    </row>
    <row r="146">
      <c r="A146" s="3" t="inlineStr">
        <is>
          <t>ORD-10145</t>
        </is>
      </c>
      <c r="B146" s="6" t="n">
        <v>45804</v>
      </c>
      <c r="C146" s="3" t="inlineStr">
        <is>
          <t>Clothing</t>
        </is>
      </c>
      <c r="D146" s="3" t="inlineStr">
        <is>
          <t>Jackets</t>
        </is>
      </c>
      <c r="E146" s="3" t="inlineStr">
        <is>
          <t>Ashanti</t>
        </is>
      </c>
      <c r="F146" s="3" t="inlineStr">
        <is>
          <t>Retail Shop</t>
        </is>
      </c>
      <c r="G146" s="3" t="inlineStr">
        <is>
          <t>Returning</t>
        </is>
      </c>
      <c r="H146" s="3" t="n">
        <v>1</v>
      </c>
      <c r="I146" s="3" t="n">
        <v>140</v>
      </c>
      <c r="J146" s="3" t="n">
        <v>75.62</v>
      </c>
      <c r="K146" s="3" t="n">
        <v>0.2</v>
      </c>
      <c r="L146" s="3" t="n">
        <v>8.68</v>
      </c>
    </row>
    <row r="147">
      <c r="A147" s="3" t="inlineStr">
        <is>
          <t>ORD-10146</t>
        </is>
      </c>
      <c r="B147" s="6" t="n">
        <v>46006</v>
      </c>
      <c r="C147" s="3" t="inlineStr">
        <is>
          <t>Footwear</t>
        </is>
      </c>
      <c r="D147" s="3" t="inlineStr">
        <is>
          <t>Boots</t>
        </is>
      </c>
      <c r="E147" s="3" t="inlineStr">
        <is>
          <t>Northern</t>
        </is>
      </c>
      <c r="F147" s="3" t="inlineStr">
        <is>
          <t>Phone/WhatsApp</t>
        </is>
      </c>
      <c r="G147" s="3" t="inlineStr">
        <is>
          <t>Returning</t>
        </is>
      </c>
      <c r="H147" s="3" t="n">
        <v>1</v>
      </c>
      <c r="I147" s="3" t="n">
        <v>255</v>
      </c>
      <c r="J147" s="3" t="n">
        <v>155.42</v>
      </c>
      <c r="K147" s="3" t="n">
        <v>0.05</v>
      </c>
      <c r="L147" s="3" t="n">
        <v>11.52</v>
      </c>
    </row>
    <row r="148">
      <c r="A148" s="3" t="inlineStr">
        <is>
          <t>ORD-10147</t>
        </is>
      </c>
      <c r="B148" s="6" t="n">
        <v>45940</v>
      </c>
      <c r="C148" s="3" t="inlineStr">
        <is>
          <t>Footwear</t>
        </is>
      </c>
      <c r="D148" s="3" t="inlineStr">
        <is>
          <t>Sandals</t>
        </is>
      </c>
      <c r="E148" s="3" t="inlineStr">
        <is>
          <t>Western</t>
        </is>
      </c>
      <c r="F148" s="3" t="inlineStr">
        <is>
          <t>Retail Shop</t>
        </is>
      </c>
      <c r="G148" s="3" t="inlineStr">
        <is>
          <t>Returning</t>
        </is>
      </c>
      <c r="H148" s="3" t="n">
        <v>1</v>
      </c>
      <c r="I148" s="3" t="n">
        <v>210</v>
      </c>
      <c r="J148" s="3" t="n">
        <v>111.5</v>
      </c>
      <c r="K148" s="3" t="n">
        <v>0.05</v>
      </c>
      <c r="L148" s="3" t="n">
        <v>4.78</v>
      </c>
    </row>
    <row r="149">
      <c r="A149" s="3" t="inlineStr">
        <is>
          <t>ORD-10148</t>
        </is>
      </c>
      <c r="B149" s="6" t="n">
        <v>45690</v>
      </c>
      <c r="C149" s="3" t="inlineStr">
        <is>
          <t>Footwear</t>
        </is>
      </c>
      <c r="D149" s="3" t="inlineStr">
        <is>
          <t>Sandals</t>
        </is>
      </c>
      <c r="E149" s="3" t="inlineStr">
        <is>
          <t>Ashanti</t>
        </is>
      </c>
      <c r="F149" s="3" t="inlineStr">
        <is>
          <t>Online</t>
        </is>
      </c>
      <c r="G149" s="3" t="inlineStr">
        <is>
          <t>Returning</t>
        </is>
      </c>
      <c r="H149" s="3" t="n">
        <v>1</v>
      </c>
      <c r="I149" s="3" t="n">
        <v>335</v>
      </c>
      <c r="J149" s="3" t="n">
        <v>188.18</v>
      </c>
      <c r="K149" s="3" t="n">
        <v>0.15</v>
      </c>
      <c r="L149" s="3" t="n">
        <v>27.36</v>
      </c>
    </row>
    <row r="150">
      <c r="A150" s="3" t="inlineStr">
        <is>
          <t>ORD-10149</t>
        </is>
      </c>
      <c r="B150" s="6" t="n">
        <v>45844</v>
      </c>
      <c r="C150" s="3" t="inlineStr">
        <is>
          <t>Home &amp; Lifestyle</t>
        </is>
      </c>
      <c r="D150" s="3" t="inlineStr">
        <is>
          <t>Backpacks</t>
        </is>
      </c>
      <c r="E150" s="3" t="inlineStr">
        <is>
          <t>Ashanti</t>
        </is>
      </c>
      <c r="F150" s="3" t="inlineStr">
        <is>
          <t>Online</t>
        </is>
      </c>
      <c r="G150" s="3" t="inlineStr">
        <is>
          <t>Returning</t>
        </is>
      </c>
      <c r="H150" s="3" t="n">
        <v>5</v>
      </c>
      <c r="I150" s="3" t="n">
        <v>135</v>
      </c>
      <c r="J150" s="3" t="n">
        <v>71.01000000000001</v>
      </c>
      <c r="K150" s="3" t="n">
        <v>0.1</v>
      </c>
      <c r="L150" s="3" t="n">
        <v>11.3</v>
      </c>
    </row>
    <row r="151">
      <c r="A151" s="3" t="inlineStr">
        <is>
          <t>ORD-10150</t>
        </is>
      </c>
      <c r="B151" s="6" t="n">
        <v>45697</v>
      </c>
      <c r="C151" s="3" t="inlineStr">
        <is>
          <t>Home &amp; Lifestyle</t>
        </is>
      </c>
      <c r="D151" s="3" t="inlineStr">
        <is>
          <t>Travel Mugs</t>
        </is>
      </c>
      <c r="E151" s="3" t="inlineStr">
        <is>
          <t>Western</t>
        </is>
      </c>
      <c r="F151" s="3" t="inlineStr">
        <is>
          <t>Phone/WhatsApp</t>
        </is>
      </c>
      <c r="G151" s="3" t="inlineStr">
        <is>
          <t>New</t>
        </is>
      </c>
      <c r="H151" s="3" t="n">
        <v>3</v>
      </c>
      <c r="I151" s="3" t="n">
        <v>130</v>
      </c>
      <c r="J151" s="3" t="n">
        <v>70.56</v>
      </c>
      <c r="K151" s="3" t="n">
        <v>0</v>
      </c>
      <c r="L151" s="3" t="n">
        <v>24.24</v>
      </c>
    </row>
    <row r="152">
      <c r="A152" s="3" t="inlineStr">
        <is>
          <t>ORD-10151</t>
        </is>
      </c>
      <c r="B152" s="6" t="n">
        <v>45851</v>
      </c>
      <c r="C152" s="3" t="inlineStr">
        <is>
          <t>Footwear</t>
        </is>
      </c>
      <c r="D152" s="3" t="inlineStr">
        <is>
          <t>Formal Shoes</t>
        </is>
      </c>
      <c r="E152" s="3" t="inlineStr">
        <is>
          <t>Western</t>
        </is>
      </c>
      <c r="F152" s="3" t="inlineStr">
        <is>
          <t>Phone/WhatsApp</t>
        </is>
      </c>
      <c r="G152" s="3" t="inlineStr">
        <is>
          <t>Returning</t>
        </is>
      </c>
      <c r="H152" s="3" t="n">
        <v>2</v>
      </c>
      <c r="I152" s="3" t="n">
        <v>295</v>
      </c>
      <c r="J152" s="3" t="n">
        <v>150.48</v>
      </c>
      <c r="K152" s="3" t="n">
        <v>0.2</v>
      </c>
      <c r="L152" s="3" t="n">
        <v>39.75</v>
      </c>
    </row>
    <row r="153">
      <c r="A153" s="3" t="inlineStr">
        <is>
          <t>ORD-10152</t>
        </is>
      </c>
      <c r="B153" s="6" t="n">
        <v>46002</v>
      </c>
      <c r="C153" s="3" t="inlineStr">
        <is>
          <t>Home &amp; Lifestyle</t>
        </is>
      </c>
      <c r="D153" s="3" t="inlineStr">
        <is>
          <t>Travel Mugs</t>
        </is>
      </c>
      <c r="E153" s="3" t="inlineStr">
        <is>
          <t>Western</t>
        </is>
      </c>
      <c r="F153" s="3" t="inlineStr">
        <is>
          <t>Online</t>
        </is>
      </c>
      <c r="G153" s="3" t="inlineStr">
        <is>
          <t>New</t>
        </is>
      </c>
      <c r="H153" s="3" t="n">
        <v>6</v>
      </c>
      <c r="I153" s="3" t="n">
        <v>135</v>
      </c>
      <c r="J153" s="3" t="n">
        <v>75.3</v>
      </c>
      <c r="K153" s="3" t="n">
        <v>0</v>
      </c>
      <c r="L153" s="3" t="n">
        <v>31.09</v>
      </c>
    </row>
    <row r="154">
      <c r="A154" s="3" t="inlineStr">
        <is>
          <t>ORD-10153</t>
        </is>
      </c>
      <c r="B154" s="6" t="n">
        <v>45659</v>
      </c>
      <c r="C154" s="3" t="inlineStr">
        <is>
          <t>Footwear</t>
        </is>
      </c>
      <c r="D154" s="3" t="inlineStr">
        <is>
          <t>Boots</t>
        </is>
      </c>
      <c r="E154" s="3" t="inlineStr">
        <is>
          <t>Greater Accra</t>
        </is>
      </c>
      <c r="F154" s="3" t="inlineStr">
        <is>
          <t>Phone/WhatsApp</t>
        </is>
      </c>
      <c r="G154" s="3" t="inlineStr">
        <is>
          <t>Returning</t>
        </is>
      </c>
      <c r="H154" s="3" t="n">
        <v>1</v>
      </c>
      <c r="I154" s="3" t="n">
        <v>230</v>
      </c>
      <c r="J154" s="3" t="n">
        <v>143.8</v>
      </c>
      <c r="K154" s="3" t="n">
        <v>0.1</v>
      </c>
      <c r="L154" s="3" t="n">
        <v>12.34</v>
      </c>
    </row>
    <row r="155">
      <c r="A155" s="3" t="inlineStr">
        <is>
          <t>ORD-10154</t>
        </is>
      </c>
      <c r="B155" s="6" t="n">
        <v>45928</v>
      </c>
      <c r="C155" s="3" t="inlineStr">
        <is>
          <t>Footwear</t>
        </is>
      </c>
      <c r="D155" s="3" t="inlineStr">
        <is>
          <t>Sandals</t>
        </is>
      </c>
      <c r="E155" s="3" t="inlineStr">
        <is>
          <t>Greater Accra</t>
        </is>
      </c>
      <c r="F155" s="3" t="inlineStr">
        <is>
          <t>Phone/WhatsApp</t>
        </is>
      </c>
      <c r="G155" s="3" t="inlineStr">
        <is>
          <t>Returning</t>
        </is>
      </c>
      <c r="H155" s="3" t="n">
        <v>4</v>
      </c>
      <c r="I155" s="3" t="n">
        <v>400</v>
      </c>
      <c r="J155" s="3" t="n">
        <v>244.34</v>
      </c>
      <c r="K155" s="3" t="n">
        <v>0.15</v>
      </c>
      <c r="L155" s="3" t="n">
        <v>20.52</v>
      </c>
    </row>
    <row r="156">
      <c r="A156" s="3" t="inlineStr">
        <is>
          <t>ORD-10155</t>
        </is>
      </c>
      <c r="B156" s="6" t="n">
        <v>45725</v>
      </c>
      <c r="C156" s="3" t="inlineStr">
        <is>
          <t>Clothing</t>
        </is>
      </c>
      <c r="D156" s="3" t="inlineStr">
        <is>
          <t>Jackets</t>
        </is>
      </c>
      <c r="E156" s="3" t="inlineStr">
        <is>
          <t>Ashanti</t>
        </is>
      </c>
      <c r="F156" s="3" t="inlineStr">
        <is>
          <t>Retail Shop</t>
        </is>
      </c>
      <c r="G156" s="3" t="inlineStr">
        <is>
          <t>New</t>
        </is>
      </c>
      <c r="H156" s="3" t="n">
        <v>2</v>
      </c>
      <c r="I156" s="3" t="n">
        <v>95</v>
      </c>
      <c r="J156" s="3" t="n">
        <v>46.7</v>
      </c>
      <c r="K156" s="3" t="n">
        <v>0.15</v>
      </c>
      <c r="L156" s="3" t="n">
        <v>1.51</v>
      </c>
    </row>
    <row r="157">
      <c r="A157" s="3" t="inlineStr">
        <is>
          <t>ORD-10156</t>
        </is>
      </c>
      <c r="B157" s="6" t="n">
        <v>45715</v>
      </c>
      <c r="C157" s="3" t="inlineStr">
        <is>
          <t>Clothing</t>
        </is>
      </c>
      <c r="D157" s="3" t="inlineStr">
        <is>
          <t>Dresses</t>
        </is>
      </c>
      <c r="E157" s="3" t="inlineStr">
        <is>
          <t>Central</t>
        </is>
      </c>
      <c r="F157" s="3" t="inlineStr">
        <is>
          <t>Phone/WhatsApp</t>
        </is>
      </c>
      <c r="G157" s="3" t="inlineStr">
        <is>
          <t>New</t>
        </is>
      </c>
      <c r="H157" s="3" t="n">
        <v>4</v>
      </c>
      <c r="I157" s="3" t="n">
        <v>125</v>
      </c>
      <c r="J157" s="3" t="n">
        <v>61.81</v>
      </c>
      <c r="K157" s="3" t="n">
        <v>0.1</v>
      </c>
      <c r="L157" s="3" t="n">
        <v>8.43</v>
      </c>
    </row>
    <row r="158">
      <c r="A158" s="3" t="inlineStr">
        <is>
          <t>ORD-10157</t>
        </is>
      </c>
      <c r="B158" s="6" t="n">
        <v>45761</v>
      </c>
      <c r="C158" s="3" t="inlineStr">
        <is>
          <t>Clothing</t>
        </is>
      </c>
      <c r="D158" s="3" t="inlineStr">
        <is>
          <t>Trousers</t>
        </is>
      </c>
      <c r="E158" s="3" t="inlineStr">
        <is>
          <t>Greater Accra</t>
        </is>
      </c>
      <c r="F158" s="3" t="inlineStr">
        <is>
          <t>Phone/WhatsApp</t>
        </is>
      </c>
      <c r="G158" s="3" t="inlineStr">
        <is>
          <t>New</t>
        </is>
      </c>
      <c r="H158" s="3" t="n">
        <v>2</v>
      </c>
      <c r="I158" s="3" t="n">
        <v>225</v>
      </c>
      <c r="J158" s="3" t="n">
        <v>111.15</v>
      </c>
      <c r="K158" s="3" t="n">
        <v>0.05</v>
      </c>
      <c r="L158" s="3" t="n">
        <v>22.68</v>
      </c>
    </row>
    <row r="159">
      <c r="A159" s="3" t="inlineStr">
        <is>
          <t>ORD-10158</t>
        </is>
      </c>
      <c r="B159" s="6" t="n">
        <v>45785</v>
      </c>
      <c r="C159" s="3" t="inlineStr">
        <is>
          <t>Accessories</t>
        </is>
      </c>
      <c r="D159" s="3" t="inlineStr">
        <is>
          <t>Watches</t>
        </is>
      </c>
      <c r="E159" s="3" t="inlineStr">
        <is>
          <t>Western</t>
        </is>
      </c>
      <c r="F159" s="3" t="inlineStr">
        <is>
          <t>Retail Shop</t>
        </is>
      </c>
      <c r="G159" s="3" t="inlineStr">
        <is>
          <t>Returning</t>
        </is>
      </c>
      <c r="H159" s="3" t="n">
        <v>5</v>
      </c>
      <c r="I159" s="3" t="n">
        <v>60</v>
      </c>
      <c r="J159" s="3" t="n">
        <v>30.46</v>
      </c>
      <c r="K159" s="3" t="n">
        <v>0.1</v>
      </c>
      <c r="L159" s="3" t="n">
        <v>11.74</v>
      </c>
    </row>
    <row r="160">
      <c r="A160" s="3" t="inlineStr">
        <is>
          <t>ORD-10159</t>
        </is>
      </c>
      <c r="B160" s="6" t="n">
        <v>45889</v>
      </c>
      <c r="C160" s="3" t="inlineStr">
        <is>
          <t>Clothing</t>
        </is>
      </c>
      <c r="D160" s="3" t="inlineStr">
        <is>
          <t>Jackets</t>
        </is>
      </c>
      <c r="E160" s="3" t="inlineStr">
        <is>
          <t>Greater Accra</t>
        </is>
      </c>
      <c r="F160" s="3" t="inlineStr">
        <is>
          <t>Phone/WhatsApp</t>
        </is>
      </c>
      <c r="G160" s="3" t="inlineStr">
        <is>
          <t>New</t>
        </is>
      </c>
      <c r="H160" s="3" t="n">
        <v>1</v>
      </c>
      <c r="I160" s="3" t="n">
        <v>165</v>
      </c>
      <c r="J160" s="3" t="n">
        <v>84.42</v>
      </c>
      <c r="K160" s="3" t="n">
        <v>0.1</v>
      </c>
      <c r="L160" s="3" t="n">
        <v>37.64</v>
      </c>
    </row>
    <row r="161">
      <c r="A161" s="3" t="inlineStr">
        <is>
          <t>ORD-10160</t>
        </is>
      </c>
      <c r="B161" s="6" t="n">
        <v>45741</v>
      </c>
      <c r="C161" s="3" t="inlineStr">
        <is>
          <t>Clothing</t>
        </is>
      </c>
      <c r="D161" s="3" t="inlineStr">
        <is>
          <t>Trousers</t>
        </is>
      </c>
      <c r="E161" s="3" t="inlineStr">
        <is>
          <t>Ashanti</t>
        </is>
      </c>
      <c r="F161" s="3" t="inlineStr">
        <is>
          <t>Retail Shop</t>
        </is>
      </c>
      <c r="G161" s="3" t="inlineStr">
        <is>
          <t>New</t>
        </is>
      </c>
      <c r="H161" s="3" t="n">
        <v>2</v>
      </c>
      <c r="I161" s="3" t="n">
        <v>145</v>
      </c>
      <c r="J161" s="3" t="n">
        <v>67.75</v>
      </c>
      <c r="K161" s="3" t="n">
        <v>0.05</v>
      </c>
      <c r="L161" s="3" t="n">
        <v>9.6</v>
      </c>
    </row>
    <row r="162">
      <c r="A162" s="3" t="inlineStr">
        <is>
          <t>ORD-10161</t>
        </is>
      </c>
      <c r="B162" s="6" t="n">
        <v>45987</v>
      </c>
      <c r="C162" s="3" t="inlineStr">
        <is>
          <t>Home &amp; Lifestyle</t>
        </is>
      </c>
      <c r="D162" s="3" t="inlineStr">
        <is>
          <t>Small Home Goods</t>
        </is>
      </c>
      <c r="E162" s="3" t="inlineStr">
        <is>
          <t>Central</t>
        </is>
      </c>
      <c r="F162" s="3" t="inlineStr">
        <is>
          <t>Online</t>
        </is>
      </c>
      <c r="G162" s="3" t="inlineStr">
        <is>
          <t>New</t>
        </is>
      </c>
      <c r="H162" s="3" t="n">
        <v>6</v>
      </c>
      <c r="I162" s="3" t="n">
        <v>160</v>
      </c>
      <c r="J162" s="3" t="n">
        <v>94.58</v>
      </c>
      <c r="K162" s="3" t="n">
        <v>0.1</v>
      </c>
      <c r="L162" s="3" t="n">
        <v>27.54</v>
      </c>
    </row>
    <row r="163">
      <c r="A163" s="3" t="inlineStr">
        <is>
          <t>ORD-10162</t>
        </is>
      </c>
      <c r="B163" s="6" t="n">
        <v>45724</v>
      </c>
      <c r="C163" s="3" t="inlineStr">
        <is>
          <t>Accessories</t>
        </is>
      </c>
      <c r="D163" s="3" t="inlineStr">
        <is>
          <t>Belts</t>
        </is>
      </c>
      <c r="E163" s="3" t="inlineStr">
        <is>
          <t>Ashanti</t>
        </is>
      </c>
      <c r="F163" s="3" t="inlineStr">
        <is>
          <t>Retail Shop</t>
        </is>
      </c>
      <c r="G163" s="3" t="inlineStr">
        <is>
          <t>Returning</t>
        </is>
      </c>
      <c r="H163" s="3" t="n">
        <v>2</v>
      </c>
      <c r="I163" s="3" t="n">
        <v>160</v>
      </c>
      <c r="J163" s="3" t="n">
        <v>74.91</v>
      </c>
      <c r="K163" s="3" t="n">
        <v>0.05</v>
      </c>
      <c r="L163" s="3" t="n">
        <v>2.45</v>
      </c>
    </row>
    <row r="164">
      <c r="A164" s="3" t="inlineStr">
        <is>
          <t>ORD-10163</t>
        </is>
      </c>
      <c r="B164" s="6" t="n">
        <v>45784</v>
      </c>
      <c r="C164" s="3" t="inlineStr">
        <is>
          <t>Footwear</t>
        </is>
      </c>
      <c r="D164" s="3" t="inlineStr">
        <is>
          <t>Boots</t>
        </is>
      </c>
      <c r="E164" s="3" t="inlineStr">
        <is>
          <t>Western</t>
        </is>
      </c>
      <c r="F164" s="3" t="inlineStr">
        <is>
          <t>Online</t>
        </is>
      </c>
      <c r="G164" s="3" t="inlineStr">
        <is>
          <t>Returning</t>
        </is>
      </c>
      <c r="H164" s="3" t="n">
        <v>4</v>
      </c>
      <c r="I164" s="3" t="n">
        <v>215</v>
      </c>
      <c r="J164" s="3" t="n">
        <v>118.49</v>
      </c>
      <c r="K164" s="3" t="n">
        <v>0.1</v>
      </c>
      <c r="L164" s="3" t="n">
        <v>26.84</v>
      </c>
    </row>
    <row r="165">
      <c r="A165" s="3" t="inlineStr">
        <is>
          <t>ORD-10164</t>
        </is>
      </c>
      <c r="B165" s="6" t="n">
        <v>45876</v>
      </c>
      <c r="C165" s="3" t="inlineStr">
        <is>
          <t>Footwear</t>
        </is>
      </c>
      <c r="D165" s="3" t="inlineStr">
        <is>
          <t>Sandals</t>
        </is>
      </c>
      <c r="E165" s="3" t="inlineStr">
        <is>
          <t>Ashanti</t>
        </is>
      </c>
      <c r="F165" s="3" t="inlineStr">
        <is>
          <t>Online</t>
        </is>
      </c>
      <c r="G165" s="3" t="inlineStr">
        <is>
          <t>New</t>
        </is>
      </c>
      <c r="H165" s="3" t="n">
        <v>1</v>
      </c>
      <c r="I165" s="3" t="n">
        <v>450</v>
      </c>
      <c r="J165" s="3" t="n">
        <v>244.28</v>
      </c>
      <c r="K165" s="3" t="n">
        <v>0.15</v>
      </c>
      <c r="L165" s="3" t="n">
        <v>41.73</v>
      </c>
    </row>
    <row r="166">
      <c r="A166" s="3" t="inlineStr">
        <is>
          <t>ORD-10165</t>
        </is>
      </c>
      <c r="B166" s="6" t="n">
        <v>45960</v>
      </c>
      <c r="C166" s="3" t="inlineStr">
        <is>
          <t>Accessories</t>
        </is>
      </c>
      <c r="D166" s="3" t="inlineStr">
        <is>
          <t>Watches</t>
        </is>
      </c>
      <c r="E166" s="3" t="inlineStr">
        <is>
          <t>Greater Accra</t>
        </is>
      </c>
      <c r="F166" s="3" t="inlineStr">
        <is>
          <t>Retail Shop</t>
        </is>
      </c>
      <c r="G166" s="3" t="inlineStr">
        <is>
          <t>New</t>
        </is>
      </c>
      <c r="H166" s="3" t="n">
        <v>1</v>
      </c>
      <c r="I166" s="3" t="n">
        <v>110</v>
      </c>
      <c r="J166" s="3" t="n">
        <v>53.56</v>
      </c>
      <c r="K166" s="3" t="n">
        <v>0.05</v>
      </c>
      <c r="L166" s="3" t="n">
        <v>2.76</v>
      </c>
    </row>
    <row r="167">
      <c r="A167" s="3" t="inlineStr">
        <is>
          <t>ORD-10166</t>
        </is>
      </c>
      <c r="B167" s="6" t="n">
        <v>45660</v>
      </c>
      <c r="C167" s="3" t="inlineStr">
        <is>
          <t>Footwear</t>
        </is>
      </c>
      <c r="D167" s="3" t="inlineStr">
        <is>
          <t>Sneakers</t>
        </is>
      </c>
      <c r="E167" s="3" t="inlineStr">
        <is>
          <t>Greater Accra</t>
        </is>
      </c>
      <c r="F167" s="3" t="inlineStr">
        <is>
          <t>Retail Shop</t>
        </is>
      </c>
      <c r="G167" s="3" t="inlineStr">
        <is>
          <t>Returning</t>
        </is>
      </c>
      <c r="H167" s="3" t="n">
        <v>1</v>
      </c>
      <c r="I167" s="3" t="n">
        <v>485</v>
      </c>
      <c r="J167" s="3" t="n">
        <v>255.18</v>
      </c>
      <c r="K167" s="3" t="n">
        <v>0</v>
      </c>
      <c r="L167" s="3" t="n">
        <v>1.04</v>
      </c>
    </row>
    <row r="168">
      <c r="A168" s="3" t="inlineStr">
        <is>
          <t>ORD-10167</t>
        </is>
      </c>
      <c r="B168" s="6" t="n">
        <v>45745</v>
      </c>
      <c r="C168" s="3" t="inlineStr">
        <is>
          <t>Footwear</t>
        </is>
      </c>
      <c r="D168" s="3" t="inlineStr">
        <is>
          <t>Sneakers</t>
        </is>
      </c>
      <c r="E168" s="3" t="inlineStr">
        <is>
          <t>Western</t>
        </is>
      </c>
      <c r="F168" s="3" t="inlineStr">
        <is>
          <t>Phone/WhatsApp</t>
        </is>
      </c>
      <c r="G168" s="3" t="inlineStr">
        <is>
          <t>New</t>
        </is>
      </c>
      <c r="H168" s="3" t="n">
        <v>2</v>
      </c>
      <c r="I168" s="3" t="n">
        <v>305</v>
      </c>
      <c r="J168" s="3" t="n">
        <v>177.74</v>
      </c>
      <c r="K168" s="3" t="n">
        <v>0.05</v>
      </c>
      <c r="L168" s="3" t="n">
        <v>31.04</v>
      </c>
    </row>
    <row r="169">
      <c r="A169" s="3" t="inlineStr">
        <is>
          <t>ORD-10168</t>
        </is>
      </c>
      <c r="B169" s="6" t="n">
        <v>45743</v>
      </c>
      <c r="C169" s="3" t="inlineStr">
        <is>
          <t>Clothing</t>
        </is>
      </c>
      <c r="D169" s="3" t="inlineStr">
        <is>
          <t>Dresses</t>
        </is>
      </c>
      <c r="E169" s="3" t="inlineStr">
        <is>
          <t>Central</t>
        </is>
      </c>
      <c r="F169" s="3" t="inlineStr">
        <is>
          <t>Online</t>
        </is>
      </c>
      <c r="G169" s="3" t="inlineStr">
        <is>
          <t>Returning</t>
        </is>
      </c>
      <c r="H169" s="3" t="n">
        <v>2</v>
      </c>
      <c r="I169" s="3" t="n">
        <v>155</v>
      </c>
      <c r="J169" s="3" t="n">
        <v>83.81999999999999</v>
      </c>
      <c r="K169" s="3" t="n">
        <v>0.1</v>
      </c>
      <c r="L169" s="3" t="n">
        <v>24.61</v>
      </c>
    </row>
    <row r="170">
      <c r="A170" s="3" t="inlineStr">
        <is>
          <t>ORD-10169</t>
        </is>
      </c>
      <c r="B170" s="6" t="n">
        <v>45762</v>
      </c>
      <c r="C170" s="3" t="inlineStr">
        <is>
          <t>Accessories</t>
        </is>
      </c>
      <c r="D170" s="3" t="inlineStr">
        <is>
          <t>Bags</t>
        </is>
      </c>
      <c r="E170" s="3" t="inlineStr">
        <is>
          <t>Ashanti</t>
        </is>
      </c>
      <c r="F170" s="3" t="inlineStr">
        <is>
          <t>Retail Shop</t>
        </is>
      </c>
      <c r="G170" s="3" t="inlineStr">
        <is>
          <t>New</t>
        </is>
      </c>
      <c r="H170" s="3" t="n">
        <v>2</v>
      </c>
      <c r="I170" s="3" t="n">
        <v>140</v>
      </c>
      <c r="J170" s="3" t="n">
        <v>62.97</v>
      </c>
      <c r="K170" s="3" t="n">
        <v>0</v>
      </c>
      <c r="L170" s="3" t="n">
        <v>0.6</v>
      </c>
    </row>
    <row r="171">
      <c r="A171" s="3" t="inlineStr">
        <is>
          <t>ORD-10170</t>
        </is>
      </c>
      <c r="B171" s="6" t="n">
        <v>45676</v>
      </c>
      <c r="C171" s="3" t="inlineStr">
        <is>
          <t>Accessories</t>
        </is>
      </c>
      <c r="D171" s="3" t="inlineStr">
        <is>
          <t>Watches</t>
        </is>
      </c>
      <c r="E171" s="3" t="inlineStr">
        <is>
          <t>Greater Accra</t>
        </is>
      </c>
      <c r="F171" s="3" t="inlineStr">
        <is>
          <t>Retail Shop</t>
        </is>
      </c>
      <c r="G171" s="3" t="inlineStr">
        <is>
          <t>Returning</t>
        </is>
      </c>
      <c r="H171" s="3" t="n">
        <v>2</v>
      </c>
      <c r="I171" s="3" t="n">
        <v>80</v>
      </c>
      <c r="J171" s="3" t="n">
        <v>33.82</v>
      </c>
      <c r="K171" s="3" t="n">
        <v>0.1</v>
      </c>
      <c r="L171" s="3" t="n">
        <v>11.81</v>
      </c>
    </row>
    <row r="172">
      <c r="A172" s="3" t="inlineStr">
        <is>
          <t>ORD-10171</t>
        </is>
      </c>
      <c r="B172" s="6" t="n">
        <v>45897</v>
      </c>
      <c r="C172" s="3" t="inlineStr">
        <is>
          <t>Accessories</t>
        </is>
      </c>
      <c r="D172" s="3" t="inlineStr">
        <is>
          <t>Sunglasses</t>
        </is>
      </c>
      <c r="E172" s="3" t="inlineStr">
        <is>
          <t>Northern</t>
        </is>
      </c>
      <c r="F172" s="3" t="inlineStr">
        <is>
          <t>Phone/WhatsApp</t>
        </is>
      </c>
      <c r="G172" s="3" t="inlineStr">
        <is>
          <t>Returning</t>
        </is>
      </c>
      <c r="H172" s="3" t="n">
        <v>2</v>
      </c>
      <c r="I172" s="3" t="n">
        <v>90</v>
      </c>
      <c r="J172" s="3" t="n">
        <v>47.75</v>
      </c>
      <c r="K172" s="3" t="n">
        <v>0</v>
      </c>
      <c r="L172" s="3" t="n">
        <v>32.27</v>
      </c>
    </row>
    <row r="173">
      <c r="A173" s="3" t="inlineStr">
        <is>
          <t>ORD-10172</t>
        </is>
      </c>
      <c r="B173" s="6" t="n">
        <v>45970</v>
      </c>
      <c r="C173" s="3" t="inlineStr">
        <is>
          <t>Footwear</t>
        </is>
      </c>
      <c r="D173" s="3" t="inlineStr">
        <is>
          <t>Sandals</t>
        </is>
      </c>
      <c r="E173" s="3" t="inlineStr">
        <is>
          <t>Ashanti</t>
        </is>
      </c>
      <c r="F173" s="3" t="inlineStr">
        <is>
          <t>Retail Shop</t>
        </is>
      </c>
      <c r="G173" s="3" t="inlineStr">
        <is>
          <t>New</t>
        </is>
      </c>
      <c r="H173" s="3" t="n">
        <v>4</v>
      </c>
      <c r="I173" s="3" t="n">
        <v>285</v>
      </c>
      <c r="J173" s="3" t="n">
        <v>157.71</v>
      </c>
      <c r="K173" s="3" t="n">
        <v>0.05</v>
      </c>
      <c r="L173" s="3" t="n">
        <v>1.49</v>
      </c>
    </row>
    <row r="174">
      <c r="A174" s="3" t="inlineStr">
        <is>
          <t>ORD-10173</t>
        </is>
      </c>
      <c r="B174" s="6" t="n">
        <v>45922</v>
      </c>
      <c r="C174" s="3" t="inlineStr">
        <is>
          <t>Clothing</t>
        </is>
      </c>
      <c r="D174" s="3" t="inlineStr">
        <is>
          <t>Shirts</t>
        </is>
      </c>
      <c r="E174" s="3" t="inlineStr">
        <is>
          <t>Greater Accra</t>
        </is>
      </c>
      <c r="F174" s="3" t="inlineStr">
        <is>
          <t>Online</t>
        </is>
      </c>
      <c r="G174" s="3" t="inlineStr">
        <is>
          <t>Returning</t>
        </is>
      </c>
      <c r="H174" s="3" t="n">
        <v>3</v>
      </c>
      <c r="I174" s="3" t="n">
        <v>160</v>
      </c>
      <c r="J174" s="3" t="n">
        <v>75.19</v>
      </c>
      <c r="K174" s="3" t="n">
        <v>0</v>
      </c>
      <c r="L174" s="3" t="n">
        <v>23.71</v>
      </c>
    </row>
    <row r="175">
      <c r="A175" s="3" t="inlineStr">
        <is>
          <t>ORD-10174</t>
        </is>
      </c>
      <c r="B175" s="6" t="n">
        <v>45836</v>
      </c>
      <c r="C175" s="3" t="inlineStr">
        <is>
          <t>Footwear</t>
        </is>
      </c>
      <c r="D175" s="3" t="inlineStr">
        <is>
          <t>Sandals</t>
        </is>
      </c>
      <c r="E175" s="3" t="inlineStr">
        <is>
          <t>Greater Accra</t>
        </is>
      </c>
      <c r="F175" s="3" t="inlineStr">
        <is>
          <t>Online</t>
        </is>
      </c>
      <c r="G175" s="3" t="inlineStr">
        <is>
          <t>Returning</t>
        </is>
      </c>
      <c r="H175" s="3" t="n">
        <v>3</v>
      </c>
      <c r="I175" s="3" t="n">
        <v>600</v>
      </c>
      <c r="J175" s="3" t="n">
        <v>363.27</v>
      </c>
      <c r="K175" s="3" t="n">
        <v>0.2</v>
      </c>
      <c r="L175" s="3" t="n">
        <v>34.13</v>
      </c>
    </row>
    <row r="176">
      <c r="A176" s="3" t="inlineStr">
        <is>
          <t>ORD-10175</t>
        </is>
      </c>
      <c r="B176" s="6" t="n">
        <v>45939</v>
      </c>
      <c r="C176" s="3" t="inlineStr">
        <is>
          <t>Clothing</t>
        </is>
      </c>
      <c r="D176" s="3" t="inlineStr">
        <is>
          <t>Jackets</t>
        </is>
      </c>
      <c r="E176" s="3" t="inlineStr">
        <is>
          <t>Central</t>
        </is>
      </c>
      <c r="F176" s="3" t="inlineStr">
        <is>
          <t>Online</t>
        </is>
      </c>
      <c r="G176" s="3" t="inlineStr">
        <is>
          <t>New</t>
        </is>
      </c>
      <c r="H176" s="3" t="n">
        <v>4</v>
      </c>
      <c r="I176" s="3" t="n">
        <v>115</v>
      </c>
      <c r="J176" s="3" t="n">
        <v>56.02</v>
      </c>
      <c r="K176" s="3" t="n">
        <v>0</v>
      </c>
      <c r="L176" s="3" t="n">
        <v>28.11</v>
      </c>
    </row>
    <row r="177">
      <c r="A177" s="3" t="inlineStr">
        <is>
          <t>ORD-10176</t>
        </is>
      </c>
      <c r="B177" s="6" t="n">
        <v>46007</v>
      </c>
      <c r="C177" s="3" t="inlineStr">
        <is>
          <t>Clothing</t>
        </is>
      </c>
      <c r="D177" s="3" t="inlineStr">
        <is>
          <t>Shirts</t>
        </is>
      </c>
      <c r="E177" s="3" t="inlineStr">
        <is>
          <t>Ashanti</t>
        </is>
      </c>
      <c r="F177" s="3" t="inlineStr">
        <is>
          <t>Retail Shop</t>
        </is>
      </c>
      <c r="G177" s="3" t="inlineStr">
        <is>
          <t>Returning</t>
        </is>
      </c>
      <c r="H177" s="3" t="n">
        <v>3</v>
      </c>
      <c r="I177" s="3" t="n">
        <v>125</v>
      </c>
      <c r="J177" s="3" t="n">
        <v>70.08</v>
      </c>
      <c r="K177" s="3" t="n">
        <v>0</v>
      </c>
      <c r="L177" s="3" t="n">
        <v>1.01</v>
      </c>
    </row>
    <row r="178">
      <c r="A178" s="3" t="inlineStr">
        <is>
          <t>ORD-10177</t>
        </is>
      </c>
      <c r="B178" s="6" t="n">
        <v>45680</v>
      </c>
      <c r="C178" s="3" t="inlineStr">
        <is>
          <t>Accessories</t>
        </is>
      </c>
      <c r="D178" s="3" t="inlineStr">
        <is>
          <t>Belts</t>
        </is>
      </c>
      <c r="E178" s="3" t="inlineStr">
        <is>
          <t>Greater Accra</t>
        </is>
      </c>
      <c r="F178" s="3" t="inlineStr">
        <is>
          <t>Online</t>
        </is>
      </c>
      <c r="G178" s="3" t="inlineStr">
        <is>
          <t>Returning</t>
        </is>
      </c>
      <c r="H178" s="3" t="n">
        <v>2</v>
      </c>
      <c r="I178" s="3" t="n">
        <v>100</v>
      </c>
      <c r="J178" s="3" t="n">
        <v>43.04</v>
      </c>
      <c r="K178" s="3" t="n">
        <v>0.05</v>
      </c>
      <c r="L178" s="3" t="n">
        <v>17.64</v>
      </c>
    </row>
    <row r="179">
      <c r="A179" s="3" t="inlineStr">
        <is>
          <t>ORD-10178</t>
        </is>
      </c>
      <c r="B179" s="6" t="n">
        <v>45863</v>
      </c>
      <c r="C179" s="3" t="inlineStr">
        <is>
          <t>Clothing</t>
        </is>
      </c>
      <c r="D179" s="3" t="inlineStr">
        <is>
          <t>Shirts</t>
        </is>
      </c>
      <c r="E179" s="3" t="inlineStr">
        <is>
          <t>Northern</t>
        </is>
      </c>
      <c r="F179" s="3" t="inlineStr">
        <is>
          <t>Phone/WhatsApp</t>
        </is>
      </c>
      <c r="G179" s="3" t="inlineStr">
        <is>
          <t>Returning</t>
        </is>
      </c>
      <c r="H179" s="3" t="n">
        <v>1</v>
      </c>
      <c r="I179" s="3" t="n">
        <v>175</v>
      </c>
      <c r="J179" s="3" t="n">
        <v>92.45</v>
      </c>
      <c r="K179" s="3" t="n">
        <v>0</v>
      </c>
      <c r="L179" s="3" t="n">
        <v>15.28</v>
      </c>
    </row>
    <row r="180">
      <c r="A180" s="3" t="inlineStr">
        <is>
          <t>ORD-10179</t>
        </is>
      </c>
      <c r="B180" s="6" t="n">
        <v>45789</v>
      </c>
      <c r="C180" s="3" t="inlineStr">
        <is>
          <t>Footwear</t>
        </is>
      </c>
      <c r="D180" s="3" t="inlineStr">
        <is>
          <t>Sneakers</t>
        </is>
      </c>
      <c r="E180" s="3" t="inlineStr">
        <is>
          <t>Greater Accra</t>
        </is>
      </c>
      <c r="F180" s="3" t="inlineStr">
        <is>
          <t>Online</t>
        </is>
      </c>
      <c r="G180" s="3" t="inlineStr">
        <is>
          <t>New</t>
        </is>
      </c>
      <c r="H180" s="3" t="n">
        <v>2</v>
      </c>
      <c r="I180" s="3" t="n">
        <v>330</v>
      </c>
      <c r="J180" s="3" t="n">
        <v>198.06</v>
      </c>
      <c r="K180" s="3" t="n">
        <v>0.1</v>
      </c>
      <c r="L180" s="3" t="n">
        <v>24.75</v>
      </c>
    </row>
    <row r="181">
      <c r="A181" s="3" t="inlineStr">
        <is>
          <t>ORD-10180</t>
        </is>
      </c>
      <c r="B181" s="6" t="n">
        <v>45990</v>
      </c>
      <c r="C181" s="3" t="inlineStr">
        <is>
          <t>Footwear</t>
        </is>
      </c>
      <c r="D181" s="3" t="inlineStr">
        <is>
          <t>Sandals</t>
        </is>
      </c>
      <c r="E181" s="3" t="inlineStr">
        <is>
          <t>Greater Accra</t>
        </is>
      </c>
      <c r="F181" s="3" t="inlineStr">
        <is>
          <t>Phone/WhatsApp</t>
        </is>
      </c>
      <c r="G181" s="3" t="inlineStr">
        <is>
          <t>Returning</t>
        </is>
      </c>
      <c r="H181" s="3" t="n">
        <v>6</v>
      </c>
      <c r="I181" s="3" t="n">
        <v>270</v>
      </c>
      <c r="J181" s="3" t="n">
        <v>149.66</v>
      </c>
      <c r="K181" s="3" t="n">
        <v>0.2</v>
      </c>
      <c r="L181" s="3" t="n">
        <v>37.3</v>
      </c>
    </row>
    <row r="182">
      <c r="A182" s="3" t="inlineStr">
        <is>
          <t>ORD-10181</t>
        </is>
      </c>
      <c r="B182" s="6" t="n">
        <v>46018</v>
      </c>
      <c r="C182" s="3" t="inlineStr">
        <is>
          <t>Footwear</t>
        </is>
      </c>
      <c r="D182" s="3" t="inlineStr">
        <is>
          <t>Boots</t>
        </is>
      </c>
      <c r="E182" s="3" t="inlineStr">
        <is>
          <t>Ashanti</t>
        </is>
      </c>
      <c r="F182" s="3" t="inlineStr">
        <is>
          <t>Online</t>
        </is>
      </c>
      <c r="G182" s="3" t="inlineStr">
        <is>
          <t>New</t>
        </is>
      </c>
      <c r="H182" s="3" t="n">
        <v>2</v>
      </c>
      <c r="I182" s="3" t="n">
        <v>145</v>
      </c>
      <c r="J182" s="3" t="n">
        <v>88.63</v>
      </c>
      <c r="K182" s="3" t="n">
        <v>0.05</v>
      </c>
      <c r="L182" s="3" t="n">
        <v>27.47</v>
      </c>
    </row>
    <row r="183">
      <c r="A183" s="3" t="inlineStr">
        <is>
          <t>ORD-10182</t>
        </is>
      </c>
      <c r="B183" s="6" t="n">
        <v>45733</v>
      </c>
      <c r="C183" s="3" t="inlineStr">
        <is>
          <t>Home &amp; Lifestyle</t>
        </is>
      </c>
      <c r="D183" s="3" t="inlineStr">
        <is>
          <t>Travel Mugs</t>
        </is>
      </c>
      <c r="E183" s="3" t="inlineStr">
        <is>
          <t>Ashanti</t>
        </is>
      </c>
      <c r="F183" s="3" t="inlineStr">
        <is>
          <t>Phone/WhatsApp</t>
        </is>
      </c>
      <c r="G183" s="3" t="inlineStr">
        <is>
          <t>New</t>
        </is>
      </c>
      <c r="H183" s="3" t="n">
        <v>1</v>
      </c>
      <c r="I183" s="3" t="n">
        <v>175</v>
      </c>
      <c r="J183" s="3" t="n">
        <v>89.16</v>
      </c>
      <c r="K183" s="3" t="n">
        <v>0.15</v>
      </c>
      <c r="L183" s="3" t="n">
        <v>11.73</v>
      </c>
    </row>
    <row r="184">
      <c r="A184" s="3" t="inlineStr">
        <is>
          <t>ORD-10183</t>
        </is>
      </c>
      <c r="B184" s="6" t="n">
        <v>45810</v>
      </c>
      <c r="C184" s="3" t="inlineStr">
        <is>
          <t>Clothing</t>
        </is>
      </c>
      <c r="D184" s="3" t="inlineStr">
        <is>
          <t>Shirts</t>
        </is>
      </c>
      <c r="E184" s="3" t="inlineStr">
        <is>
          <t>Central</t>
        </is>
      </c>
      <c r="F184" s="3" t="inlineStr">
        <is>
          <t>Retail Shop</t>
        </is>
      </c>
      <c r="G184" s="3" t="inlineStr">
        <is>
          <t>New</t>
        </is>
      </c>
      <c r="H184" s="3" t="n">
        <v>3</v>
      </c>
      <c r="I184" s="3" t="n">
        <v>160</v>
      </c>
      <c r="J184" s="3" t="n">
        <v>86.95999999999999</v>
      </c>
      <c r="K184" s="3" t="n">
        <v>0.05</v>
      </c>
      <c r="L184" s="3" t="n">
        <v>1.7</v>
      </c>
    </row>
    <row r="185">
      <c r="A185" s="3" t="inlineStr">
        <is>
          <t>ORD-10184</t>
        </is>
      </c>
      <c r="B185" s="6" t="n">
        <v>45993</v>
      </c>
      <c r="C185" s="3" t="inlineStr">
        <is>
          <t>Home &amp; Lifestyle</t>
        </is>
      </c>
      <c r="D185" s="3" t="inlineStr">
        <is>
          <t>Small Home Goods</t>
        </is>
      </c>
      <c r="E185" s="3" t="inlineStr">
        <is>
          <t>Greater Accra</t>
        </is>
      </c>
      <c r="F185" s="3" t="inlineStr">
        <is>
          <t>Retail Shop</t>
        </is>
      </c>
      <c r="G185" s="3" t="inlineStr">
        <is>
          <t>New</t>
        </is>
      </c>
      <c r="H185" s="3" t="n">
        <v>1</v>
      </c>
      <c r="I185" s="3" t="n">
        <v>130</v>
      </c>
      <c r="J185" s="3" t="n">
        <v>64.7</v>
      </c>
      <c r="K185" s="3" t="n">
        <v>0.05</v>
      </c>
      <c r="L185" s="3" t="n">
        <v>11.48</v>
      </c>
    </row>
    <row r="186">
      <c r="A186" s="3" t="inlineStr">
        <is>
          <t>ORD-10185</t>
        </is>
      </c>
      <c r="B186" s="6" t="n">
        <v>45775</v>
      </c>
      <c r="C186" s="3" t="inlineStr">
        <is>
          <t>Home &amp; Lifestyle</t>
        </is>
      </c>
      <c r="D186" s="3" t="inlineStr">
        <is>
          <t>Travel Mugs</t>
        </is>
      </c>
      <c r="E186" s="3" t="inlineStr">
        <is>
          <t>Greater Accra</t>
        </is>
      </c>
      <c r="F186" s="3" t="inlineStr">
        <is>
          <t>Online</t>
        </is>
      </c>
      <c r="G186" s="3" t="inlineStr">
        <is>
          <t>New</t>
        </is>
      </c>
      <c r="H186" s="3" t="n">
        <v>3</v>
      </c>
      <c r="I186" s="3" t="n">
        <v>80</v>
      </c>
      <c r="J186" s="3" t="n">
        <v>40.82</v>
      </c>
      <c r="K186" s="3" t="n">
        <v>0</v>
      </c>
      <c r="L186" s="3" t="n">
        <v>11.64</v>
      </c>
    </row>
    <row r="187">
      <c r="A187" s="3" t="inlineStr">
        <is>
          <t>ORD-10186</t>
        </is>
      </c>
      <c r="B187" s="6" t="n">
        <v>45781</v>
      </c>
      <c r="C187" s="3" t="inlineStr">
        <is>
          <t>Accessories</t>
        </is>
      </c>
      <c r="D187" s="3" t="inlineStr">
        <is>
          <t>Watches</t>
        </is>
      </c>
      <c r="E187" s="3" t="inlineStr">
        <is>
          <t>Ashanti</t>
        </is>
      </c>
      <c r="F187" s="3" t="inlineStr">
        <is>
          <t>Phone/WhatsApp</t>
        </is>
      </c>
      <c r="G187" s="3" t="inlineStr">
        <is>
          <t>Returning</t>
        </is>
      </c>
      <c r="H187" s="3" t="n">
        <v>2</v>
      </c>
      <c r="I187" s="3" t="n">
        <v>150</v>
      </c>
      <c r="J187" s="3" t="n">
        <v>79.33</v>
      </c>
      <c r="K187" s="3" t="n">
        <v>0.05</v>
      </c>
      <c r="L187" s="3" t="n">
        <v>10.32</v>
      </c>
    </row>
    <row r="188">
      <c r="A188" s="3" t="inlineStr">
        <is>
          <t>ORD-10187</t>
        </is>
      </c>
      <c r="B188" s="6" t="n">
        <v>45875</v>
      </c>
      <c r="C188" s="3" t="inlineStr">
        <is>
          <t>Home &amp; Lifestyle</t>
        </is>
      </c>
      <c r="D188" s="3" t="inlineStr">
        <is>
          <t>Small Home Goods</t>
        </is>
      </c>
      <c r="E188" s="3" t="inlineStr">
        <is>
          <t>Ashanti</t>
        </is>
      </c>
      <c r="F188" s="3" t="inlineStr">
        <is>
          <t>Retail Shop</t>
        </is>
      </c>
      <c r="G188" s="3" t="inlineStr">
        <is>
          <t>Returning</t>
        </is>
      </c>
      <c r="H188" s="3" t="n">
        <v>3</v>
      </c>
      <c r="I188" s="3" t="n">
        <v>175</v>
      </c>
      <c r="J188" s="3" t="n">
        <v>103.25</v>
      </c>
      <c r="K188" s="3" t="n">
        <v>0.15</v>
      </c>
      <c r="L188" s="3" t="n">
        <v>5.93</v>
      </c>
    </row>
    <row r="189">
      <c r="A189" s="3" t="inlineStr">
        <is>
          <t>ORD-10188</t>
        </is>
      </c>
      <c r="B189" s="6" t="n">
        <v>45918</v>
      </c>
      <c r="C189" s="3" t="inlineStr">
        <is>
          <t>Clothing</t>
        </is>
      </c>
      <c r="D189" s="3" t="inlineStr">
        <is>
          <t>Trousers</t>
        </is>
      </c>
      <c r="E189" s="3" t="inlineStr">
        <is>
          <t>Ashanti</t>
        </is>
      </c>
      <c r="F189" s="3" t="inlineStr">
        <is>
          <t>Retail Shop</t>
        </is>
      </c>
      <c r="G189" s="3" t="inlineStr">
        <is>
          <t>New</t>
        </is>
      </c>
      <c r="H189" s="3" t="n">
        <v>5</v>
      </c>
      <c r="I189" s="3" t="n">
        <v>165</v>
      </c>
      <c r="J189" s="3" t="n">
        <v>94.73999999999999</v>
      </c>
      <c r="K189" s="3" t="n">
        <v>0.1</v>
      </c>
      <c r="L189" s="3" t="n">
        <v>5.35</v>
      </c>
    </row>
    <row r="190">
      <c r="A190" s="3" t="inlineStr">
        <is>
          <t>ORD-10189</t>
        </is>
      </c>
      <c r="B190" s="6" t="n">
        <v>45833</v>
      </c>
      <c r="C190" s="3" t="inlineStr">
        <is>
          <t>Footwear</t>
        </is>
      </c>
      <c r="D190" s="3" t="inlineStr">
        <is>
          <t>Sandals</t>
        </is>
      </c>
      <c r="E190" s="3" t="inlineStr">
        <is>
          <t>Western</t>
        </is>
      </c>
      <c r="F190" s="3" t="inlineStr">
        <is>
          <t>Phone/WhatsApp</t>
        </is>
      </c>
      <c r="G190" s="3" t="inlineStr">
        <is>
          <t>New</t>
        </is>
      </c>
      <c r="H190" s="3" t="n">
        <v>2</v>
      </c>
      <c r="I190" s="3" t="n">
        <v>320</v>
      </c>
      <c r="J190" s="3" t="n">
        <v>192.13</v>
      </c>
      <c r="K190" s="3" t="n">
        <v>0.2</v>
      </c>
      <c r="L190" s="3" t="n">
        <v>28.66</v>
      </c>
    </row>
    <row r="191">
      <c r="A191" s="3" t="inlineStr">
        <is>
          <t>ORD-10190</t>
        </is>
      </c>
      <c r="B191" s="6" t="n">
        <v>45692</v>
      </c>
      <c r="C191" s="3" t="inlineStr">
        <is>
          <t>Clothing</t>
        </is>
      </c>
      <c r="D191" s="3" t="inlineStr">
        <is>
          <t>Shirts</t>
        </is>
      </c>
      <c r="E191" s="3" t="inlineStr">
        <is>
          <t>Greater Accra</t>
        </is>
      </c>
      <c r="F191" s="3" t="inlineStr">
        <is>
          <t>Retail Shop</t>
        </is>
      </c>
      <c r="G191" s="3" t="inlineStr">
        <is>
          <t>Returning</t>
        </is>
      </c>
      <c r="H191" s="3" t="n">
        <v>1</v>
      </c>
      <c r="I191" s="3" t="n">
        <v>105</v>
      </c>
      <c r="J191" s="3" t="n">
        <v>56.25</v>
      </c>
      <c r="K191" s="3" t="n">
        <v>0.05</v>
      </c>
      <c r="L191" s="3" t="n">
        <v>2.15</v>
      </c>
    </row>
    <row r="192">
      <c r="A192" s="3" t="inlineStr">
        <is>
          <t>ORD-10191</t>
        </is>
      </c>
      <c r="B192" s="6" t="n">
        <v>45907</v>
      </c>
      <c r="C192" s="3" t="inlineStr">
        <is>
          <t>Clothing</t>
        </is>
      </c>
      <c r="D192" s="3" t="inlineStr">
        <is>
          <t>Shirts</t>
        </is>
      </c>
      <c r="E192" s="3" t="inlineStr">
        <is>
          <t>Central</t>
        </is>
      </c>
      <c r="F192" s="3" t="inlineStr">
        <is>
          <t>Retail Shop</t>
        </is>
      </c>
      <c r="G192" s="3" t="inlineStr">
        <is>
          <t>Returning</t>
        </is>
      </c>
      <c r="H192" s="3" t="n">
        <v>2</v>
      </c>
      <c r="I192" s="3" t="n">
        <v>190</v>
      </c>
      <c r="J192" s="3" t="n">
        <v>93.13</v>
      </c>
      <c r="K192" s="3" t="n">
        <v>0.15</v>
      </c>
      <c r="L192" s="3" t="n">
        <v>1.68</v>
      </c>
    </row>
    <row r="193">
      <c r="A193" s="3" t="inlineStr">
        <is>
          <t>ORD-10192</t>
        </is>
      </c>
      <c r="B193" s="6" t="n">
        <v>46001</v>
      </c>
      <c r="C193" s="3" t="inlineStr">
        <is>
          <t>Clothing</t>
        </is>
      </c>
      <c r="D193" s="3" t="inlineStr">
        <is>
          <t>Jackets</t>
        </is>
      </c>
      <c r="E193" s="3" t="inlineStr">
        <is>
          <t>Western</t>
        </is>
      </c>
      <c r="F193" s="3" t="inlineStr">
        <is>
          <t>Retail Shop</t>
        </is>
      </c>
      <c r="G193" s="3" t="inlineStr">
        <is>
          <t>New</t>
        </is>
      </c>
      <c r="H193" s="3" t="n">
        <v>4</v>
      </c>
      <c r="I193" s="3" t="n">
        <v>130</v>
      </c>
      <c r="J193" s="3" t="n">
        <v>61.24</v>
      </c>
      <c r="K193" s="3" t="n">
        <v>0.15</v>
      </c>
      <c r="L193" s="3" t="n">
        <v>8.710000000000001</v>
      </c>
    </row>
    <row r="194">
      <c r="A194" s="3" t="inlineStr">
        <is>
          <t>ORD-10193</t>
        </is>
      </c>
      <c r="B194" s="6" t="n">
        <v>45682</v>
      </c>
      <c r="C194" s="3" t="inlineStr">
        <is>
          <t>Clothing</t>
        </is>
      </c>
      <c r="D194" s="3" t="inlineStr">
        <is>
          <t>Trousers</t>
        </is>
      </c>
      <c r="E194" s="3" t="inlineStr">
        <is>
          <t>Greater Accra</t>
        </is>
      </c>
      <c r="F194" s="3" t="inlineStr">
        <is>
          <t>Online</t>
        </is>
      </c>
      <c r="G194" s="3" t="inlineStr">
        <is>
          <t>Returning</t>
        </is>
      </c>
      <c r="H194" s="3" t="n">
        <v>3</v>
      </c>
      <c r="I194" s="3" t="n">
        <v>190</v>
      </c>
      <c r="J194" s="3" t="n">
        <v>108.12</v>
      </c>
      <c r="K194" s="3" t="n">
        <v>0.05</v>
      </c>
      <c r="L194" s="3" t="n">
        <v>42.22</v>
      </c>
    </row>
    <row r="195">
      <c r="A195" s="3" t="inlineStr">
        <is>
          <t>ORD-10194</t>
        </is>
      </c>
      <c r="B195" s="6" t="n">
        <v>45965</v>
      </c>
      <c r="C195" s="3" t="inlineStr">
        <is>
          <t>Clothing</t>
        </is>
      </c>
      <c r="D195" s="3" t="inlineStr">
        <is>
          <t>Shirts</t>
        </is>
      </c>
      <c r="E195" s="3" t="inlineStr">
        <is>
          <t>Ashanti</t>
        </is>
      </c>
      <c r="F195" s="3" t="inlineStr">
        <is>
          <t>Retail Shop</t>
        </is>
      </c>
      <c r="G195" s="3" t="inlineStr">
        <is>
          <t>New</t>
        </is>
      </c>
      <c r="H195" s="3" t="n">
        <v>2</v>
      </c>
      <c r="I195" s="3" t="n">
        <v>135</v>
      </c>
      <c r="J195" s="3" t="n">
        <v>77.16</v>
      </c>
      <c r="K195" s="3" t="n">
        <v>0.05</v>
      </c>
      <c r="L195" s="3" t="n">
        <v>6.01</v>
      </c>
    </row>
    <row r="196">
      <c r="A196" s="3" t="inlineStr">
        <is>
          <t>ORD-10195</t>
        </is>
      </c>
      <c r="B196" s="6" t="n">
        <v>45988</v>
      </c>
      <c r="C196" s="3" t="inlineStr">
        <is>
          <t>Footwear</t>
        </is>
      </c>
      <c r="D196" s="3" t="inlineStr">
        <is>
          <t>Formal Shoes</t>
        </is>
      </c>
      <c r="E196" s="3" t="inlineStr">
        <is>
          <t>Western</t>
        </is>
      </c>
      <c r="F196" s="3" t="inlineStr">
        <is>
          <t>Retail Shop</t>
        </is>
      </c>
      <c r="G196" s="3" t="inlineStr">
        <is>
          <t>New</t>
        </is>
      </c>
      <c r="H196" s="3" t="n">
        <v>1</v>
      </c>
      <c r="I196" s="3" t="n">
        <v>430</v>
      </c>
      <c r="J196" s="3" t="n">
        <v>257.16</v>
      </c>
      <c r="K196" s="3" t="n">
        <v>0</v>
      </c>
      <c r="L196" s="3" t="n">
        <v>1.68</v>
      </c>
    </row>
    <row r="197">
      <c r="A197" s="3" t="inlineStr">
        <is>
          <t>ORD-10196</t>
        </is>
      </c>
      <c r="B197" s="6" t="n">
        <v>45735</v>
      </c>
      <c r="C197" s="3" t="inlineStr">
        <is>
          <t>Accessories</t>
        </is>
      </c>
      <c r="D197" s="3" t="inlineStr">
        <is>
          <t>Watches</t>
        </is>
      </c>
      <c r="E197" s="3" t="inlineStr">
        <is>
          <t>Greater Accra</t>
        </is>
      </c>
      <c r="F197" s="3" t="inlineStr">
        <is>
          <t>Retail Shop</t>
        </is>
      </c>
      <c r="G197" s="3" t="inlineStr">
        <is>
          <t>Returning</t>
        </is>
      </c>
      <c r="H197" s="3" t="n">
        <v>3</v>
      </c>
      <c r="I197" s="3" t="n">
        <v>95</v>
      </c>
      <c r="J197" s="3" t="n">
        <v>41.11</v>
      </c>
      <c r="K197" s="3" t="n">
        <v>0.1</v>
      </c>
      <c r="L197" s="3" t="n">
        <v>8.039999999999999</v>
      </c>
    </row>
    <row r="198">
      <c r="A198" s="3" t="inlineStr">
        <is>
          <t>ORD-10197</t>
        </is>
      </c>
      <c r="B198" s="6" t="n">
        <v>45689</v>
      </c>
      <c r="C198" s="3" t="inlineStr">
        <is>
          <t>Footwear</t>
        </is>
      </c>
      <c r="D198" s="3" t="inlineStr">
        <is>
          <t>Boots</t>
        </is>
      </c>
      <c r="E198" s="3" t="inlineStr">
        <is>
          <t>Ashanti</t>
        </is>
      </c>
      <c r="F198" s="3" t="inlineStr">
        <is>
          <t>Retail Shop</t>
        </is>
      </c>
      <c r="G198" s="3" t="inlineStr">
        <is>
          <t>New</t>
        </is>
      </c>
      <c r="H198" s="3" t="n">
        <v>4</v>
      </c>
      <c r="I198" s="3" t="n">
        <v>480</v>
      </c>
      <c r="J198" s="3" t="n">
        <v>261.5</v>
      </c>
      <c r="K198" s="3" t="n">
        <v>0</v>
      </c>
      <c r="L198" s="3" t="n">
        <v>4.74</v>
      </c>
    </row>
    <row r="199">
      <c r="A199" s="3" t="inlineStr">
        <is>
          <t>ORD-10198</t>
        </is>
      </c>
      <c r="B199" s="6" t="n">
        <v>45684</v>
      </c>
      <c r="C199" s="3" t="inlineStr">
        <is>
          <t>Footwear</t>
        </is>
      </c>
      <c r="D199" s="3" t="inlineStr">
        <is>
          <t>Boots</t>
        </is>
      </c>
      <c r="E199" s="3" t="inlineStr">
        <is>
          <t>Greater Accra</t>
        </is>
      </c>
      <c r="F199" s="3" t="inlineStr">
        <is>
          <t>Retail Shop</t>
        </is>
      </c>
      <c r="G199" s="3" t="inlineStr">
        <is>
          <t>New</t>
        </is>
      </c>
      <c r="H199" s="3" t="n">
        <v>2</v>
      </c>
      <c r="I199" s="3" t="n">
        <v>250</v>
      </c>
      <c r="J199" s="3" t="n">
        <v>142.44</v>
      </c>
      <c r="K199" s="3" t="n">
        <v>0</v>
      </c>
      <c r="L199" s="3" t="n">
        <v>8.68</v>
      </c>
    </row>
    <row r="200">
      <c r="A200" s="3" t="inlineStr">
        <is>
          <t>ORD-10199</t>
        </is>
      </c>
      <c r="B200" s="6" t="n">
        <v>45756</v>
      </c>
      <c r="C200" s="3" t="inlineStr">
        <is>
          <t>Accessories</t>
        </is>
      </c>
      <c r="D200" s="3" t="inlineStr">
        <is>
          <t>Bags</t>
        </is>
      </c>
      <c r="E200" s="3" t="inlineStr">
        <is>
          <t>Ashanti</t>
        </is>
      </c>
      <c r="F200" s="3" t="inlineStr">
        <is>
          <t>Online</t>
        </is>
      </c>
      <c r="G200" s="3" t="inlineStr">
        <is>
          <t>New</t>
        </is>
      </c>
      <c r="H200" s="3" t="n">
        <v>1</v>
      </c>
      <c r="I200" s="3" t="n">
        <v>75</v>
      </c>
      <c r="J200" s="3" t="n">
        <v>37.68</v>
      </c>
      <c r="K200" s="3" t="n">
        <v>0</v>
      </c>
      <c r="L200" s="3" t="n">
        <v>36.37</v>
      </c>
    </row>
    <row r="201">
      <c r="A201" s="3" t="inlineStr">
        <is>
          <t>ORD-10200</t>
        </is>
      </c>
      <c r="B201" s="6" t="n">
        <v>45933</v>
      </c>
      <c r="C201" s="3" t="inlineStr">
        <is>
          <t>Clothing</t>
        </is>
      </c>
      <c r="D201" s="3" t="inlineStr">
        <is>
          <t>Jackets</t>
        </is>
      </c>
      <c r="E201" s="3" t="inlineStr">
        <is>
          <t>Northern</t>
        </is>
      </c>
      <c r="F201" s="3" t="inlineStr">
        <is>
          <t>Phone/WhatsApp</t>
        </is>
      </c>
      <c r="G201" s="3" t="inlineStr">
        <is>
          <t>Returning</t>
        </is>
      </c>
      <c r="H201" s="3" t="n">
        <v>3</v>
      </c>
      <c r="I201" s="3" t="n">
        <v>150</v>
      </c>
      <c r="J201" s="3" t="n">
        <v>72.22</v>
      </c>
      <c r="K201" s="3" t="n">
        <v>0.15</v>
      </c>
      <c r="L201" s="3" t="n">
        <v>30.75</v>
      </c>
    </row>
    <row r="202">
      <c r="A202" s="3" t="inlineStr">
        <is>
          <t>ORD-10201</t>
        </is>
      </c>
      <c r="B202" s="6" t="n">
        <v>45903</v>
      </c>
      <c r="C202" s="3" t="inlineStr">
        <is>
          <t>Clothing</t>
        </is>
      </c>
      <c r="D202" s="3" t="inlineStr">
        <is>
          <t>Dresses</t>
        </is>
      </c>
      <c r="E202" s="3" t="inlineStr">
        <is>
          <t>Greater Accra</t>
        </is>
      </c>
      <c r="F202" s="3" t="inlineStr">
        <is>
          <t>Online</t>
        </is>
      </c>
      <c r="G202" s="3" t="inlineStr">
        <is>
          <t>Returning</t>
        </is>
      </c>
      <c r="H202" s="3" t="n">
        <v>1</v>
      </c>
      <c r="I202" s="3" t="n">
        <v>85</v>
      </c>
      <c r="J202" s="3" t="n">
        <v>40.09</v>
      </c>
      <c r="K202" s="3" t="n">
        <v>0.05</v>
      </c>
      <c r="L202" s="3" t="n">
        <v>38.62</v>
      </c>
    </row>
    <row r="203">
      <c r="A203" s="3" t="inlineStr">
        <is>
          <t>ORD-10202</t>
        </is>
      </c>
      <c r="B203" s="6" t="n">
        <v>46011</v>
      </c>
      <c r="C203" s="3" t="inlineStr">
        <is>
          <t>Clothing</t>
        </is>
      </c>
      <c r="D203" s="3" t="inlineStr">
        <is>
          <t>Jackets</t>
        </is>
      </c>
      <c r="E203" s="3" t="inlineStr">
        <is>
          <t>Ashanti</t>
        </is>
      </c>
      <c r="F203" s="3" t="inlineStr">
        <is>
          <t>Online</t>
        </is>
      </c>
      <c r="G203" s="3" t="inlineStr">
        <is>
          <t>Returning</t>
        </is>
      </c>
      <c r="H203" s="3" t="n">
        <v>5</v>
      </c>
      <c r="I203" s="3" t="n">
        <v>125</v>
      </c>
      <c r="J203" s="3" t="n">
        <v>69.61</v>
      </c>
      <c r="K203" s="3" t="n">
        <v>0</v>
      </c>
      <c r="L203" s="3" t="n">
        <v>25.96</v>
      </c>
    </row>
    <row r="204">
      <c r="A204" s="3" t="inlineStr">
        <is>
          <t>ORD-10203</t>
        </is>
      </c>
      <c r="B204" s="6" t="n">
        <v>46019</v>
      </c>
      <c r="C204" s="3" t="inlineStr">
        <is>
          <t>Clothing</t>
        </is>
      </c>
      <c r="D204" s="3" t="inlineStr">
        <is>
          <t>Shirts</t>
        </is>
      </c>
      <c r="E204" s="3" t="inlineStr">
        <is>
          <t>Western</t>
        </is>
      </c>
      <c r="F204" s="3" t="inlineStr">
        <is>
          <t>Retail Shop</t>
        </is>
      </c>
      <c r="G204" s="3" t="inlineStr">
        <is>
          <t>Returning</t>
        </is>
      </c>
      <c r="H204" s="3" t="n">
        <v>2</v>
      </c>
      <c r="I204" s="3" t="n">
        <v>160</v>
      </c>
      <c r="J204" s="3" t="n">
        <v>84.90000000000001</v>
      </c>
      <c r="K204" s="3" t="n">
        <v>0.1</v>
      </c>
      <c r="L204" s="3" t="n">
        <v>3.39</v>
      </c>
    </row>
    <row r="205">
      <c r="A205" s="3" t="inlineStr">
        <is>
          <t>ORD-10204</t>
        </is>
      </c>
      <c r="B205" s="6" t="n">
        <v>45977</v>
      </c>
      <c r="C205" s="3" t="inlineStr">
        <is>
          <t>Home &amp; Lifestyle</t>
        </is>
      </c>
      <c r="D205" s="3" t="inlineStr">
        <is>
          <t>Travel Mugs</t>
        </is>
      </c>
      <c r="E205" s="3" t="inlineStr">
        <is>
          <t>Western</t>
        </is>
      </c>
      <c r="F205" s="3" t="inlineStr">
        <is>
          <t>Online</t>
        </is>
      </c>
      <c r="G205" s="3" t="inlineStr">
        <is>
          <t>New</t>
        </is>
      </c>
      <c r="H205" s="3" t="n">
        <v>2</v>
      </c>
      <c r="I205" s="3" t="n">
        <v>125</v>
      </c>
      <c r="J205" s="3" t="n">
        <v>75.98999999999999</v>
      </c>
      <c r="K205" s="3" t="n">
        <v>0.05</v>
      </c>
      <c r="L205" s="3" t="n">
        <v>43.11</v>
      </c>
    </row>
    <row r="206">
      <c r="A206" s="3" t="inlineStr">
        <is>
          <t>ORD-10205</t>
        </is>
      </c>
      <c r="B206" s="6" t="n">
        <v>45822</v>
      </c>
      <c r="C206" s="3" t="inlineStr">
        <is>
          <t>Accessories</t>
        </is>
      </c>
      <c r="D206" s="3" t="inlineStr">
        <is>
          <t>Watches</t>
        </is>
      </c>
      <c r="E206" s="3" t="inlineStr">
        <is>
          <t>Western</t>
        </is>
      </c>
      <c r="F206" s="3" t="inlineStr">
        <is>
          <t>Retail Shop</t>
        </is>
      </c>
      <c r="G206" s="3" t="inlineStr">
        <is>
          <t>Returning</t>
        </is>
      </c>
      <c r="H206" s="3" t="n">
        <v>4</v>
      </c>
      <c r="I206" s="3" t="n">
        <v>90</v>
      </c>
      <c r="J206" s="3" t="n">
        <v>46.93</v>
      </c>
      <c r="K206" s="3" t="n">
        <v>0</v>
      </c>
      <c r="L206" s="3" t="n">
        <v>5.64</v>
      </c>
    </row>
    <row r="207">
      <c r="A207" s="3" t="inlineStr">
        <is>
          <t>ORD-10206</t>
        </is>
      </c>
      <c r="B207" s="6" t="n">
        <v>46011</v>
      </c>
      <c r="C207" s="3" t="inlineStr">
        <is>
          <t>Home &amp; Lifestyle</t>
        </is>
      </c>
      <c r="D207" s="3" t="inlineStr">
        <is>
          <t>Wallets</t>
        </is>
      </c>
      <c r="E207" s="3" t="inlineStr">
        <is>
          <t>Greater Accra</t>
        </is>
      </c>
      <c r="F207" s="3" t="inlineStr">
        <is>
          <t>Retail Shop</t>
        </is>
      </c>
      <c r="G207" s="3" t="inlineStr">
        <is>
          <t>Returning</t>
        </is>
      </c>
      <c r="H207" s="3" t="n">
        <v>4</v>
      </c>
      <c r="I207" s="3" t="n">
        <v>130</v>
      </c>
      <c r="J207" s="3" t="n">
        <v>79.34</v>
      </c>
      <c r="K207" s="3" t="n">
        <v>0</v>
      </c>
      <c r="L207" s="3" t="n">
        <v>9.67</v>
      </c>
    </row>
    <row r="208">
      <c r="A208" s="3" t="inlineStr">
        <is>
          <t>ORD-10207</t>
        </is>
      </c>
      <c r="B208" s="6" t="n">
        <v>45982</v>
      </c>
      <c r="C208" s="3" t="inlineStr">
        <is>
          <t>Clothing</t>
        </is>
      </c>
      <c r="D208" s="3" t="inlineStr">
        <is>
          <t>Dresses</t>
        </is>
      </c>
      <c r="E208" s="3" t="inlineStr">
        <is>
          <t>Greater Accra</t>
        </is>
      </c>
      <c r="F208" s="3" t="inlineStr">
        <is>
          <t>Online</t>
        </is>
      </c>
      <c r="G208" s="3" t="inlineStr">
        <is>
          <t>Returning</t>
        </is>
      </c>
      <c r="H208" s="3" t="n">
        <v>5</v>
      </c>
      <c r="I208" s="3" t="n">
        <v>125</v>
      </c>
      <c r="J208" s="3" t="n">
        <v>72</v>
      </c>
      <c r="K208" s="3" t="n">
        <v>0</v>
      </c>
      <c r="L208" s="3" t="n">
        <v>25.87</v>
      </c>
    </row>
    <row r="209">
      <c r="A209" s="3" t="inlineStr">
        <is>
          <t>ORD-10208</t>
        </is>
      </c>
      <c r="B209" s="6" t="n">
        <v>45751</v>
      </c>
      <c r="C209" s="3" t="inlineStr">
        <is>
          <t>Home &amp; Lifestyle</t>
        </is>
      </c>
      <c r="D209" s="3" t="inlineStr">
        <is>
          <t>Travel Mugs</t>
        </is>
      </c>
      <c r="E209" s="3" t="inlineStr">
        <is>
          <t>Western</t>
        </is>
      </c>
      <c r="F209" s="3" t="inlineStr">
        <is>
          <t>Retail Shop</t>
        </is>
      </c>
      <c r="G209" s="3" t="inlineStr">
        <is>
          <t>Returning</t>
        </is>
      </c>
      <c r="H209" s="3" t="n">
        <v>4</v>
      </c>
      <c r="I209" s="3" t="n">
        <v>135</v>
      </c>
      <c r="J209" s="3" t="n">
        <v>66.94</v>
      </c>
      <c r="K209" s="3" t="n">
        <v>0</v>
      </c>
      <c r="L209" s="3" t="n">
        <v>0.19</v>
      </c>
    </row>
    <row r="210">
      <c r="A210" s="3" t="inlineStr">
        <is>
          <t>ORD-10209</t>
        </is>
      </c>
      <c r="B210" s="6" t="n">
        <v>45832</v>
      </c>
      <c r="C210" s="3" t="inlineStr">
        <is>
          <t>Home &amp; Lifestyle</t>
        </is>
      </c>
      <c r="D210" s="3" t="inlineStr">
        <is>
          <t>Travel Mugs</t>
        </is>
      </c>
      <c r="E210" s="3" t="inlineStr">
        <is>
          <t>Greater Accra</t>
        </is>
      </c>
      <c r="F210" s="3" t="inlineStr">
        <is>
          <t>Retail Shop</t>
        </is>
      </c>
      <c r="G210" s="3" t="inlineStr">
        <is>
          <t>Returning</t>
        </is>
      </c>
      <c r="H210" s="3" t="n">
        <v>1</v>
      </c>
      <c r="I210" s="3" t="n">
        <v>130</v>
      </c>
      <c r="J210" s="3" t="n">
        <v>72.95</v>
      </c>
      <c r="K210" s="3" t="n">
        <v>0.05</v>
      </c>
      <c r="L210" s="3" t="n">
        <v>10.37</v>
      </c>
    </row>
    <row r="211">
      <c r="A211" s="3" t="inlineStr">
        <is>
          <t>ORD-10210</t>
        </is>
      </c>
      <c r="B211" s="6" t="n">
        <v>45826</v>
      </c>
      <c r="C211" s="3" t="inlineStr">
        <is>
          <t>Clothing</t>
        </is>
      </c>
      <c r="D211" s="3" t="inlineStr">
        <is>
          <t>Jackets</t>
        </is>
      </c>
      <c r="E211" s="3" t="inlineStr">
        <is>
          <t>Ashanti</t>
        </is>
      </c>
      <c r="F211" s="3" t="inlineStr">
        <is>
          <t>Online</t>
        </is>
      </c>
      <c r="G211" s="3" t="inlineStr">
        <is>
          <t>Returning</t>
        </is>
      </c>
      <c r="H211" s="3" t="n">
        <v>6</v>
      </c>
      <c r="I211" s="3" t="n">
        <v>170</v>
      </c>
      <c r="J211" s="3" t="n">
        <v>82.90000000000001</v>
      </c>
      <c r="K211" s="3" t="n">
        <v>0</v>
      </c>
      <c r="L211" s="3" t="n">
        <v>34.01</v>
      </c>
    </row>
    <row r="212">
      <c r="A212" s="3" t="inlineStr">
        <is>
          <t>ORD-10211</t>
        </is>
      </c>
      <c r="B212" s="6" t="n">
        <v>45727</v>
      </c>
      <c r="C212" s="3" t="inlineStr">
        <is>
          <t>Clothing</t>
        </is>
      </c>
      <c r="D212" s="3" t="inlineStr">
        <is>
          <t>Dresses</t>
        </is>
      </c>
      <c r="E212" s="3" t="inlineStr">
        <is>
          <t>Greater Accra</t>
        </is>
      </c>
      <c r="F212" s="3" t="inlineStr">
        <is>
          <t>Online</t>
        </is>
      </c>
      <c r="G212" s="3" t="inlineStr">
        <is>
          <t>New</t>
        </is>
      </c>
      <c r="H212" s="3" t="n">
        <v>8</v>
      </c>
      <c r="I212" s="3" t="n">
        <v>175</v>
      </c>
      <c r="J212" s="3" t="n">
        <v>83.33</v>
      </c>
      <c r="K212" s="3" t="n">
        <v>0.05</v>
      </c>
      <c r="L212" s="3" t="n">
        <v>20.44</v>
      </c>
    </row>
    <row r="213">
      <c r="A213" s="3" t="inlineStr">
        <is>
          <t>ORD-10212</t>
        </is>
      </c>
      <c r="B213" s="6" t="n">
        <v>45941</v>
      </c>
      <c r="C213" s="3" t="inlineStr">
        <is>
          <t>Clothing</t>
        </is>
      </c>
      <c r="D213" s="3" t="inlineStr">
        <is>
          <t>Dresses</t>
        </is>
      </c>
      <c r="E213" s="3" t="inlineStr">
        <is>
          <t>Ashanti</t>
        </is>
      </c>
      <c r="F213" s="3" t="inlineStr">
        <is>
          <t>Online</t>
        </is>
      </c>
      <c r="G213" s="3" t="inlineStr">
        <is>
          <t>Returning</t>
        </is>
      </c>
      <c r="H213" s="3" t="n">
        <v>4</v>
      </c>
      <c r="I213" s="3" t="n">
        <v>185</v>
      </c>
      <c r="J213" s="3" t="n">
        <v>99.43000000000001</v>
      </c>
      <c r="K213" s="3" t="n">
        <v>0.05</v>
      </c>
      <c r="L213" s="3" t="n">
        <v>23.78</v>
      </c>
    </row>
    <row r="214">
      <c r="A214" s="3" t="inlineStr">
        <is>
          <t>ORD-10213</t>
        </is>
      </c>
      <c r="B214" s="6" t="n">
        <v>45856</v>
      </c>
      <c r="C214" s="3" t="inlineStr">
        <is>
          <t>Footwear</t>
        </is>
      </c>
      <c r="D214" s="3" t="inlineStr">
        <is>
          <t>Boots</t>
        </is>
      </c>
      <c r="E214" s="3" t="inlineStr">
        <is>
          <t>Greater Accra</t>
        </is>
      </c>
      <c r="F214" s="3" t="inlineStr">
        <is>
          <t>Online</t>
        </is>
      </c>
      <c r="G214" s="3" t="inlineStr">
        <is>
          <t>Returning</t>
        </is>
      </c>
      <c r="H214" s="3" t="n">
        <v>3</v>
      </c>
      <c r="I214" s="3" t="n">
        <v>340</v>
      </c>
      <c r="J214" s="3" t="n">
        <v>213.84</v>
      </c>
      <c r="K214" s="3" t="n">
        <v>0</v>
      </c>
      <c r="L214" s="3" t="n">
        <v>38.58</v>
      </c>
    </row>
    <row r="215">
      <c r="A215" s="3" t="inlineStr">
        <is>
          <t>ORD-10214</t>
        </is>
      </c>
      <c r="B215" s="6" t="n">
        <v>45923</v>
      </c>
      <c r="C215" s="3" t="inlineStr">
        <is>
          <t>Home &amp; Lifestyle</t>
        </is>
      </c>
      <c r="D215" s="3" t="inlineStr">
        <is>
          <t>Small Home Goods</t>
        </is>
      </c>
      <c r="E215" s="3" t="inlineStr">
        <is>
          <t>Greater Accra</t>
        </is>
      </c>
      <c r="F215" s="3" t="inlineStr">
        <is>
          <t>Retail Shop</t>
        </is>
      </c>
      <c r="G215" s="3" t="inlineStr">
        <is>
          <t>Returning</t>
        </is>
      </c>
      <c r="H215" s="3" t="n">
        <v>5</v>
      </c>
      <c r="I215" s="3" t="n">
        <v>125</v>
      </c>
      <c r="J215" s="3" t="n">
        <v>62.09</v>
      </c>
      <c r="K215" s="3" t="n">
        <v>0</v>
      </c>
      <c r="L215" s="3" t="n">
        <v>3.82</v>
      </c>
    </row>
    <row r="216">
      <c r="A216" s="3" t="inlineStr">
        <is>
          <t>ORD-10215</t>
        </is>
      </c>
      <c r="B216" s="6" t="n">
        <v>45713</v>
      </c>
      <c r="C216" s="3" t="inlineStr">
        <is>
          <t>Clothing</t>
        </is>
      </c>
      <c r="D216" s="3" t="inlineStr">
        <is>
          <t>Trousers</t>
        </is>
      </c>
      <c r="E216" s="3" t="inlineStr">
        <is>
          <t>Central</t>
        </is>
      </c>
      <c r="F216" s="3" t="inlineStr">
        <is>
          <t>Phone/WhatsApp</t>
        </is>
      </c>
      <c r="G216" s="3" t="inlineStr">
        <is>
          <t>Returning</t>
        </is>
      </c>
      <c r="H216" s="3" t="n">
        <v>1</v>
      </c>
      <c r="I216" s="3" t="n">
        <v>105</v>
      </c>
      <c r="J216" s="3" t="n">
        <v>49.26</v>
      </c>
      <c r="K216" s="3" t="n">
        <v>0.05</v>
      </c>
      <c r="L216" s="3" t="n">
        <v>10.93</v>
      </c>
    </row>
    <row r="217">
      <c r="A217" s="3" t="inlineStr">
        <is>
          <t>ORD-10216</t>
        </is>
      </c>
      <c r="B217" s="6" t="n">
        <v>45940</v>
      </c>
      <c r="C217" s="3" t="inlineStr">
        <is>
          <t>Clothing</t>
        </is>
      </c>
      <c r="D217" s="3" t="inlineStr">
        <is>
          <t>Dresses</t>
        </is>
      </c>
      <c r="E217" s="3" t="inlineStr">
        <is>
          <t>Central</t>
        </is>
      </c>
      <c r="F217" s="3" t="inlineStr">
        <is>
          <t>Phone/WhatsApp</t>
        </is>
      </c>
      <c r="G217" s="3" t="inlineStr">
        <is>
          <t>Returning</t>
        </is>
      </c>
      <c r="H217" s="3" t="n">
        <v>2</v>
      </c>
      <c r="I217" s="3" t="n">
        <v>165</v>
      </c>
      <c r="J217" s="3" t="n">
        <v>84.22</v>
      </c>
      <c r="K217" s="3" t="n">
        <v>0.15</v>
      </c>
      <c r="L217" s="3" t="n">
        <v>24.02</v>
      </c>
    </row>
    <row r="218">
      <c r="A218" s="3" t="inlineStr">
        <is>
          <t>ORD-10217</t>
        </is>
      </c>
      <c r="B218" s="6" t="n">
        <v>45929</v>
      </c>
      <c r="C218" s="3" t="inlineStr">
        <is>
          <t>Clothing</t>
        </is>
      </c>
      <c r="D218" s="3" t="inlineStr">
        <is>
          <t>Jackets</t>
        </is>
      </c>
      <c r="E218" s="3" t="inlineStr">
        <is>
          <t>Northern</t>
        </is>
      </c>
      <c r="F218" s="3" t="inlineStr">
        <is>
          <t>Retail Shop</t>
        </is>
      </c>
      <c r="G218" s="3" t="inlineStr">
        <is>
          <t>Returning</t>
        </is>
      </c>
      <c r="H218" s="3" t="n">
        <v>1</v>
      </c>
      <c r="I218" s="3" t="n">
        <v>155</v>
      </c>
      <c r="J218" s="3" t="n">
        <v>80.81</v>
      </c>
      <c r="K218" s="3" t="n">
        <v>0</v>
      </c>
      <c r="L218" s="3" t="n">
        <v>6.69</v>
      </c>
    </row>
    <row r="219">
      <c r="A219" s="3" t="inlineStr">
        <is>
          <t>ORD-10218</t>
        </is>
      </c>
      <c r="B219" s="6" t="n">
        <v>45821</v>
      </c>
      <c r="C219" s="3" t="inlineStr">
        <is>
          <t>Accessories</t>
        </is>
      </c>
      <c r="D219" s="3" t="inlineStr">
        <is>
          <t>Bags</t>
        </is>
      </c>
      <c r="E219" s="3" t="inlineStr">
        <is>
          <t>Central</t>
        </is>
      </c>
      <c r="F219" s="3" t="inlineStr">
        <is>
          <t>Retail Shop</t>
        </is>
      </c>
      <c r="G219" s="3" t="inlineStr">
        <is>
          <t>Returning</t>
        </is>
      </c>
      <c r="H219" s="3" t="n">
        <v>1</v>
      </c>
      <c r="I219" s="3" t="n">
        <v>75</v>
      </c>
      <c r="J219" s="3" t="n">
        <v>35.51</v>
      </c>
      <c r="K219" s="3" t="n">
        <v>0</v>
      </c>
      <c r="L219" s="3" t="n">
        <v>10.3</v>
      </c>
    </row>
    <row r="220">
      <c r="A220" s="3" t="inlineStr">
        <is>
          <t>ORD-10219</t>
        </is>
      </c>
      <c r="B220" s="6" t="n">
        <v>45910</v>
      </c>
      <c r="C220" s="3" t="inlineStr">
        <is>
          <t>Home &amp; Lifestyle</t>
        </is>
      </c>
      <c r="D220" s="3" t="inlineStr">
        <is>
          <t>Travel Mugs</t>
        </is>
      </c>
      <c r="E220" s="3" t="inlineStr">
        <is>
          <t>Western</t>
        </is>
      </c>
      <c r="F220" s="3" t="inlineStr">
        <is>
          <t>Retail Shop</t>
        </is>
      </c>
      <c r="G220" s="3" t="inlineStr">
        <is>
          <t>Returning</t>
        </is>
      </c>
      <c r="H220" s="3" t="n">
        <v>1</v>
      </c>
      <c r="I220" s="3" t="n">
        <v>150</v>
      </c>
      <c r="J220" s="3" t="n">
        <v>81.26000000000001</v>
      </c>
      <c r="K220" s="3" t="n">
        <v>0.1</v>
      </c>
      <c r="L220" s="3" t="n">
        <v>6.03</v>
      </c>
    </row>
    <row r="221">
      <c r="A221" s="3" t="inlineStr">
        <is>
          <t>ORD-10220</t>
        </is>
      </c>
      <c r="B221" s="6" t="n">
        <v>45777</v>
      </c>
      <c r="C221" s="3" t="inlineStr">
        <is>
          <t>Footwear</t>
        </is>
      </c>
      <c r="D221" s="3" t="inlineStr">
        <is>
          <t>Sneakers</t>
        </is>
      </c>
      <c r="E221" s="3" t="inlineStr">
        <is>
          <t>Greater Accra</t>
        </is>
      </c>
      <c r="F221" s="3" t="inlineStr">
        <is>
          <t>Retail Shop</t>
        </is>
      </c>
      <c r="G221" s="3" t="inlineStr">
        <is>
          <t>Returning</t>
        </is>
      </c>
      <c r="H221" s="3" t="n">
        <v>1</v>
      </c>
      <c r="I221" s="3" t="n">
        <v>210</v>
      </c>
      <c r="J221" s="3" t="n">
        <v>131.3</v>
      </c>
      <c r="K221" s="3" t="n">
        <v>0</v>
      </c>
      <c r="L221" s="3" t="n">
        <v>8.25</v>
      </c>
    </row>
    <row r="222">
      <c r="A222" s="3" t="inlineStr">
        <is>
          <t>ORD-10221</t>
        </is>
      </c>
      <c r="B222" s="6" t="n">
        <v>45798</v>
      </c>
      <c r="C222" s="3" t="inlineStr">
        <is>
          <t>Home &amp; Lifestyle</t>
        </is>
      </c>
      <c r="D222" s="3" t="inlineStr">
        <is>
          <t>Small Home Goods</t>
        </is>
      </c>
      <c r="E222" s="3" t="inlineStr">
        <is>
          <t>Ashanti</t>
        </is>
      </c>
      <c r="F222" s="3" t="inlineStr">
        <is>
          <t>Phone/WhatsApp</t>
        </is>
      </c>
      <c r="G222" s="3" t="inlineStr">
        <is>
          <t>New</t>
        </is>
      </c>
      <c r="H222" s="3" t="n">
        <v>4</v>
      </c>
      <c r="I222" s="3" t="n">
        <v>100</v>
      </c>
      <c r="J222" s="3" t="n">
        <v>50.12</v>
      </c>
      <c r="K222" s="3" t="n">
        <v>0</v>
      </c>
      <c r="L222" s="3" t="n">
        <v>15.12</v>
      </c>
    </row>
    <row r="223">
      <c r="A223" s="3" t="inlineStr">
        <is>
          <t>ORD-10222</t>
        </is>
      </c>
      <c r="B223" s="6" t="n">
        <v>45735</v>
      </c>
      <c r="C223" s="3" t="inlineStr">
        <is>
          <t>Home &amp; Lifestyle</t>
        </is>
      </c>
      <c r="D223" s="3" t="inlineStr">
        <is>
          <t>Small Home Goods</t>
        </is>
      </c>
      <c r="E223" s="3" t="inlineStr">
        <is>
          <t>Ashanti</t>
        </is>
      </c>
      <c r="F223" s="3" t="inlineStr">
        <is>
          <t>Retail Shop</t>
        </is>
      </c>
      <c r="G223" s="3" t="inlineStr">
        <is>
          <t>New</t>
        </is>
      </c>
      <c r="H223" s="3" t="n">
        <v>1</v>
      </c>
      <c r="I223" s="3" t="n">
        <v>135</v>
      </c>
      <c r="J223" s="3" t="n">
        <v>72.02</v>
      </c>
      <c r="K223" s="3" t="n">
        <v>0</v>
      </c>
      <c r="L223" s="3" t="n">
        <v>8.720000000000001</v>
      </c>
    </row>
    <row r="224">
      <c r="A224" s="3" t="inlineStr">
        <is>
          <t>ORD-10223</t>
        </is>
      </c>
      <c r="B224" s="6" t="n">
        <v>45837</v>
      </c>
      <c r="C224" s="3" t="inlineStr">
        <is>
          <t>Clothing</t>
        </is>
      </c>
      <c r="D224" s="3" t="inlineStr">
        <is>
          <t>Dresses</t>
        </is>
      </c>
      <c r="E224" s="3" t="inlineStr">
        <is>
          <t>Western</t>
        </is>
      </c>
      <c r="F224" s="3" t="inlineStr">
        <is>
          <t>Online</t>
        </is>
      </c>
      <c r="G224" s="3" t="inlineStr">
        <is>
          <t>Returning</t>
        </is>
      </c>
      <c r="H224" s="3" t="n">
        <v>4</v>
      </c>
      <c r="I224" s="3" t="n">
        <v>240</v>
      </c>
      <c r="J224" s="3" t="n">
        <v>114.49</v>
      </c>
      <c r="K224" s="3" t="n">
        <v>0</v>
      </c>
      <c r="L224" s="3" t="n">
        <v>11.83</v>
      </c>
    </row>
    <row r="225">
      <c r="A225" s="3" t="inlineStr">
        <is>
          <t>ORD-10224</t>
        </is>
      </c>
      <c r="B225" s="6" t="n">
        <v>45964</v>
      </c>
      <c r="C225" s="3" t="inlineStr">
        <is>
          <t>Clothing</t>
        </is>
      </c>
      <c r="D225" s="3" t="inlineStr">
        <is>
          <t>Shirts</t>
        </is>
      </c>
      <c r="E225" s="3" t="inlineStr">
        <is>
          <t>Western</t>
        </is>
      </c>
      <c r="F225" s="3" t="inlineStr">
        <is>
          <t>Retail Shop</t>
        </is>
      </c>
      <c r="G225" s="3" t="inlineStr">
        <is>
          <t>New</t>
        </is>
      </c>
      <c r="H225" s="3" t="n">
        <v>1</v>
      </c>
      <c r="I225" s="3" t="n">
        <v>130</v>
      </c>
      <c r="J225" s="3" t="n">
        <v>69.43000000000001</v>
      </c>
      <c r="K225" s="3" t="n">
        <v>0</v>
      </c>
      <c r="L225" s="3" t="n">
        <v>6.06</v>
      </c>
    </row>
    <row r="226">
      <c r="A226" s="3" t="inlineStr">
        <is>
          <t>ORD-10225</t>
        </is>
      </c>
      <c r="B226" s="6" t="n">
        <v>45666</v>
      </c>
      <c r="C226" s="3" t="inlineStr">
        <is>
          <t>Accessories</t>
        </is>
      </c>
      <c r="D226" s="3" t="inlineStr">
        <is>
          <t>Sunglasses</t>
        </is>
      </c>
      <c r="E226" s="3" t="inlineStr">
        <is>
          <t>Greater Accra</t>
        </is>
      </c>
      <c r="F226" s="3" t="inlineStr">
        <is>
          <t>Phone/WhatsApp</t>
        </is>
      </c>
      <c r="G226" s="3" t="inlineStr">
        <is>
          <t>Returning</t>
        </is>
      </c>
      <c r="H226" s="3" t="n">
        <v>8</v>
      </c>
      <c r="I226" s="3" t="n">
        <v>75</v>
      </c>
      <c r="J226" s="3" t="n">
        <v>36.68</v>
      </c>
      <c r="K226" s="3" t="n">
        <v>0</v>
      </c>
      <c r="L226" s="3" t="n">
        <v>24.51</v>
      </c>
    </row>
    <row r="227">
      <c r="A227" s="3" t="inlineStr">
        <is>
          <t>ORD-10226</t>
        </is>
      </c>
      <c r="B227" s="6" t="n">
        <v>45701</v>
      </c>
      <c r="C227" s="3" t="inlineStr">
        <is>
          <t>Clothing</t>
        </is>
      </c>
      <c r="D227" s="3" t="inlineStr">
        <is>
          <t>Dresses</t>
        </is>
      </c>
      <c r="E227" s="3" t="inlineStr">
        <is>
          <t>Ashanti</t>
        </is>
      </c>
      <c r="F227" s="3" t="inlineStr">
        <is>
          <t>Retail Shop</t>
        </is>
      </c>
      <c r="G227" s="3" t="inlineStr">
        <is>
          <t>Returning</t>
        </is>
      </c>
      <c r="H227" s="3" t="n">
        <v>2</v>
      </c>
      <c r="I227" s="3" t="n">
        <v>205</v>
      </c>
      <c r="J227" s="3" t="n">
        <v>108.51</v>
      </c>
      <c r="K227" s="3" t="n">
        <v>0</v>
      </c>
      <c r="L227" s="3" t="n">
        <v>8.140000000000001</v>
      </c>
    </row>
    <row r="228">
      <c r="A228" s="3" t="inlineStr">
        <is>
          <t>ORD-10227</t>
        </is>
      </c>
      <c r="B228" s="6" t="n">
        <v>45806</v>
      </c>
      <c r="C228" s="3" t="inlineStr">
        <is>
          <t>Clothing</t>
        </is>
      </c>
      <c r="D228" s="3" t="inlineStr">
        <is>
          <t>Jackets</t>
        </is>
      </c>
      <c r="E228" s="3" t="inlineStr">
        <is>
          <t>Ashanti</t>
        </is>
      </c>
      <c r="F228" s="3" t="inlineStr">
        <is>
          <t>Phone/WhatsApp</t>
        </is>
      </c>
      <c r="G228" s="3" t="inlineStr">
        <is>
          <t>Returning</t>
        </is>
      </c>
      <c r="H228" s="3" t="n">
        <v>1</v>
      </c>
      <c r="I228" s="3" t="n">
        <v>290</v>
      </c>
      <c r="J228" s="3" t="n">
        <v>145.79</v>
      </c>
      <c r="K228" s="3" t="n">
        <v>0.15</v>
      </c>
      <c r="L228" s="3" t="n">
        <v>9.109999999999999</v>
      </c>
    </row>
    <row r="229">
      <c r="A229" s="3" t="inlineStr">
        <is>
          <t>ORD-10228</t>
        </is>
      </c>
      <c r="B229" s="6" t="n">
        <v>45668</v>
      </c>
      <c r="C229" s="3" t="inlineStr">
        <is>
          <t>Clothing</t>
        </is>
      </c>
      <c r="D229" s="3" t="inlineStr">
        <is>
          <t>Trousers</t>
        </is>
      </c>
      <c r="E229" s="3" t="inlineStr">
        <is>
          <t>Greater Accra</t>
        </is>
      </c>
      <c r="F229" s="3" t="inlineStr">
        <is>
          <t>Phone/WhatsApp</t>
        </is>
      </c>
      <c r="G229" s="3" t="inlineStr">
        <is>
          <t>New</t>
        </is>
      </c>
      <c r="H229" s="3" t="n">
        <v>5</v>
      </c>
      <c r="I229" s="3" t="n">
        <v>185</v>
      </c>
      <c r="J229" s="3" t="n">
        <v>107.69</v>
      </c>
      <c r="K229" s="3" t="n">
        <v>0</v>
      </c>
      <c r="L229" s="3" t="n">
        <v>28.34</v>
      </c>
    </row>
    <row r="230">
      <c r="A230" s="3" t="inlineStr">
        <is>
          <t>ORD-10229</t>
        </is>
      </c>
      <c r="B230" s="6" t="n">
        <v>45684</v>
      </c>
      <c r="C230" s="3" t="inlineStr">
        <is>
          <t>Clothing</t>
        </is>
      </c>
      <c r="D230" s="3" t="inlineStr">
        <is>
          <t>Dresses</t>
        </is>
      </c>
      <c r="E230" s="3" t="inlineStr">
        <is>
          <t>Ashanti</t>
        </is>
      </c>
      <c r="F230" s="3" t="inlineStr">
        <is>
          <t>Phone/WhatsApp</t>
        </is>
      </c>
      <c r="G230" s="3" t="inlineStr">
        <is>
          <t>Returning</t>
        </is>
      </c>
      <c r="H230" s="3" t="n">
        <v>5</v>
      </c>
      <c r="I230" s="3" t="n">
        <v>150</v>
      </c>
      <c r="J230" s="3" t="n">
        <v>84.40000000000001</v>
      </c>
      <c r="K230" s="3" t="n">
        <v>0.05</v>
      </c>
      <c r="L230" s="3" t="n">
        <v>36.4</v>
      </c>
    </row>
    <row r="231">
      <c r="A231" s="3" t="inlineStr">
        <is>
          <t>ORD-10230</t>
        </is>
      </c>
      <c r="B231" s="6" t="n">
        <v>45824</v>
      </c>
      <c r="C231" s="3" t="inlineStr">
        <is>
          <t>Footwear</t>
        </is>
      </c>
      <c r="D231" s="3" t="inlineStr">
        <is>
          <t>Sneakers</t>
        </is>
      </c>
      <c r="E231" s="3" t="inlineStr">
        <is>
          <t>Northern</t>
        </is>
      </c>
      <c r="F231" s="3" t="inlineStr">
        <is>
          <t>Retail Shop</t>
        </is>
      </c>
      <c r="G231" s="3" t="inlineStr">
        <is>
          <t>New</t>
        </is>
      </c>
      <c r="H231" s="3" t="n">
        <v>1</v>
      </c>
      <c r="I231" s="3" t="n">
        <v>360</v>
      </c>
      <c r="J231" s="3" t="n">
        <v>221.41</v>
      </c>
      <c r="K231" s="3" t="n">
        <v>0.1</v>
      </c>
      <c r="L231" s="3" t="n">
        <v>4.41</v>
      </c>
    </row>
    <row r="232">
      <c r="A232" s="3" t="inlineStr">
        <is>
          <t>ORD-10231</t>
        </is>
      </c>
      <c r="B232" s="6" t="n">
        <v>45877</v>
      </c>
      <c r="C232" s="3" t="inlineStr">
        <is>
          <t>Clothing</t>
        </is>
      </c>
      <c r="D232" s="3" t="inlineStr">
        <is>
          <t>Shirts</t>
        </is>
      </c>
      <c r="E232" s="3" t="inlineStr">
        <is>
          <t>Greater Accra</t>
        </is>
      </c>
      <c r="F232" s="3" t="inlineStr">
        <is>
          <t>Online</t>
        </is>
      </c>
      <c r="G232" s="3" t="inlineStr">
        <is>
          <t>Returning</t>
        </is>
      </c>
      <c r="H232" s="3" t="n">
        <v>6</v>
      </c>
      <c r="I232" s="3" t="n">
        <v>125</v>
      </c>
      <c r="J232" s="3" t="n">
        <v>61.51</v>
      </c>
      <c r="K232" s="3" t="n">
        <v>0.15</v>
      </c>
      <c r="L232" s="3" t="n">
        <v>27.42</v>
      </c>
    </row>
    <row r="233">
      <c r="A233" s="3" t="inlineStr">
        <is>
          <t>ORD-10232</t>
        </is>
      </c>
      <c r="B233" s="6" t="n">
        <v>45995</v>
      </c>
      <c r="C233" s="3" t="inlineStr">
        <is>
          <t>Accessories</t>
        </is>
      </c>
      <c r="D233" s="3" t="inlineStr">
        <is>
          <t>Sunglasses</t>
        </is>
      </c>
      <c r="E233" s="3" t="inlineStr">
        <is>
          <t>Ashanti</t>
        </is>
      </c>
      <c r="F233" s="3" t="inlineStr">
        <is>
          <t>Retail Shop</t>
        </is>
      </c>
      <c r="G233" s="3" t="inlineStr">
        <is>
          <t>Returning</t>
        </is>
      </c>
      <c r="H233" s="3" t="n">
        <v>4</v>
      </c>
      <c r="I233" s="3" t="n">
        <v>130</v>
      </c>
      <c r="J233" s="3" t="n">
        <v>65.8</v>
      </c>
      <c r="K233" s="3" t="n">
        <v>0.05</v>
      </c>
      <c r="L233" s="3" t="n">
        <v>8.6</v>
      </c>
    </row>
    <row r="234">
      <c r="A234" s="3" t="inlineStr">
        <is>
          <t>ORD-10233</t>
        </is>
      </c>
      <c r="B234" s="6" t="n">
        <v>45786</v>
      </c>
      <c r="C234" s="3" t="inlineStr">
        <is>
          <t>Accessories</t>
        </is>
      </c>
      <c r="D234" s="3" t="inlineStr">
        <is>
          <t>Belts</t>
        </is>
      </c>
      <c r="E234" s="3" t="inlineStr">
        <is>
          <t>Central</t>
        </is>
      </c>
      <c r="F234" s="3" t="inlineStr">
        <is>
          <t>Retail Shop</t>
        </is>
      </c>
      <c r="G234" s="3" t="inlineStr">
        <is>
          <t>Returning</t>
        </is>
      </c>
      <c r="H234" s="3" t="n">
        <v>1</v>
      </c>
      <c r="I234" s="3" t="n">
        <v>60</v>
      </c>
      <c r="J234" s="3" t="n">
        <v>25.5</v>
      </c>
      <c r="K234" s="3" t="n">
        <v>0</v>
      </c>
      <c r="L234" s="3" t="n">
        <v>11.21</v>
      </c>
    </row>
    <row r="235">
      <c r="A235" s="3" t="inlineStr">
        <is>
          <t>ORD-10234</t>
        </is>
      </c>
      <c r="B235" s="6" t="n">
        <v>45658</v>
      </c>
      <c r="C235" s="3" t="inlineStr">
        <is>
          <t>Accessories</t>
        </is>
      </c>
      <c r="D235" s="3" t="inlineStr">
        <is>
          <t>Watches</t>
        </is>
      </c>
      <c r="E235" s="3" t="inlineStr">
        <is>
          <t>Ashanti</t>
        </is>
      </c>
      <c r="F235" s="3" t="inlineStr">
        <is>
          <t>Retail Shop</t>
        </is>
      </c>
      <c r="G235" s="3" t="inlineStr">
        <is>
          <t>Returning</t>
        </is>
      </c>
      <c r="H235" s="3" t="n">
        <v>2</v>
      </c>
      <c r="I235" s="3" t="n">
        <v>100</v>
      </c>
      <c r="J235" s="3" t="n">
        <v>44.93</v>
      </c>
      <c r="K235" s="3" t="n">
        <v>0</v>
      </c>
      <c r="L235" s="3" t="n">
        <v>0.86</v>
      </c>
    </row>
    <row r="236">
      <c r="A236" s="3" t="inlineStr">
        <is>
          <t>ORD-10235</t>
        </is>
      </c>
      <c r="B236" s="6" t="n">
        <v>45805</v>
      </c>
      <c r="C236" s="3" t="inlineStr">
        <is>
          <t>Footwear</t>
        </is>
      </c>
      <c r="D236" s="3" t="inlineStr">
        <is>
          <t>Formal Shoes</t>
        </is>
      </c>
      <c r="E236" s="3" t="inlineStr">
        <is>
          <t>Northern</t>
        </is>
      </c>
      <c r="F236" s="3" t="inlineStr">
        <is>
          <t>Online</t>
        </is>
      </c>
      <c r="G236" s="3" t="inlineStr">
        <is>
          <t>New</t>
        </is>
      </c>
      <c r="H236" s="3" t="n">
        <v>3</v>
      </c>
      <c r="I236" s="3" t="n">
        <v>235</v>
      </c>
      <c r="J236" s="3" t="n">
        <v>144.22</v>
      </c>
      <c r="K236" s="3" t="n">
        <v>0</v>
      </c>
      <c r="L236" s="3" t="n">
        <v>29.4</v>
      </c>
    </row>
    <row r="237">
      <c r="A237" s="3" t="inlineStr">
        <is>
          <t>ORD-10236</t>
        </is>
      </c>
      <c r="B237" s="6" t="n">
        <v>45854</v>
      </c>
      <c r="C237" s="3" t="inlineStr">
        <is>
          <t>Accessories</t>
        </is>
      </c>
      <c r="D237" s="3" t="inlineStr">
        <is>
          <t>Belts</t>
        </is>
      </c>
      <c r="E237" s="3" t="inlineStr">
        <is>
          <t>Ashanti</t>
        </is>
      </c>
      <c r="F237" s="3" t="inlineStr">
        <is>
          <t>Online</t>
        </is>
      </c>
      <c r="G237" s="3" t="inlineStr">
        <is>
          <t>Returning</t>
        </is>
      </c>
      <c r="H237" s="3" t="n">
        <v>2</v>
      </c>
      <c r="I237" s="3" t="n">
        <v>60</v>
      </c>
      <c r="J237" s="3" t="n">
        <v>28.14</v>
      </c>
      <c r="K237" s="3" t="n">
        <v>0</v>
      </c>
      <c r="L237" s="3" t="n">
        <v>29.32</v>
      </c>
    </row>
    <row r="238">
      <c r="A238" s="3" t="inlineStr">
        <is>
          <t>ORD-10237</t>
        </is>
      </c>
      <c r="B238" s="6" t="n">
        <v>45786</v>
      </c>
      <c r="C238" s="3" t="inlineStr">
        <is>
          <t>Footwear</t>
        </is>
      </c>
      <c r="D238" s="3" t="inlineStr">
        <is>
          <t>Boots</t>
        </is>
      </c>
      <c r="E238" s="3" t="inlineStr">
        <is>
          <t>Western</t>
        </is>
      </c>
      <c r="F238" s="3" t="inlineStr">
        <is>
          <t>Retail Shop</t>
        </is>
      </c>
      <c r="G238" s="3" t="inlineStr">
        <is>
          <t>New</t>
        </is>
      </c>
      <c r="H238" s="3" t="n">
        <v>2</v>
      </c>
      <c r="I238" s="3" t="n">
        <v>280</v>
      </c>
      <c r="J238" s="3" t="n">
        <v>172.78</v>
      </c>
      <c r="K238" s="3" t="n">
        <v>0.05</v>
      </c>
      <c r="L238" s="3" t="n">
        <v>5.26</v>
      </c>
    </row>
    <row r="239">
      <c r="A239" s="3" t="inlineStr">
        <is>
          <t>ORD-10238</t>
        </is>
      </c>
      <c r="B239" s="6" t="n">
        <v>45866</v>
      </c>
      <c r="C239" s="3" t="inlineStr">
        <is>
          <t>Footwear</t>
        </is>
      </c>
      <c r="D239" s="3" t="inlineStr">
        <is>
          <t>Sneakers</t>
        </is>
      </c>
      <c r="E239" s="3" t="inlineStr">
        <is>
          <t>Western</t>
        </is>
      </c>
      <c r="F239" s="3" t="inlineStr">
        <is>
          <t>Phone/WhatsApp</t>
        </is>
      </c>
      <c r="G239" s="3" t="inlineStr">
        <is>
          <t>New</t>
        </is>
      </c>
      <c r="H239" s="3" t="n">
        <v>1</v>
      </c>
      <c r="I239" s="3" t="n">
        <v>190</v>
      </c>
      <c r="J239" s="3" t="n">
        <v>111.24</v>
      </c>
      <c r="K239" s="3" t="n">
        <v>0.05</v>
      </c>
      <c r="L239" s="3" t="n">
        <v>31.22</v>
      </c>
    </row>
    <row r="240">
      <c r="A240" s="3" t="inlineStr">
        <is>
          <t>ORD-10239</t>
        </is>
      </c>
      <c r="B240" s="6" t="n">
        <v>45746</v>
      </c>
      <c r="C240" s="3" t="inlineStr">
        <is>
          <t>Footwear</t>
        </is>
      </c>
      <c r="D240" s="3" t="inlineStr">
        <is>
          <t>Sandals</t>
        </is>
      </c>
      <c r="E240" s="3" t="inlineStr">
        <is>
          <t>Greater Accra</t>
        </is>
      </c>
      <c r="F240" s="3" t="inlineStr">
        <is>
          <t>Online</t>
        </is>
      </c>
      <c r="G240" s="3" t="inlineStr">
        <is>
          <t>Returning</t>
        </is>
      </c>
      <c r="H240" s="3" t="n">
        <v>2</v>
      </c>
      <c r="I240" s="3" t="n">
        <v>195</v>
      </c>
      <c r="J240" s="3" t="n">
        <v>119.36</v>
      </c>
      <c r="K240" s="3" t="n">
        <v>0</v>
      </c>
      <c r="L240" s="3" t="n">
        <v>28.26</v>
      </c>
    </row>
    <row r="241">
      <c r="A241" s="3" t="inlineStr">
        <is>
          <t>ORD-10240</t>
        </is>
      </c>
      <c r="B241" s="6" t="n">
        <v>45963</v>
      </c>
      <c r="C241" s="3" t="inlineStr">
        <is>
          <t>Footwear</t>
        </is>
      </c>
      <c r="D241" s="3" t="inlineStr">
        <is>
          <t>Boots</t>
        </is>
      </c>
      <c r="E241" s="3" t="inlineStr">
        <is>
          <t>Ashanti</t>
        </is>
      </c>
      <c r="F241" s="3" t="inlineStr">
        <is>
          <t>Online</t>
        </is>
      </c>
      <c r="G241" s="3" t="inlineStr">
        <is>
          <t>Returning</t>
        </is>
      </c>
      <c r="H241" s="3" t="n">
        <v>1</v>
      </c>
      <c r="I241" s="3" t="n">
        <v>470</v>
      </c>
      <c r="J241" s="3" t="n">
        <v>274.28</v>
      </c>
      <c r="K241" s="3" t="n">
        <v>0.15</v>
      </c>
      <c r="L241" s="3" t="n">
        <v>31.48</v>
      </c>
    </row>
    <row r="242">
      <c r="A242" s="3" t="inlineStr">
        <is>
          <t>ORD-10241</t>
        </is>
      </c>
      <c r="B242" s="6" t="n">
        <v>45962</v>
      </c>
      <c r="C242" s="3" t="inlineStr">
        <is>
          <t>Footwear</t>
        </is>
      </c>
      <c r="D242" s="3" t="inlineStr">
        <is>
          <t>Formal Shoes</t>
        </is>
      </c>
      <c r="E242" s="3" t="inlineStr">
        <is>
          <t>Central</t>
        </is>
      </c>
      <c r="F242" s="3" t="inlineStr">
        <is>
          <t>Online</t>
        </is>
      </c>
      <c r="G242" s="3" t="inlineStr">
        <is>
          <t>Returning</t>
        </is>
      </c>
      <c r="H242" s="3" t="n">
        <v>1</v>
      </c>
      <c r="I242" s="3" t="n">
        <v>325</v>
      </c>
      <c r="J242" s="3" t="n">
        <v>174.67</v>
      </c>
      <c r="K242" s="3" t="n">
        <v>0</v>
      </c>
      <c r="L242" s="3" t="n">
        <v>14.86</v>
      </c>
    </row>
    <row r="243">
      <c r="A243" s="3" t="inlineStr">
        <is>
          <t>ORD-10242</t>
        </is>
      </c>
      <c r="B243" s="6" t="n">
        <v>45959</v>
      </c>
      <c r="C243" s="3" t="inlineStr">
        <is>
          <t>Clothing</t>
        </is>
      </c>
      <c r="D243" s="3" t="inlineStr">
        <is>
          <t>Jackets</t>
        </is>
      </c>
      <c r="E243" s="3" t="inlineStr">
        <is>
          <t>Greater Accra</t>
        </is>
      </c>
      <c r="F243" s="3" t="inlineStr">
        <is>
          <t>Online</t>
        </is>
      </c>
      <c r="G243" s="3" t="inlineStr">
        <is>
          <t>New</t>
        </is>
      </c>
      <c r="H243" s="3" t="n">
        <v>2</v>
      </c>
      <c r="I243" s="3" t="n">
        <v>130</v>
      </c>
      <c r="J243" s="3" t="n">
        <v>64.63</v>
      </c>
      <c r="K243" s="3" t="n">
        <v>0</v>
      </c>
      <c r="L243" s="3" t="n">
        <v>37.29</v>
      </c>
    </row>
    <row r="244">
      <c r="A244" s="3" t="inlineStr">
        <is>
          <t>ORD-10243</t>
        </is>
      </c>
      <c r="B244" s="6" t="n">
        <v>45705</v>
      </c>
      <c r="C244" s="3" t="inlineStr">
        <is>
          <t>Footwear</t>
        </is>
      </c>
      <c r="D244" s="3" t="inlineStr">
        <is>
          <t>Formal Shoes</t>
        </is>
      </c>
      <c r="E244" s="3" t="inlineStr">
        <is>
          <t>Greater Accra</t>
        </is>
      </c>
      <c r="F244" s="3" t="inlineStr">
        <is>
          <t>Retail Shop</t>
        </is>
      </c>
      <c r="G244" s="3" t="inlineStr">
        <is>
          <t>New</t>
        </is>
      </c>
      <c r="H244" s="3" t="n">
        <v>3</v>
      </c>
      <c r="I244" s="3" t="n">
        <v>205</v>
      </c>
      <c r="J244" s="3" t="n">
        <v>117.64</v>
      </c>
      <c r="K244" s="3" t="n">
        <v>0</v>
      </c>
      <c r="L244" s="3" t="n">
        <v>9.74</v>
      </c>
    </row>
    <row r="245">
      <c r="A245" s="3" t="inlineStr">
        <is>
          <t>ORD-10244</t>
        </is>
      </c>
      <c r="B245" s="6" t="n">
        <v>45681</v>
      </c>
      <c r="C245" s="3" t="inlineStr">
        <is>
          <t>Footwear</t>
        </is>
      </c>
      <c r="D245" s="3" t="inlineStr">
        <is>
          <t>Boots</t>
        </is>
      </c>
      <c r="E245" s="3" t="inlineStr">
        <is>
          <t>Greater Accra</t>
        </is>
      </c>
      <c r="F245" s="3" t="inlineStr">
        <is>
          <t>Online</t>
        </is>
      </c>
      <c r="G245" s="3" t="inlineStr">
        <is>
          <t>New</t>
        </is>
      </c>
      <c r="H245" s="3" t="n">
        <v>3</v>
      </c>
      <c r="I245" s="3" t="n">
        <v>270</v>
      </c>
      <c r="J245" s="3" t="n">
        <v>166.33</v>
      </c>
      <c r="K245" s="3" t="n">
        <v>0</v>
      </c>
      <c r="L245" s="3" t="n">
        <v>35.34</v>
      </c>
    </row>
    <row r="246">
      <c r="A246" s="3" t="inlineStr">
        <is>
          <t>ORD-10245</t>
        </is>
      </c>
      <c r="B246" s="6" t="n">
        <v>45659</v>
      </c>
      <c r="C246" s="3" t="inlineStr">
        <is>
          <t>Footwear</t>
        </is>
      </c>
      <c r="D246" s="3" t="inlineStr">
        <is>
          <t>Sandals</t>
        </is>
      </c>
      <c r="E246" s="3" t="inlineStr">
        <is>
          <t>Central</t>
        </is>
      </c>
      <c r="F246" s="3" t="inlineStr">
        <is>
          <t>Retail Shop</t>
        </is>
      </c>
      <c r="G246" s="3" t="inlineStr">
        <is>
          <t>New</t>
        </is>
      </c>
      <c r="H246" s="3" t="n">
        <v>4</v>
      </c>
      <c r="I246" s="3" t="n">
        <v>215</v>
      </c>
      <c r="J246" s="3" t="n">
        <v>109.64</v>
      </c>
      <c r="K246" s="3" t="n">
        <v>0.05</v>
      </c>
      <c r="L246" s="3" t="n">
        <v>9.460000000000001</v>
      </c>
    </row>
    <row r="247">
      <c r="A247" s="3" t="inlineStr">
        <is>
          <t>ORD-10246</t>
        </is>
      </c>
      <c r="B247" s="6" t="n">
        <v>45705</v>
      </c>
      <c r="C247" s="3" t="inlineStr">
        <is>
          <t>Footwear</t>
        </is>
      </c>
      <c r="D247" s="3" t="inlineStr">
        <is>
          <t>Sneakers</t>
        </is>
      </c>
      <c r="E247" s="3" t="inlineStr">
        <is>
          <t>Greater Accra</t>
        </is>
      </c>
      <c r="F247" s="3" t="inlineStr">
        <is>
          <t>Retail Shop</t>
        </is>
      </c>
      <c r="G247" s="3" t="inlineStr">
        <is>
          <t>Returning</t>
        </is>
      </c>
      <c r="H247" s="3" t="n">
        <v>1</v>
      </c>
      <c r="I247" s="3" t="n">
        <v>180</v>
      </c>
      <c r="J247" s="3" t="n">
        <v>104.59</v>
      </c>
      <c r="K247" s="3" t="n">
        <v>0.05</v>
      </c>
      <c r="L247" s="3" t="n">
        <v>10.89</v>
      </c>
    </row>
    <row r="248">
      <c r="A248" s="3" t="inlineStr">
        <is>
          <t>ORD-10247</t>
        </is>
      </c>
      <c r="B248" s="6" t="n">
        <v>45828</v>
      </c>
      <c r="C248" s="3" t="inlineStr">
        <is>
          <t>Home &amp; Lifestyle</t>
        </is>
      </c>
      <c r="D248" s="3" t="inlineStr">
        <is>
          <t>Wallets</t>
        </is>
      </c>
      <c r="E248" s="3" t="inlineStr">
        <is>
          <t>Western</t>
        </is>
      </c>
      <c r="F248" s="3" t="inlineStr">
        <is>
          <t>Online</t>
        </is>
      </c>
      <c r="G248" s="3" t="inlineStr">
        <is>
          <t>New</t>
        </is>
      </c>
      <c r="H248" s="3" t="n">
        <v>3</v>
      </c>
      <c r="I248" s="3" t="n">
        <v>130</v>
      </c>
      <c r="J248" s="3" t="n">
        <v>72.16</v>
      </c>
      <c r="K248" s="3" t="n">
        <v>0</v>
      </c>
      <c r="L248" s="3" t="n">
        <v>24.43</v>
      </c>
    </row>
    <row r="249">
      <c r="A249" s="3" t="inlineStr">
        <is>
          <t>ORD-10248</t>
        </is>
      </c>
      <c r="B249" s="6" t="n">
        <v>45762</v>
      </c>
      <c r="C249" s="3" t="inlineStr">
        <is>
          <t>Home &amp; Lifestyle</t>
        </is>
      </c>
      <c r="D249" s="3" t="inlineStr">
        <is>
          <t>Travel Mugs</t>
        </is>
      </c>
      <c r="E249" s="3" t="inlineStr">
        <is>
          <t>Western</t>
        </is>
      </c>
      <c r="F249" s="3" t="inlineStr">
        <is>
          <t>Online</t>
        </is>
      </c>
      <c r="G249" s="3" t="inlineStr">
        <is>
          <t>Returning</t>
        </is>
      </c>
      <c r="H249" s="3" t="n">
        <v>2</v>
      </c>
      <c r="I249" s="3" t="n">
        <v>165</v>
      </c>
      <c r="J249" s="3" t="n">
        <v>95.84999999999999</v>
      </c>
      <c r="K249" s="3" t="n">
        <v>0</v>
      </c>
      <c r="L249" s="3" t="n">
        <v>19.94</v>
      </c>
    </row>
    <row r="250">
      <c r="A250" s="3" t="inlineStr">
        <is>
          <t>ORD-10249</t>
        </is>
      </c>
      <c r="B250" s="6" t="n">
        <v>45704</v>
      </c>
      <c r="C250" s="3" t="inlineStr">
        <is>
          <t>Clothing</t>
        </is>
      </c>
      <c r="D250" s="3" t="inlineStr">
        <is>
          <t>Shirts</t>
        </is>
      </c>
      <c r="E250" s="3" t="inlineStr">
        <is>
          <t>Greater Accra</t>
        </is>
      </c>
      <c r="F250" s="3" t="inlineStr">
        <is>
          <t>Online</t>
        </is>
      </c>
      <c r="G250" s="3" t="inlineStr">
        <is>
          <t>New</t>
        </is>
      </c>
      <c r="H250" s="3" t="n">
        <v>1</v>
      </c>
      <c r="I250" s="3" t="n">
        <v>100</v>
      </c>
      <c r="J250" s="3" t="n">
        <v>48.83</v>
      </c>
      <c r="K250" s="3" t="n">
        <v>0.1</v>
      </c>
      <c r="L250" s="3" t="n">
        <v>8.880000000000001</v>
      </c>
    </row>
    <row r="251">
      <c r="A251" s="3" t="inlineStr">
        <is>
          <t>ORD-10250</t>
        </is>
      </c>
      <c r="B251" s="6" t="n">
        <v>45732</v>
      </c>
      <c r="C251" s="3" t="inlineStr">
        <is>
          <t>Clothing</t>
        </is>
      </c>
      <c r="D251" s="3" t="inlineStr">
        <is>
          <t>Shirts</t>
        </is>
      </c>
      <c r="E251" s="3" t="inlineStr">
        <is>
          <t>Greater Accra</t>
        </is>
      </c>
      <c r="F251" s="3" t="inlineStr">
        <is>
          <t>Online</t>
        </is>
      </c>
      <c r="G251" s="3" t="inlineStr">
        <is>
          <t>New</t>
        </is>
      </c>
      <c r="H251" s="3" t="n">
        <v>2</v>
      </c>
      <c r="I251" s="3" t="n">
        <v>110</v>
      </c>
      <c r="J251" s="3" t="n">
        <v>62.04</v>
      </c>
      <c r="K251" s="3" t="n">
        <v>0.1</v>
      </c>
      <c r="L251" s="3" t="n">
        <v>23.48</v>
      </c>
    </row>
    <row r="252">
      <c r="A252" s="3" t="inlineStr">
        <is>
          <t>ORD-10251</t>
        </is>
      </c>
      <c r="B252" s="6" t="n">
        <v>45816</v>
      </c>
      <c r="C252" s="3" t="inlineStr">
        <is>
          <t>Accessories</t>
        </is>
      </c>
      <c r="D252" s="3" t="inlineStr">
        <is>
          <t>Watches</t>
        </is>
      </c>
      <c r="E252" s="3" t="inlineStr">
        <is>
          <t>Greater Accra</t>
        </is>
      </c>
      <c r="F252" s="3" t="inlineStr">
        <is>
          <t>Retail Shop</t>
        </is>
      </c>
      <c r="G252" s="3" t="inlineStr">
        <is>
          <t>Returning</t>
        </is>
      </c>
      <c r="H252" s="3" t="n">
        <v>1</v>
      </c>
      <c r="I252" s="3" t="n">
        <v>50</v>
      </c>
      <c r="J252" s="3" t="n">
        <v>25.21</v>
      </c>
      <c r="K252" s="3" t="n">
        <v>0</v>
      </c>
      <c r="L252" s="3" t="n">
        <v>7.9</v>
      </c>
    </row>
    <row r="253">
      <c r="A253" s="3" t="inlineStr">
        <is>
          <t>ORD-10252</t>
        </is>
      </c>
      <c r="B253" s="6" t="n">
        <v>45813</v>
      </c>
      <c r="C253" s="3" t="inlineStr">
        <is>
          <t>Footwear</t>
        </is>
      </c>
      <c r="D253" s="3" t="inlineStr">
        <is>
          <t>Boots</t>
        </is>
      </c>
      <c r="E253" s="3" t="inlineStr">
        <is>
          <t>Central</t>
        </is>
      </c>
      <c r="F253" s="3" t="inlineStr">
        <is>
          <t>Online</t>
        </is>
      </c>
      <c r="G253" s="3" t="inlineStr">
        <is>
          <t>New</t>
        </is>
      </c>
      <c r="H253" s="3" t="n">
        <v>4</v>
      </c>
      <c r="I253" s="3" t="n">
        <v>180</v>
      </c>
      <c r="J253" s="3" t="n">
        <v>102.93</v>
      </c>
      <c r="K253" s="3" t="n">
        <v>0</v>
      </c>
      <c r="L253" s="3" t="n">
        <v>31.96</v>
      </c>
    </row>
    <row r="254">
      <c r="A254" s="3" t="inlineStr">
        <is>
          <t>ORD-10253</t>
        </is>
      </c>
      <c r="B254" s="6" t="n">
        <v>45992</v>
      </c>
      <c r="C254" s="3" t="inlineStr">
        <is>
          <t>Clothing</t>
        </is>
      </c>
      <c r="D254" s="3" t="inlineStr">
        <is>
          <t>Dresses</t>
        </is>
      </c>
      <c r="E254" s="3" t="inlineStr">
        <is>
          <t>Central</t>
        </is>
      </c>
      <c r="F254" s="3" t="inlineStr">
        <is>
          <t>Retail Shop</t>
        </is>
      </c>
      <c r="G254" s="3" t="inlineStr">
        <is>
          <t>New</t>
        </is>
      </c>
      <c r="H254" s="3" t="n">
        <v>5</v>
      </c>
      <c r="I254" s="3" t="n">
        <v>190</v>
      </c>
      <c r="J254" s="3" t="n">
        <v>91.31</v>
      </c>
      <c r="K254" s="3" t="n">
        <v>0.1</v>
      </c>
      <c r="L254" s="3" t="n">
        <v>9.76</v>
      </c>
    </row>
    <row r="255">
      <c r="A255" s="3" t="inlineStr">
        <is>
          <t>ORD-10254</t>
        </is>
      </c>
      <c r="B255" s="6" t="n">
        <v>45774</v>
      </c>
      <c r="C255" s="3" t="inlineStr">
        <is>
          <t>Clothing</t>
        </is>
      </c>
      <c r="D255" s="3" t="inlineStr">
        <is>
          <t>Jackets</t>
        </is>
      </c>
      <c r="E255" s="3" t="inlineStr">
        <is>
          <t>Greater Accra</t>
        </is>
      </c>
      <c r="F255" s="3" t="inlineStr">
        <is>
          <t>Retail Shop</t>
        </is>
      </c>
      <c r="G255" s="3" t="inlineStr">
        <is>
          <t>New</t>
        </is>
      </c>
      <c r="H255" s="3" t="n">
        <v>2</v>
      </c>
      <c r="I255" s="3" t="n">
        <v>190</v>
      </c>
      <c r="J255" s="3" t="n">
        <v>106.57</v>
      </c>
      <c r="K255" s="3" t="n">
        <v>0.05</v>
      </c>
      <c r="L255" s="3" t="n">
        <v>9.94</v>
      </c>
    </row>
    <row r="256">
      <c r="A256" s="3" t="inlineStr">
        <is>
          <t>ORD-10255</t>
        </is>
      </c>
      <c r="B256" s="6" t="n">
        <v>45953</v>
      </c>
      <c r="C256" s="3" t="inlineStr">
        <is>
          <t>Clothing</t>
        </is>
      </c>
      <c r="D256" s="3" t="inlineStr">
        <is>
          <t>Trousers</t>
        </is>
      </c>
      <c r="E256" s="3" t="inlineStr">
        <is>
          <t>Greater Accra</t>
        </is>
      </c>
      <c r="F256" s="3" t="inlineStr">
        <is>
          <t>Online</t>
        </is>
      </c>
      <c r="G256" s="3" t="inlineStr">
        <is>
          <t>Returning</t>
        </is>
      </c>
      <c r="H256" s="3" t="n">
        <v>5</v>
      </c>
      <c r="I256" s="3" t="n">
        <v>135</v>
      </c>
      <c r="J256" s="3" t="n">
        <v>77.83</v>
      </c>
      <c r="K256" s="3" t="n">
        <v>0.05</v>
      </c>
      <c r="L256" s="3" t="n">
        <v>34.33</v>
      </c>
    </row>
    <row r="257">
      <c r="A257" s="3" t="inlineStr">
        <is>
          <t>ORD-10256</t>
        </is>
      </c>
      <c r="B257" s="6" t="n">
        <v>45742</v>
      </c>
      <c r="C257" s="3" t="inlineStr">
        <is>
          <t>Clothing</t>
        </is>
      </c>
      <c r="D257" s="3" t="inlineStr">
        <is>
          <t>Trousers</t>
        </is>
      </c>
      <c r="E257" s="3" t="inlineStr">
        <is>
          <t>Ashanti</t>
        </is>
      </c>
      <c r="F257" s="3" t="inlineStr">
        <is>
          <t>Phone/WhatsApp</t>
        </is>
      </c>
      <c r="G257" s="3" t="inlineStr">
        <is>
          <t>Returning</t>
        </is>
      </c>
      <c r="H257" s="3" t="n">
        <v>10</v>
      </c>
      <c r="I257" s="3" t="n">
        <v>185</v>
      </c>
      <c r="J257" s="3" t="n">
        <v>97.72</v>
      </c>
      <c r="K257" s="3" t="n">
        <v>0.1</v>
      </c>
      <c r="L257" s="3" t="n">
        <v>13.25</v>
      </c>
    </row>
    <row r="258">
      <c r="A258" s="3" t="inlineStr">
        <is>
          <t>ORD-10257</t>
        </is>
      </c>
      <c r="B258" s="6" t="n">
        <v>45754</v>
      </c>
      <c r="C258" s="3" t="inlineStr">
        <is>
          <t>Footwear</t>
        </is>
      </c>
      <c r="D258" s="3" t="inlineStr">
        <is>
          <t>Formal Shoes</t>
        </is>
      </c>
      <c r="E258" s="3" t="inlineStr">
        <is>
          <t>Western</t>
        </is>
      </c>
      <c r="F258" s="3" t="inlineStr">
        <is>
          <t>Phone/WhatsApp</t>
        </is>
      </c>
      <c r="G258" s="3" t="inlineStr">
        <is>
          <t>Returning</t>
        </is>
      </c>
      <c r="H258" s="3" t="n">
        <v>2</v>
      </c>
      <c r="I258" s="3" t="n">
        <v>260</v>
      </c>
      <c r="J258" s="3" t="n">
        <v>141.85</v>
      </c>
      <c r="K258" s="3" t="n">
        <v>0</v>
      </c>
      <c r="L258" s="3" t="n">
        <v>12.54</v>
      </c>
    </row>
    <row r="259">
      <c r="A259" s="3" t="inlineStr">
        <is>
          <t>ORD-10258</t>
        </is>
      </c>
      <c r="B259" s="6" t="n">
        <v>46016</v>
      </c>
      <c r="C259" s="3" t="inlineStr">
        <is>
          <t>Clothing</t>
        </is>
      </c>
      <c r="D259" s="3" t="inlineStr">
        <is>
          <t>Shirts</t>
        </is>
      </c>
      <c r="E259" s="3" t="inlineStr">
        <is>
          <t>Western</t>
        </is>
      </c>
      <c r="F259" s="3" t="inlineStr">
        <is>
          <t>Online</t>
        </is>
      </c>
      <c r="G259" s="3" t="inlineStr">
        <is>
          <t>Returning</t>
        </is>
      </c>
      <c r="H259" s="3" t="n">
        <v>1</v>
      </c>
      <c r="I259" s="3" t="n">
        <v>135</v>
      </c>
      <c r="J259" s="3" t="n">
        <v>67.81</v>
      </c>
      <c r="K259" s="3" t="n">
        <v>0.15</v>
      </c>
      <c r="L259" s="3" t="n">
        <v>20.61</v>
      </c>
    </row>
    <row r="260">
      <c r="A260" s="3" t="inlineStr">
        <is>
          <t>ORD-10259</t>
        </is>
      </c>
      <c r="B260" s="6" t="n">
        <v>45952</v>
      </c>
      <c r="C260" s="3" t="inlineStr">
        <is>
          <t>Footwear</t>
        </is>
      </c>
      <c r="D260" s="3" t="inlineStr">
        <is>
          <t>Sandals</t>
        </is>
      </c>
      <c r="E260" s="3" t="inlineStr">
        <is>
          <t>Northern</t>
        </is>
      </c>
      <c r="F260" s="3" t="inlineStr">
        <is>
          <t>Phone/WhatsApp</t>
        </is>
      </c>
      <c r="G260" s="3" t="inlineStr">
        <is>
          <t>Returning</t>
        </is>
      </c>
      <c r="H260" s="3" t="n">
        <v>1</v>
      </c>
      <c r="I260" s="3" t="n">
        <v>220</v>
      </c>
      <c r="J260" s="3" t="n">
        <v>132.63</v>
      </c>
      <c r="K260" s="3" t="n">
        <v>0</v>
      </c>
      <c r="L260" s="3" t="n">
        <v>35.08</v>
      </c>
    </row>
    <row r="261">
      <c r="A261" s="3" t="inlineStr">
        <is>
          <t>ORD-10260</t>
        </is>
      </c>
      <c r="B261" s="6" t="n">
        <v>46007</v>
      </c>
      <c r="C261" s="3" t="inlineStr">
        <is>
          <t>Footwear</t>
        </is>
      </c>
      <c r="D261" s="3" t="inlineStr">
        <is>
          <t>Sneakers</t>
        </is>
      </c>
      <c r="E261" s="3" t="inlineStr">
        <is>
          <t>Ashanti</t>
        </is>
      </c>
      <c r="F261" s="3" t="inlineStr">
        <is>
          <t>Retail Shop</t>
        </is>
      </c>
      <c r="G261" s="3" t="inlineStr">
        <is>
          <t>Returning</t>
        </is>
      </c>
      <c r="H261" s="3" t="n">
        <v>2</v>
      </c>
      <c r="I261" s="3" t="n">
        <v>250</v>
      </c>
      <c r="J261" s="3" t="n">
        <v>132.77</v>
      </c>
      <c r="K261" s="3" t="n">
        <v>0.1</v>
      </c>
      <c r="L261" s="3" t="n">
        <v>3.45</v>
      </c>
    </row>
    <row r="262">
      <c r="A262" s="3" t="inlineStr">
        <is>
          <t>ORD-10261</t>
        </is>
      </c>
      <c r="B262" s="6" t="n">
        <v>45813</v>
      </c>
      <c r="C262" s="3" t="inlineStr">
        <is>
          <t>Footwear</t>
        </is>
      </c>
      <c r="D262" s="3" t="inlineStr">
        <is>
          <t>Sandals</t>
        </is>
      </c>
      <c r="E262" s="3" t="inlineStr">
        <is>
          <t>Central</t>
        </is>
      </c>
      <c r="F262" s="3" t="inlineStr">
        <is>
          <t>Phone/WhatsApp</t>
        </is>
      </c>
      <c r="G262" s="3" t="inlineStr">
        <is>
          <t>New</t>
        </is>
      </c>
      <c r="H262" s="3" t="n">
        <v>4</v>
      </c>
      <c r="I262" s="3" t="n">
        <v>205</v>
      </c>
      <c r="J262" s="3" t="n">
        <v>120.59</v>
      </c>
      <c r="K262" s="3" t="n">
        <v>0.05</v>
      </c>
      <c r="L262" s="3" t="n">
        <v>31.94</v>
      </c>
    </row>
    <row r="263">
      <c r="A263" s="3" t="inlineStr">
        <is>
          <t>ORD-10262</t>
        </is>
      </c>
      <c r="B263" s="6" t="n">
        <v>45986</v>
      </c>
      <c r="C263" s="3" t="inlineStr">
        <is>
          <t>Clothing</t>
        </is>
      </c>
      <c r="D263" s="3" t="inlineStr">
        <is>
          <t>Jackets</t>
        </is>
      </c>
      <c r="E263" s="3" t="inlineStr">
        <is>
          <t>Central</t>
        </is>
      </c>
      <c r="F263" s="3" t="inlineStr">
        <is>
          <t>Retail Shop</t>
        </is>
      </c>
      <c r="G263" s="3" t="inlineStr">
        <is>
          <t>New</t>
        </is>
      </c>
      <c r="H263" s="3" t="n">
        <v>2</v>
      </c>
      <c r="I263" s="3" t="n">
        <v>100</v>
      </c>
      <c r="J263" s="3" t="n">
        <v>55.42</v>
      </c>
      <c r="K263" s="3" t="n">
        <v>0.05</v>
      </c>
      <c r="L263" s="3" t="n">
        <v>5.64</v>
      </c>
    </row>
    <row r="264">
      <c r="A264" s="3" t="inlineStr">
        <is>
          <t>ORD-10263</t>
        </is>
      </c>
      <c r="B264" s="6" t="n">
        <v>45820</v>
      </c>
      <c r="C264" s="3" t="inlineStr">
        <is>
          <t>Footwear</t>
        </is>
      </c>
      <c r="D264" s="3" t="inlineStr">
        <is>
          <t>Sneakers</t>
        </is>
      </c>
      <c r="E264" s="3" t="inlineStr">
        <is>
          <t>Northern</t>
        </is>
      </c>
      <c r="F264" s="3" t="inlineStr">
        <is>
          <t>Online</t>
        </is>
      </c>
      <c r="G264" s="3" t="inlineStr">
        <is>
          <t>Returning</t>
        </is>
      </c>
      <c r="H264" s="3" t="n">
        <v>4</v>
      </c>
      <c r="I264" s="3" t="n">
        <v>285</v>
      </c>
      <c r="J264" s="3" t="n">
        <v>169.55</v>
      </c>
      <c r="K264" s="3" t="n">
        <v>0</v>
      </c>
      <c r="L264" s="3" t="n">
        <v>29.73</v>
      </c>
    </row>
    <row r="265">
      <c r="A265" s="3" t="inlineStr">
        <is>
          <t>ORD-10264</t>
        </is>
      </c>
      <c r="B265" s="6" t="n">
        <v>45758</v>
      </c>
      <c r="C265" s="3" t="inlineStr">
        <is>
          <t>Accessories</t>
        </is>
      </c>
      <c r="D265" s="3" t="inlineStr">
        <is>
          <t>Belts</t>
        </is>
      </c>
      <c r="E265" s="3" t="inlineStr">
        <is>
          <t>Greater Accra</t>
        </is>
      </c>
      <c r="F265" s="3" t="inlineStr">
        <is>
          <t>Phone/WhatsApp</t>
        </is>
      </c>
      <c r="G265" s="3" t="inlineStr">
        <is>
          <t>New</t>
        </is>
      </c>
      <c r="H265" s="3" t="n">
        <v>1</v>
      </c>
      <c r="I265" s="3" t="n">
        <v>120</v>
      </c>
      <c r="J265" s="3" t="n">
        <v>56.8</v>
      </c>
      <c r="K265" s="3" t="n">
        <v>0.05</v>
      </c>
      <c r="L265" s="3" t="n">
        <v>31.46</v>
      </c>
    </row>
    <row r="266">
      <c r="A266" s="3" t="inlineStr">
        <is>
          <t>ORD-10265</t>
        </is>
      </c>
      <c r="B266" s="6" t="n">
        <v>45947</v>
      </c>
      <c r="C266" s="3" t="inlineStr">
        <is>
          <t>Footwear</t>
        </is>
      </c>
      <c r="D266" s="3" t="inlineStr">
        <is>
          <t>Formal Shoes</t>
        </is>
      </c>
      <c r="E266" s="3" t="inlineStr">
        <is>
          <t>Western</t>
        </is>
      </c>
      <c r="F266" s="3" t="inlineStr">
        <is>
          <t>Phone/WhatsApp</t>
        </is>
      </c>
      <c r="G266" s="3" t="inlineStr">
        <is>
          <t>Returning</t>
        </is>
      </c>
      <c r="H266" s="3" t="n">
        <v>3</v>
      </c>
      <c r="I266" s="3" t="n">
        <v>235</v>
      </c>
      <c r="J266" s="3" t="n">
        <v>128.81</v>
      </c>
      <c r="K266" s="3" t="n">
        <v>0.05</v>
      </c>
      <c r="L266" s="3" t="n">
        <v>25.76</v>
      </c>
    </row>
    <row r="267">
      <c r="A267" s="3" t="inlineStr">
        <is>
          <t>ORD-10266</t>
        </is>
      </c>
      <c r="B267" s="6" t="n">
        <v>45987</v>
      </c>
      <c r="C267" s="3" t="inlineStr">
        <is>
          <t>Accessories</t>
        </is>
      </c>
      <c r="D267" s="3" t="inlineStr">
        <is>
          <t>Bags</t>
        </is>
      </c>
      <c r="E267" s="3" t="inlineStr">
        <is>
          <t>Greater Accra</t>
        </is>
      </c>
      <c r="F267" s="3" t="inlineStr">
        <is>
          <t>Online</t>
        </is>
      </c>
      <c r="G267" s="3" t="inlineStr">
        <is>
          <t>Returning</t>
        </is>
      </c>
      <c r="H267" s="3" t="n">
        <v>2</v>
      </c>
      <c r="I267" s="3" t="n">
        <v>100</v>
      </c>
      <c r="J267" s="3" t="n">
        <v>46.5</v>
      </c>
      <c r="K267" s="3" t="n">
        <v>0</v>
      </c>
      <c r="L267" s="3" t="n">
        <v>8.630000000000001</v>
      </c>
    </row>
    <row r="268">
      <c r="A268" s="3" t="inlineStr">
        <is>
          <t>ORD-10267</t>
        </is>
      </c>
      <c r="B268" s="6" t="n">
        <v>45673</v>
      </c>
      <c r="C268" s="3" t="inlineStr">
        <is>
          <t>Clothing</t>
        </is>
      </c>
      <c r="D268" s="3" t="inlineStr">
        <is>
          <t>Trousers</t>
        </is>
      </c>
      <c r="E268" s="3" t="inlineStr">
        <is>
          <t>Greater Accra</t>
        </is>
      </c>
      <c r="F268" s="3" t="inlineStr">
        <is>
          <t>Online</t>
        </is>
      </c>
      <c r="G268" s="3" t="inlineStr">
        <is>
          <t>New</t>
        </is>
      </c>
      <c r="H268" s="3" t="n">
        <v>1</v>
      </c>
      <c r="I268" s="3" t="n">
        <v>215</v>
      </c>
      <c r="J268" s="3" t="n">
        <v>120.85</v>
      </c>
      <c r="K268" s="3" t="n">
        <v>0.05</v>
      </c>
      <c r="L268" s="3" t="n">
        <v>14.15</v>
      </c>
    </row>
    <row r="269">
      <c r="A269" s="3" t="inlineStr">
        <is>
          <t>ORD-10268</t>
        </is>
      </c>
      <c r="B269" s="6" t="n">
        <v>45876</v>
      </c>
      <c r="C269" s="3" t="inlineStr">
        <is>
          <t>Clothing</t>
        </is>
      </c>
      <c r="D269" s="3" t="inlineStr">
        <is>
          <t>Trousers</t>
        </is>
      </c>
      <c r="E269" s="3" t="inlineStr">
        <is>
          <t>Greater Accra</t>
        </is>
      </c>
      <c r="F269" s="3" t="inlineStr">
        <is>
          <t>Retail Shop</t>
        </is>
      </c>
      <c r="G269" s="3" t="inlineStr">
        <is>
          <t>Returning</t>
        </is>
      </c>
      <c r="H269" s="3" t="n">
        <v>2</v>
      </c>
      <c r="I269" s="3" t="n">
        <v>125</v>
      </c>
      <c r="J269" s="3" t="n">
        <v>63.6</v>
      </c>
      <c r="K269" s="3" t="n">
        <v>0</v>
      </c>
      <c r="L269" s="3" t="n">
        <v>7.03</v>
      </c>
    </row>
    <row r="270">
      <c r="A270" s="3" t="inlineStr">
        <is>
          <t>ORD-10269</t>
        </is>
      </c>
      <c r="B270" s="6" t="n">
        <v>45807</v>
      </c>
      <c r="C270" s="3" t="inlineStr">
        <is>
          <t>Footwear</t>
        </is>
      </c>
      <c r="D270" s="3" t="inlineStr">
        <is>
          <t>Formal Shoes</t>
        </is>
      </c>
      <c r="E270" s="3" t="inlineStr">
        <is>
          <t>Ashanti</t>
        </is>
      </c>
      <c r="F270" s="3" t="inlineStr">
        <is>
          <t>Retail Shop</t>
        </is>
      </c>
      <c r="G270" s="3" t="inlineStr">
        <is>
          <t>New</t>
        </is>
      </c>
      <c r="H270" s="3" t="n">
        <v>2</v>
      </c>
      <c r="I270" s="3" t="n">
        <v>260</v>
      </c>
      <c r="J270" s="3" t="n">
        <v>134.83</v>
      </c>
      <c r="K270" s="3" t="n">
        <v>0</v>
      </c>
      <c r="L270" s="3" t="n">
        <v>11.14</v>
      </c>
    </row>
    <row r="271">
      <c r="A271" s="3" t="inlineStr">
        <is>
          <t>ORD-10270</t>
        </is>
      </c>
      <c r="B271" s="6" t="n">
        <v>45983</v>
      </c>
      <c r="C271" s="3" t="inlineStr">
        <is>
          <t>Footwear</t>
        </is>
      </c>
      <c r="D271" s="3" t="inlineStr">
        <is>
          <t>Sandals</t>
        </is>
      </c>
      <c r="E271" s="3" t="inlineStr">
        <is>
          <t>Greater Accra</t>
        </is>
      </c>
      <c r="F271" s="3" t="inlineStr">
        <is>
          <t>Retail Shop</t>
        </is>
      </c>
      <c r="G271" s="3" t="inlineStr">
        <is>
          <t>New</t>
        </is>
      </c>
      <c r="H271" s="3" t="n">
        <v>3</v>
      </c>
      <c r="I271" s="3" t="n">
        <v>295</v>
      </c>
      <c r="J271" s="3" t="n">
        <v>186.9</v>
      </c>
      <c r="K271" s="3" t="n">
        <v>0</v>
      </c>
      <c r="L271" s="3" t="n">
        <v>5.64</v>
      </c>
    </row>
    <row r="272">
      <c r="A272" s="3" t="inlineStr">
        <is>
          <t>ORD-10271</t>
        </is>
      </c>
      <c r="B272" s="6" t="n">
        <v>45695</v>
      </c>
      <c r="C272" s="3" t="inlineStr">
        <is>
          <t>Footwear</t>
        </is>
      </c>
      <c r="D272" s="3" t="inlineStr">
        <is>
          <t>Sneakers</t>
        </is>
      </c>
      <c r="E272" s="3" t="inlineStr">
        <is>
          <t>Northern</t>
        </is>
      </c>
      <c r="F272" s="3" t="inlineStr">
        <is>
          <t>Phone/WhatsApp</t>
        </is>
      </c>
      <c r="G272" s="3" t="inlineStr">
        <is>
          <t>Returning</t>
        </is>
      </c>
      <c r="H272" s="3" t="n">
        <v>4</v>
      </c>
      <c r="I272" s="3" t="n">
        <v>280</v>
      </c>
      <c r="J272" s="3" t="n">
        <v>150.95</v>
      </c>
      <c r="K272" s="3" t="n">
        <v>0.05</v>
      </c>
      <c r="L272" s="3" t="n">
        <v>17.75</v>
      </c>
    </row>
    <row r="273">
      <c r="A273" s="3" t="inlineStr">
        <is>
          <t>ORD-10272</t>
        </is>
      </c>
      <c r="B273" s="6" t="n">
        <v>45987</v>
      </c>
      <c r="C273" s="3" t="inlineStr">
        <is>
          <t>Home &amp; Lifestyle</t>
        </is>
      </c>
      <c r="D273" s="3" t="inlineStr">
        <is>
          <t>Small Home Goods</t>
        </is>
      </c>
      <c r="E273" s="3" t="inlineStr">
        <is>
          <t>Western</t>
        </is>
      </c>
      <c r="F273" s="3" t="inlineStr">
        <is>
          <t>Online</t>
        </is>
      </c>
      <c r="G273" s="3" t="inlineStr">
        <is>
          <t>Returning</t>
        </is>
      </c>
      <c r="H273" s="3" t="n">
        <v>1</v>
      </c>
      <c r="I273" s="3" t="n">
        <v>145</v>
      </c>
      <c r="J273" s="3" t="n">
        <v>79.38</v>
      </c>
      <c r="K273" s="3" t="n">
        <v>0.05</v>
      </c>
      <c r="L273" s="3" t="n">
        <v>14.82</v>
      </c>
    </row>
    <row r="274">
      <c r="A274" s="3" t="inlineStr">
        <is>
          <t>ORD-10273</t>
        </is>
      </c>
      <c r="B274" s="6" t="n">
        <v>45858</v>
      </c>
      <c r="C274" s="3" t="inlineStr">
        <is>
          <t>Clothing</t>
        </is>
      </c>
      <c r="D274" s="3" t="inlineStr">
        <is>
          <t>Jackets</t>
        </is>
      </c>
      <c r="E274" s="3" t="inlineStr">
        <is>
          <t>Ashanti</t>
        </is>
      </c>
      <c r="F274" s="3" t="inlineStr">
        <is>
          <t>Phone/WhatsApp</t>
        </is>
      </c>
      <c r="G274" s="3" t="inlineStr">
        <is>
          <t>New</t>
        </is>
      </c>
      <c r="H274" s="3" t="n">
        <v>2</v>
      </c>
      <c r="I274" s="3" t="n">
        <v>165</v>
      </c>
      <c r="J274" s="3" t="n">
        <v>85.87</v>
      </c>
      <c r="K274" s="3" t="n">
        <v>0.15</v>
      </c>
      <c r="L274" s="3" t="n">
        <v>26.45</v>
      </c>
    </row>
    <row r="275">
      <c r="A275" s="3" t="inlineStr">
        <is>
          <t>ORD-10274</t>
        </is>
      </c>
      <c r="B275" s="6" t="n">
        <v>45774</v>
      </c>
      <c r="C275" s="3" t="inlineStr">
        <is>
          <t>Accessories</t>
        </is>
      </c>
      <c r="D275" s="3" t="inlineStr">
        <is>
          <t>Bags</t>
        </is>
      </c>
      <c r="E275" s="3" t="inlineStr">
        <is>
          <t>Greater Accra</t>
        </is>
      </c>
      <c r="F275" s="3" t="inlineStr">
        <is>
          <t>Phone/WhatsApp</t>
        </is>
      </c>
      <c r="G275" s="3" t="inlineStr">
        <is>
          <t>Returning</t>
        </is>
      </c>
      <c r="H275" s="3" t="n">
        <v>1</v>
      </c>
      <c r="I275" s="3" t="n">
        <v>115</v>
      </c>
      <c r="J275" s="3" t="n">
        <v>54.14</v>
      </c>
      <c r="K275" s="3" t="n">
        <v>0.05</v>
      </c>
      <c r="L275" s="3" t="n">
        <v>23.28</v>
      </c>
    </row>
    <row r="276">
      <c r="A276" s="3" t="inlineStr">
        <is>
          <t>ORD-10275</t>
        </is>
      </c>
      <c r="B276" s="6" t="n">
        <v>45723</v>
      </c>
      <c r="C276" s="3" t="inlineStr">
        <is>
          <t>Home &amp; Lifestyle</t>
        </is>
      </c>
      <c r="D276" s="3" t="inlineStr">
        <is>
          <t>Backpacks</t>
        </is>
      </c>
      <c r="E276" s="3" t="inlineStr">
        <is>
          <t>Northern</t>
        </is>
      </c>
      <c r="F276" s="3" t="inlineStr">
        <is>
          <t>Retail Shop</t>
        </is>
      </c>
      <c r="G276" s="3" t="inlineStr">
        <is>
          <t>Returning</t>
        </is>
      </c>
      <c r="H276" s="3" t="n">
        <v>3</v>
      </c>
      <c r="I276" s="3" t="n">
        <v>125</v>
      </c>
      <c r="J276" s="3" t="n">
        <v>61.31</v>
      </c>
      <c r="K276" s="3" t="n">
        <v>0</v>
      </c>
      <c r="L276" s="3" t="n">
        <v>2.91</v>
      </c>
    </row>
    <row r="277">
      <c r="A277" s="3" t="inlineStr">
        <is>
          <t>ORD-10276</t>
        </is>
      </c>
      <c r="B277" s="6" t="n">
        <v>45875</v>
      </c>
      <c r="C277" s="3" t="inlineStr">
        <is>
          <t>Footwear</t>
        </is>
      </c>
      <c r="D277" s="3" t="inlineStr">
        <is>
          <t>Boots</t>
        </is>
      </c>
      <c r="E277" s="3" t="inlineStr">
        <is>
          <t>Greater Accra</t>
        </is>
      </c>
      <c r="F277" s="3" t="inlineStr">
        <is>
          <t>Online</t>
        </is>
      </c>
      <c r="G277" s="3" t="inlineStr">
        <is>
          <t>Returning</t>
        </is>
      </c>
      <c r="H277" s="3" t="n">
        <v>1</v>
      </c>
      <c r="I277" s="3" t="n">
        <v>230</v>
      </c>
      <c r="J277" s="3" t="n">
        <v>142.66</v>
      </c>
      <c r="K277" s="3" t="n">
        <v>0.15</v>
      </c>
      <c r="L277" s="3" t="n">
        <v>15.78</v>
      </c>
    </row>
    <row r="278">
      <c r="A278" s="3" t="inlineStr">
        <is>
          <t>ORD-10277</t>
        </is>
      </c>
      <c r="B278" s="6" t="n">
        <v>45830</v>
      </c>
      <c r="C278" s="3" t="inlineStr">
        <is>
          <t>Footwear</t>
        </is>
      </c>
      <c r="D278" s="3" t="inlineStr">
        <is>
          <t>Formal Shoes</t>
        </is>
      </c>
      <c r="E278" s="3" t="inlineStr">
        <is>
          <t>Greater Accra</t>
        </is>
      </c>
      <c r="F278" s="3" t="inlineStr">
        <is>
          <t>Online</t>
        </is>
      </c>
      <c r="G278" s="3" t="inlineStr">
        <is>
          <t>New</t>
        </is>
      </c>
      <c r="H278" s="3" t="n">
        <v>6</v>
      </c>
      <c r="I278" s="3" t="n">
        <v>290</v>
      </c>
      <c r="J278" s="3" t="n">
        <v>149.81</v>
      </c>
      <c r="K278" s="3" t="n">
        <v>0</v>
      </c>
      <c r="L278" s="3" t="n">
        <v>18.12</v>
      </c>
    </row>
    <row r="279">
      <c r="A279" s="3" t="inlineStr">
        <is>
          <t>ORD-10278</t>
        </is>
      </c>
      <c r="B279" s="6" t="n">
        <v>45786</v>
      </c>
      <c r="C279" s="3" t="inlineStr">
        <is>
          <t>Footwear</t>
        </is>
      </c>
      <c r="D279" s="3" t="inlineStr">
        <is>
          <t>Sandals</t>
        </is>
      </c>
      <c r="E279" s="3" t="inlineStr">
        <is>
          <t>Western</t>
        </is>
      </c>
      <c r="F279" s="3" t="inlineStr">
        <is>
          <t>Phone/WhatsApp</t>
        </is>
      </c>
      <c r="G279" s="3" t="inlineStr">
        <is>
          <t>Returning</t>
        </is>
      </c>
      <c r="H279" s="3" t="n">
        <v>1</v>
      </c>
      <c r="I279" s="3" t="n">
        <v>205</v>
      </c>
      <c r="J279" s="3" t="n">
        <v>109.17</v>
      </c>
      <c r="K279" s="3" t="n">
        <v>0</v>
      </c>
      <c r="L279" s="3" t="n">
        <v>29.63</v>
      </c>
    </row>
    <row r="280">
      <c r="A280" s="3" t="inlineStr">
        <is>
          <t>ORD-10279</t>
        </is>
      </c>
      <c r="B280" s="6" t="n">
        <v>45795</v>
      </c>
      <c r="C280" s="3" t="inlineStr">
        <is>
          <t>Clothing</t>
        </is>
      </c>
      <c r="D280" s="3" t="inlineStr">
        <is>
          <t>Shirts</t>
        </is>
      </c>
      <c r="E280" s="3" t="inlineStr">
        <is>
          <t>Greater Accra</t>
        </is>
      </c>
      <c r="F280" s="3" t="inlineStr">
        <is>
          <t>Online</t>
        </is>
      </c>
      <c r="G280" s="3" t="inlineStr">
        <is>
          <t>Returning</t>
        </is>
      </c>
      <c r="H280" s="3" t="n">
        <v>3</v>
      </c>
      <c r="I280" s="3" t="n">
        <v>125</v>
      </c>
      <c r="J280" s="3" t="n">
        <v>64.28</v>
      </c>
      <c r="K280" s="3" t="n">
        <v>0</v>
      </c>
      <c r="L280" s="3" t="n">
        <v>9.880000000000001</v>
      </c>
    </row>
    <row r="281">
      <c r="A281" s="3" t="inlineStr">
        <is>
          <t>ORD-10280</t>
        </is>
      </c>
      <c r="B281" s="6" t="n">
        <v>45844</v>
      </c>
      <c r="C281" s="3" t="inlineStr">
        <is>
          <t>Clothing</t>
        </is>
      </c>
      <c r="D281" s="3" t="inlineStr">
        <is>
          <t>Shirts</t>
        </is>
      </c>
      <c r="E281" s="3" t="inlineStr">
        <is>
          <t>Western</t>
        </is>
      </c>
      <c r="F281" s="3" t="inlineStr">
        <is>
          <t>Retail Shop</t>
        </is>
      </c>
      <c r="G281" s="3" t="inlineStr">
        <is>
          <t>Returning</t>
        </is>
      </c>
      <c r="H281" s="3" t="n">
        <v>1</v>
      </c>
      <c r="I281" s="3" t="n">
        <v>155</v>
      </c>
      <c r="J281" s="3" t="n">
        <v>81.17</v>
      </c>
      <c r="K281" s="3" t="n">
        <v>0</v>
      </c>
      <c r="L281" s="3" t="n">
        <v>4.9</v>
      </c>
    </row>
    <row r="282">
      <c r="A282" s="3" t="inlineStr">
        <is>
          <t>ORD-10281</t>
        </is>
      </c>
      <c r="B282" s="6" t="n">
        <v>45876</v>
      </c>
      <c r="C282" s="3" t="inlineStr">
        <is>
          <t>Footwear</t>
        </is>
      </c>
      <c r="D282" s="3" t="inlineStr">
        <is>
          <t>Boots</t>
        </is>
      </c>
      <c r="E282" s="3" t="inlineStr">
        <is>
          <t>Central</t>
        </is>
      </c>
      <c r="F282" s="3" t="inlineStr">
        <is>
          <t>Online</t>
        </is>
      </c>
      <c r="G282" s="3" t="inlineStr">
        <is>
          <t>Returning</t>
        </is>
      </c>
      <c r="H282" s="3" t="n">
        <v>2</v>
      </c>
      <c r="I282" s="3" t="n">
        <v>250</v>
      </c>
      <c r="J282" s="3" t="n">
        <v>136.66</v>
      </c>
      <c r="K282" s="3" t="n">
        <v>0</v>
      </c>
      <c r="L282" s="3" t="n">
        <v>27.4</v>
      </c>
    </row>
    <row r="283">
      <c r="A283" s="3" t="inlineStr">
        <is>
          <t>ORD-10282</t>
        </is>
      </c>
      <c r="B283" s="6" t="n">
        <v>45920</v>
      </c>
      <c r="C283" s="3" t="inlineStr">
        <is>
          <t>Accessories</t>
        </is>
      </c>
      <c r="D283" s="3" t="inlineStr">
        <is>
          <t>Sunglasses</t>
        </is>
      </c>
      <c r="E283" s="3" t="inlineStr">
        <is>
          <t>Greater Accra</t>
        </is>
      </c>
      <c r="F283" s="3" t="inlineStr">
        <is>
          <t>Retail Shop</t>
        </is>
      </c>
      <c r="G283" s="3" t="inlineStr">
        <is>
          <t>New</t>
        </is>
      </c>
      <c r="H283" s="3" t="n">
        <v>3</v>
      </c>
      <c r="I283" s="3" t="n">
        <v>60</v>
      </c>
      <c r="J283" s="3" t="n">
        <v>25.82</v>
      </c>
      <c r="K283" s="3" t="n">
        <v>0.05</v>
      </c>
      <c r="L283" s="3" t="n">
        <v>8.609999999999999</v>
      </c>
    </row>
    <row r="284">
      <c r="A284" s="3" t="inlineStr">
        <is>
          <t>ORD-10283</t>
        </is>
      </c>
      <c r="B284" s="6" t="n">
        <v>45829</v>
      </c>
      <c r="C284" s="3" t="inlineStr">
        <is>
          <t>Footwear</t>
        </is>
      </c>
      <c r="D284" s="3" t="inlineStr">
        <is>
          <t>Sneakers</t>
        </is>
      </c>
      <c r="E284" s="3" t="inlineStr">
        <is>
          <t>Northern</t>
        </is>
      </c>
      <c r="F284" s="3" t="inlineStr">
        <is>
          <t>Retail Shop</t>
        </is>
      </c>
      <c r="G284" s="3" t="inlineStr">
        <is>
          <t>Returning</t>
        </is>
      </c>
      <c r="H284" s="3" t="n">
        <v>3</v>
      </c>
      <c r="I284" s="3" t="n">
        <v>295</v>
      </c>
      <c r="J284" s="3" t="n">
        <v>169.81</v>
      </c>
      <c r="K284" s="3" t="n">
        <v>0.1</v>
      </c>
      <c r="L284" s="3" t="n">
        <v>0.59</v>
      </c>
    </row>
    <row r="285">
      <c r="A285" s="3" t="inlineStr">
        <is>
          <t>ORD-10284</t>
        </is>
      </c>
      <c r="B285" s="6" t="n">
        <v>45920</v>
      </c>
      <c r="C285" s="3" t="inlineStr">
        <is>
          <t>Home &amp; Lifestyle</t>
        </is>
      </c>
      <c r="D285" s="3" t="inlineStr">
        <is>
          <t>Travel Mugs</t>
        </is>
      </c>
      <c r="E285" s="3" t="inlineStr">
        <is>
          <t>Ashanti</t>
        </is>
      </c>
      <c r="F285" s="3" t="inlineStr">
        <is>
          <t>Retail Shop</t>
        </is>
      </c>
      <c r="G285" s="3" t="inlineStr">
        <is>
          <t>Returning</t>
        </is>
      </c>
      <c r="H285" s="3" t="n">
        <v>4</v>
      </c>
      <c r="I285" s="3" t="n">
        <v>120</v>
      </c>
      <c r="J285" s="3" t="n">
        <v>61.44</v>
      </c>
      <c r="K285" s="3" t="n">
        <v>0</v>
      </c>
      <c r="L285" s="3" t="n">
        <v>9.23</v>
      </c>
    </row>
    <row r="286">
      <c r="A286" s="3" t="inlineStr">
        <is>
          <t>ORD-10285</t>
        </is>
      </c>
      <c r="B286" s="6" t="n">
        <v>45680</v>
      </c>
      <c r="C286" s="3" t="inlineStr">
        <is>
          <t>Accessories</t>
        </is>
      </c>
      <c r="D286" s="3" t="inlineStr">
        <is>
          <t>Belts</t>
        </is>
      </c>
      <c r="E286" s="3" t="inlineStr">
        <is>
          <t>Greater Accra</t>
        </is>
      </c>
      <c r="F286" s="3" t="inlineStr">
        <is>
          <t>Online</t>
        </is>
      </c>
      <c r="G286" s="3" t="inlineStr">
        <is>
          <t>Returning</t>
        </is>
      </c>
      <c r="H286" s="3" t="n">
        <v>1</v>
      </c>
      <c r="I286" s="3" t="n">
        <v>95</v>
      </c>
      <c r="J286" s="3" t="n">
        <v>43.36</v>
      </c>
      <c r="K286" s="3" t="n">
        <v>0</v>
      </c>
      <c r="L286" s="3" t="n">
        <v>35.23</v>
      </c>
    </row>
    <row r="287">
      <c r="A287" s="3" t="inlineStr">
        <is>
          <t>ORD-10286</t>
        </is>
      </c>
      <c r="B287" s="6" t="n">
        <v>45901</v>
      </c>
      <c r="C287" s="3" t="inlineStr">
        <is>
          <t>Home &amp; Lifestyle</t>
        </is>
      </c>
      <c r="D287" s="3" t="inlineStr">
        <is>
          <t>Travel Mugs</t>
        </is>
      </c>
      <c r="E287" s="3" t="inlineStr">
        <is>
          <t>Western</t>
        </is>
      </c>
      <c r="F287" s="3" t="inlineStr">
        <is>
          <t>Phone/WhatsApp</t>
        </is>
      </c>
      <c r="G287" s="3" t="inlineStr">
        <is>
          <t>Returning</t>
        </is>
      </c>
      <c r="H287" s="3" t="n">
        <v>2</v>
      </c>
      <c r="I287" s="3" t="n">
        <v>70</v>
      </c>
      <c r="J287" s="3" t="n">
        <v>40.46</v>
      </c>
      <c r="K287" s="3" t="n">
        <v>0</v>
      </c>
      <c r="L287" s="3" t="n">
        <v>15.34</v>
      </c>
    </row>
    <row r="288">
      <c r="A288" s="3" t="inlineStr">
        <is>
          <t>ORD-10287</t>
        </is>
      </c>
      <c r="B288" s="6" t="n">
        <v>45742</v>
      </c>
      <c r="C288" s="3" t="inlineStr">
        <is>
          <t>Clothing</t>
        </is>
      </c>
      <c r="D288" s="3" t="inlineStr">
        <is>
          <t>Dresses</t>
        </is>
      </c>
      <c r="E288" s="3" t="inlineStr">
        <is>
          <t>Greater Accra</t>
        </is>
      </c>
      <c r="F288" s="3" t="inlineStr">
        <is>
          <t>Online</t>
        </is>
      </c>
      <c r="G288" s="3" t="inlineStr">
        <is>
          <t>Returning</t>
        </is>
      </c>
      <c r="H288" s="3" t="n">
        <v>2</v>
      </c>
      <c r="I288" s="3" t="n">
        <v>180</v>
      </c>
      <c r="J288" s="3" t="n">
        <v>89.54000000000001</v>
      </c>
      <c r="K288" s="3" t="n">
        <v>0</v>
      </c>
      <c r="L288" s="3" t="n">
        <v>12.1</v>
      </c>
    </row>
    <row r="289">
      <c r="A289" s="3" t="inlineStr">
        <is>
          <t>ORD-10288</t>
        </is>
      </c>
      <c r="B289" s="6" t="n">
        <v>45945</v>
      </c>
      <c r="C289" s="3" t="inlineStr">
        <is>
          <t>Accessories</t>
        </is>
      </c>
      <c r="D289" s="3" t="inlineStr">
        <is>
          <t>Sunglasses</t>
        </is>
      </c>
      <c r="E289" s="3" t="n">
        <v/>
      </c>
      <c r="F289" s="3" t="inlineStr">
        <is>
          <t>Retail Shop</t>
        </is>
      </c>
      <c r="G289" s="3" t="inlineStr">
        <is>
          <t>New</t>
        </is>
      </c>
      <c r="H289" s="3" t="n">
        <v>1</v>
      </c>
      <c r="I289" s="3" t="n">
        <v>85</v>
      </c>
      <c r="J289" s="3" t="n">
        <v>39.05</v>
      </c>
      <c r="K289" s="3" t="n">
        <v>0</v>
      </c>
      <c r="L289" s="3" t="n">
        <v>4.76</v>
      </c>
    </row>
    <row r="290">
      <c r="A290" s="3" t="inlineStr">
        <is>
          <t>ORD-10289</t>
        </is>
      </c>
      <c r="B290" s="6" t="n">
        <v>45750</v>
      </c>
      <c r="C290" s="3" t="inlineStr">
        <is>
          <t>Accessories</t>
        </is>
      </c>
      <c r="D290" s="3" t="inlineStr">
        <is>
          <t>Sunglasses</t>
        </is>
      </c>
      <c r="E290" s="3" t="inlineStr">
        <is>
          <t>Western</t>
        </is>
      </c>
      <c r="F290" s="3" t="inlineStr">
        <is>
          <t>Retail Shop</t>
        </is>
      </c>
      <c r="G290" s="3" t="inlineStr">
        <is>
          <t>Returning</t>
        </is>
      </c>
      <c r="H290" s="3" t="n">
        <v>4</v>
      </c>
      <c r="I290" s="3" t="n">
        <v>105</v>
      </c>
      <c r="J290" s="3" t="n">
        <v>52.12</v>
      </c>
      <c r="K290" s="3" t="n">
        <v>0</v>
      </c>
      <c r="L290" s="3" t="n">
        <v>8.449999999999999</v>
      </c>
    </row>
    <row r="291">
      <c r="A291" s="3" t="inlineStr">
        <is>
          <t>ORD-10290</t>
        </is>
      </c>
      <c r="B291" s="6" t="n">
        <v>45981</v>
      </c>
      <c r="C291" s="3" t="inlineStr">
        <is>
          <t>Clothing</t>
        </is>
      </c>
      <c r="D291" s="3" t="inlineStr">
        <is>
          <t>Dresses</t>
        </is>
      </c>
      <c r="E291" s="3" t="inlineStr">
        <is>
          <t>Western</t>
        </is>
      </c>
      <c r="F291" s="3" t="inlineStr">
        <is>
          <t>Online</t>
        </is>
      </c>
      <c r="G291" s="3" t="inlineStr">
        <is>
          <t>Returning</t>
        </is>
      </c>
      <c r="H291" s="3" t="n">
        <v>2</v>
      </c>
      <c r="I291" s="3" t="n">
        <v>155</v>
      </c>
      <c r="J291" s="3" t="n">
        <v>83.95999999999999</v>
      </c>
      <c r="K291" s="3" t="n">
        <v>0</v>
      </c>
      <c r="L291" s="3" t="n">
        <v>25.89</v>
      </c>
    </row>
    <row r="292">
      <c r="A292" s="3" t="inlineStr">
        <is>
          <t>ORD-10291</t>
        </is>
      </c>
      <c r="B292" s="6" t="n">
        <v>45892</v>
      </c>
      <c r="C292" s="3" t="inlineStr">
        <is>
          <t>Clothing</t>
        </is>
      </c>
      <c r="D292" s="3" t="inlineStr">
        <is>
          <t>Trousers</t>
        </is>
      </c>
      <c r="E292" s="3" t="inlineStr">
        <is>
          <t>Ashanti</t>
        </is>
      </c>
      <c r="F292" s="3" t="inlineStr">
        <is>
          <t>Retail Shop</t>
        </is>
      </c>
      <c r="G292" s="3" t="inlineStr">
        <is>
          <t>Returning</t>
        </is>
      </c>
      <c r="H292" s="3" t="n">
        <v>3</v>
      </c>
      <c r="I292" s="3" t="n">
        <v>110</v>
      </c>
      <c r="J292" s="3" t="n">
        <v>63.95</v>
      </c>
      <c r="K292" s="3" t="n">
        <v>0</v>
      </c>
      <c r="L292" s="3" t="n">
        <v>6.39</v>
      </c>
    </row>
    <row r="293">
      <c r="A293" s="3" t="inlineStr">
        <is>
          <t>ORD-10292</t>
        </is>
      </c>
      <c r="B293" s="6" t="n">
        <v>45898</v>
      </c>
      <c r="C293" s="3" t="inlineStr">
        <is>
          <t>Clothing</t>
        </is>
      </c>
      <c r="D293" s="3" t="inlineStr">
        <is>
          <t>Jackets</t>
        </is>
      </c>
      <c r="E293" s="3" t="inlineStr">
        <is>
          <t>Northern</t>
        </is>
      </c>
      <c r="F293" s="3" t="inlineStr">
        <is>
          <t>Phone/WhatsApp</t>
        </is>
      </c>
      <c r="G293" s="3" t="inlineStr">
        <is>
          <t>New</t>
        </is>
      </c>
      <c r="H293" s="3" t="n">
        <v>1</v>
      </c>
      <c r="I293" s="3" t="n">
        <v>170</v>
      </c>
      <c r="J293" s="3" t="n">
        <v>92.68000000000001</v>
      </c>
      <c r="K293" s="3" t="n">
        <v>0</v>
      </c>
      <c r="L293" s="3" t="n">
        <v>33.69</v>
      </c>
    </row>
    <row r="294">
      <c r="A294" s="3" t="inlineStr">
        <is>
          <t>ORD-10293</t>
        </is>
      </c>
      <c r="B294" s="6" t="n">
        <v>45719</v>
      </c>
      <c r="C294" s="3" t="inlineStr">
        <is>
          <t>Footwear</t>
        </is>
      </c>
      <c r="D294" s="3" t="inlineStr">
        <is>
          <t>Formal Shoes</t>
        </is>
      </c>
      <c r="E294" s="3" t="inlineStr">
        <is>
          <t>Western</t>
        </is>
      </c>
      <c r="F294" s="3" t="inlineStr">
        <is>
          <t>Online</t>
        </is>
      </c>
      <c r="G294" s="3" t="inlineStr">
        <is>
          <t>Returning</t>
        </is>
      </c>
      <c r="H294" s="3" t="n">
        <v>2</v>
      </c>
      <c r="I294" s="3" t="n">
        <v>275</v>
      </c>
      <c r="J294" s="3" t="n">
        <v>154.83</v>
      </c>
      <c r="K294" s="3" t="n">
        <v>0.05</v>
      </c>
      <c r="L294" s="3" t="n">
        <v>9.31</v>
      </c>
    </row>
    <row r="295">
      <c r="A295" s="3" t="inlineStr">
        <is>
          <t>ORD-10294</t>
        </is>
      </c>
      <c r="B295" s="6" t="n">
        <v>45926</v>
      </c>
      <c r="C295" s="3" t="inlineStr">
        <is>
          <t>Footwear</t>
        </is>
      </c>
      <c r="D295" s="3" t="inlineStr">
        <is>
          <t>Formal Shoes</t>
        </is>
      </c>
      <c r="E295" s="3" t="inlineStr">
        <is>
          <t>Western</t>
        </is>
      </c>
      <c r="F295" s="3" t="inlineStr">
        <is>
          <t>Online</t>
        </is>
      </c>
      <c r="G295" s="3" t="inlineStr">
        <is>
          <t>Returning</t>
        </is>
      </c>
      <c r="H295" s="3" t="n">
        <v>1</v>
      </c>
      <c r="I295" s="3" t="n">
        <v>265</v>
      </c>
      <c r="J295" s="3" t="n">
        <v>148.94</v>
      </c>
      <c r="K295" s="3" t="n">
        <v>0.1</v>
      </c>
      <c r="L295" s="3" t="n">
        <v>21.46</v>
      </c>
    </row>
    <row r="296">
      <c r="A296" s="3" t="inlineStr">
        <is>
          <t>ORD-10295</t>
        </is>
      </c>
      <c r="B296" s="6" t="n">
        <v>45776</v>
      </c>
      <c r="C296" s="3" t="inlineStr">
        <is>
          <t>Footwear</t>
        </is>
      </c>
      <c r="D296" s="3" t="inlineStr">
        <is>
          <t>Formal Shoes</t>
        </is>
      </c>
      <c r="E296" s="3" t="inlineStr">
        <is>
          <t>Greater Accra</t>
        </is>
      </c>
      <c r="F296" s="3" t="inlineStr">
        <is>
          <t>Retail Shop</t>
        </is>
      </c>
      <c r="G296" s="3" t="inlineStr">
        <is>
          <t>New</t>
        </is>
      </c>
      <c r="H296" s="3" t="n">
        <v>1</v>
      </c>
      <c r="I296" s="3" t="n">
        <v>340</v>
      </c>
      <c r="J296" s="3" t="n">
        <v>189.18</v>
      </c>
      <c r="K296" s="3" t="n">
        <v>0</v>
      </c>
      <c r="L296" s="3" t="n">
        <v>0.17</v>
      </c>
    </row>
    <row r="297">
      <c r="A297" s="3" t="inlineStr">
        <is>
          <t>ORD-10296</t>
        </is>
      </c>
      <c r="B297" s="6" t="n">
        <v>45924</v>
      </c>
      <c r="C297" s="3" t="inlineStr">
        <is>
          <t>Accessories</t>
        </is>
      </c>
      <c r="D297" s="3" t="inlineStr">
        <is>
          <t>Bags</t>
        </is>
      </c>
      <c r="E297" s="3" t="inlineStr">
        <is>
          <t>Greater Accra</t>
        </is>
      </c>
      <c r="F297" s="3" t="inlineStr">
        <is>
          <t>Phone/WhatsApp</t>
        </is>
      </c>
      <c r="G297" s="3" t="inlineStr">
        <is>
          <t>Returning</t>
        </is>
      </c>
      <c r="H297" s="3" t="n">
        <v>2</v>
      </c>
      <c r="I297" s="3" t="n">
        <v>125</v>
      </c>
      <c r="J297" s="3" t="n">
        <v>65.59999999999999</v>
      </c>
      <c r="K297" s="3" t="n">
        <v>0</v>
      </c>
      <c r="L297" s="3" t="n">
        <v>12.83</v>
      </c>
    </row>
    <row r="298">
      <c r="A298" s="3" t="inlineStr">
        <is>
          <t>ORD-10297</t>
        </is>
      </c>
      <c r="B298" s="6" t="n">
        <v>45756</v>
      </c>
      <c r="C298" s="3" t="inlineStr">
        <is>
          <t>Accessories</t>
        </is>
      </c>
      <c r="D298" s="3" t="inlineStr">
        <is>
          <t>Sunglasses</t>
        </is>
      </c>
      <c r="E298" s="3" t="inlineStr">
        <is>
          <t>Ashanti</t>
        </is>
      </c>
      <c r="F298" s="3" t="inlineStr">
        <is>
          <t>Online</t>
        </is>
      </c>
      <c r="G298" s="3" t="inlineStr">
        <is>
          <t>Returning</t>
        </is>
      </c>
      <c r="H298" s="3" t="n">
        <v>3</v>
      </c>
      <c r="I298" s="3" t="n">
        <v>140</v>
      </c>
      <c r="J298" s="3" t="n">
        <v>60.73</v>
      </c>
      <c r="K298" s="3" t="n">
        <v>0.05</v>
      </c>
      <c r="L298" s="3" t="n">
        <v>26.9</v>
      </c>
    </row>
    <row r="299">
      <c r="A299" s="3" t="inlineStr">
        <is>
          <t>ORD-10298</t>
        </is>
      </c>
      <c r="B299" s="6" t="n">
        <v>45815</v>
      </c>
      <c r="C299" s="3" t="inlineStr">
        <is>
          <t>Clothing</t>
        </is>
      </c>
      <c r="D299" s="3" t="inlineStr">
        <is>
          <t>Trousers</t>
        </is>
      </c>
      <c r="E299" s="3" t="inlineStr">
        <is>
          <t>Greater Accra</t>
        </is>
      </c>
      <c r="F299" s="3" t="inlineStr">
        <is>
          <t>Phone/WhatsApp</t>
        </is>
      </c>
      <c r="G299" s="3" t="inlineStr">
        <is>
          <t>Returning</t>
        </is>
      </c>
      <c r="H299" s="3" t="n">
        <v>5</v>
      </c>
      <c r="I299" s="3" t="n">
        <v>160</v>
      </c>
      <c r="J299" s="3" t="n">
        <v>92.69</v>
      </c>
      <c r="K299" s="3" t="n">
        <v>0.1</v>
      </c>
      <c r="L299" s="3" t="n">
        <v>25.86</v>
      </c>
    </row>
    <row r="300">
      <c r="A300" s="3" t="inlineStr">
        <is>
          <t>ORD-10299</t>
        </is>
      </c>
      <c r="B300" s="6" t="n">
        <v>45864</v>
      </c>
      <c r="C300" s="3" t="inlineStr">
        <is>
          <t>Home &amp; Lifestyle</t>
        </is>
      </c>
      <c r="D300" s="3" t="inlineStr">
        <is>
          <t>Travel Mugs</t>
        </is>
      </c>
      <c r="E300" s="3" t="inlineStr">
        <is>
          <t>Greater Accra</t>
        </is>
      </c>
      <c r="F300" s="3" t="inlineStr">
        <is>
          <t>Online</t>
        </is>
      </c>
      <c r="G300" s="3" t="inlineStr">
        <is>
          <t>Returning</t>
        </is>
      </c>
      <c r="H300" s="3" t="n">
        <v>1</v>
      </c>
      <c r="I300" s="3" t="n">
        <v>85</v>
      </c>
      <c r="J300" s="3" t="n">
        <v>45.17</v>
      </c>
      <c r="K300" s="3" t="n">
        <v>0.2</v>
      </c>
      <c r="L300" s="3" t="n">
        <v>39.64</v>
      </c>
    </row>
    <row r="301">
      <c r="A301" s="3" t="inlineStr">
        <is>
          <t>ORD-10300</t>
        </is>
      </c>
      <c r="B301" s="6" t="n">
        <v>45682</v>
      </c>
      <c r="C301" s="3" t="inlineStr">
        <is>
          <t>Footwear</t>
        </is>
      </c>
      <c r="D301" s="3" t="inlineStr">
        <is>
          <t>Sneakers</t>
        </is>
      </c>
      <c r="E301" s="3" t="inlineStr">
        <is>
          <t>Ashanti</t>
        </is>
      </c>
      <c r="F301" s="3" t="inlineStr">
        <is>
          <t>Retail Shop</t>
        </is>
      </c>
      <c r="G301" s="3" t="inlineStr">
        <is>
          <t>Returning</t>
        </is>
      </c>
      <c r="H301" s="3" t="n">
        <v>2</v>
      </c>
      <c r="I301" s="3" t="n">
        <v>205</v>
      </c>
      <c r="J301" s="3" t="n">
        <v>124.29</v>
      </c>
      <c r="K301" s="3" t="n">
        <v>0</v>
      </c>
      <c r="L301" s="3" t="n">
        <v>5.7</v>
      </c>
    </row>
    <row r="302">
      <c r="A302" s="3" t="inlineStr">
        <is>
          <t>ORD-10301</t>
        </is>
      </c>
      <c r="B302" s="6" t="n">
        <v>45903</v>
      </c>
      <c r="C302" s="3" t="inlineStr">
        <is>
          <t>Clothing</t>
        </is>
      </c>
      <c r="D302" s="3" t="inlineStr">
        <is>
          <t>Dresses</t>
        </is>
      </c>
      <c r="E302" s="3" t="inlineStr">
        <is>
          <t>Greater Accra</t>
        </is>
      </c>
      <c r="F302" s="3" t="inlineStr">
        <is>
          <t>Online</t>
        </is>
      </c>
      <c r="G302" s="3" t="inlineStr">
        <is>
          <t>Returning</t>
        </is>
      </c>
      <c r="H302" s="3" t="n">
        <v>8</v>
      </c>
      <c r="I302" s="3" t="n">
        <v>100</v>
      </c>
      <c r="J302" s="3" t="n">
        <v>50.64</v>
      </c>
      <c r="K302" s="3" t="n">
        <v>0.15</v>
      </c>
      <c r="L302" s="3" t="n">
        <v>33.23</v>
      </c>
    </row>
    <row r="303">
      <c r="A303" s="3" t="inlineStr">
        <is>
          <t>ORD-10302</t>
        </is>
      </c>
      <c r="B303" s="6" t="n">
        <v>45921</v>
      </c>
      <c r="C303" s="3" t="inlineStr">
        <is>
          <t>Clothing</t>
        </is>
      </c>
      <c r="D303" s="3" t="inlineStr">
        <is>
          <t>Jackets</t>
        </is>
      </c>
      <c r="E303" s="3" t="inlineStr">
        <is>
          <t>Greater Accra</t>
        </is>
      </c>
      <c r="F303" s="3" t="inlineStr">
        <is>
          <t>Retail Shop</t>
        </is>
      </c>
      <c r="G303" s="3" t="inlineStr">
        <is>
          <t>New</t>
        </is>
      </c>
      <c r="H303" s="3" t="n">
        <v>1</v>
      </c>
      <c r="I303" s="3" t="n">
        <v>90</v>
      </c>
      <c r="J303" s="3" t="n">
        <v>45.52</v>
      </c>
      <c r="K303" s="3" t="n">
        <v>0.2</v>
      </c>
      <c r="L303" s="3" t="n">
        <v>7.61</v>
      </c>
    </row>
    <row r="304">
      <c r="A304" s="3" t="inlineStr">
        <is>
          <t>ORD-10303</t>
        </is>
      </c>
      <c r="B304" s="6" t="n">
        <v>45743</v>
      </c>
      <c r="C304" s="3" t="inlineStr">
        <is>
          <t>Clothing</t>
        </is>
      </c>
      <c r="D304" s="3" t="inlineStr">
        <is>
          <t>Shirts</t>
        </is>
      </c>
      <c r="E304" s="3" t="inlineStr">
        <is>
          <t>Western</t>
        </is>
      </c>
      <c r="F304" s="3" t="inlineStr">
        <is>
          <t>Retail Shop</t>
        </is>
      </c>
      <c r="G304" s="3" t="inlineStr">
        <is>
          <t>New</t>
        </is>
      </c>
      <c r="H304" s="3" t="n">
        <v>1</v>
      </c>
      <c r="I304" s="3" t="n">
        <v>180</v>
      </c>
      <c r="J304" s="3" t="n">
        <v>104.67</v>
      </c>
      <c r="K304" s="3" t="n">
        <v>0.05</v>
      </c>
      <c r="L304" s="3" t="n">
        <v>5.06</v>
      </c>
    </row>
    <row r="305">
      <c r="A305" s="3" t="inlineStr">
        <is>
          <t>ORD-10304</t>
        </is>
      </c>
      <c r="B305" s="6" t="n">
        <v>46017</v>
      </c>
      <c r="C305" s="3" t="inlineStr">
        <is>
          <t>Footwear</t>
        </is>
      </c>
      <c r="D305" s="3" t="inlineStr">
        <is>
          <t>Formal Shoes</t>
        </is>
      </c>
      <c r="E305" s="3" t="inlineStr">
        <is>
          <t>Greater Accra</t>
        </is>
      </c>
      <c r="F305" s="3" t="inlineStr">
        <is>
          <t>Online</t>
        </is>
      </c>
      <c r="G305" s="3" t="inlineStr">
        <is>
          <t>Returning</t>
        </is>
      </c>
      <c r="H305" s="3" t="n">
        <v>2</v>
      </c>
      <c r="I305" s="3" t="n">
        <v>280</v>
      </c>
      <c r="J305" s="3" t="n">
        <v>151.55</v>
      </c>
      <c r="K305" s="3" t="n">
        <v>0</v>
      </c>
      <c r="L305" s="3" t="n">
        <v>37.64</v>
      </c>
    </row>
    <row r="306">
      <c r="A306" s="3" t="inlineStr">
        <is>
          <t>ORD-10305</t>
        </is>
      </c>
      <c r="B306" s="6" t="n">
        <v>45748</v>
      </c>
      <c r="C306" s="3" t="inlineStr">
        <is>
          <t>Footwear</t>
        </is>
      </c>
      <c r="D306" s="3" t="inlineStr">
        <is>
          <t>Sneakers</t>
        </is>
      </c>
      <c r="E306" s="3" t="inlineStr">
        <is>
          <t>Western</t>
        </is>
      </c>
      <c r="F306" s="3" t="inlineStr">
        <is>
          <t>Retail Shop</t>
        </is>
      </c>
      <c r="G306" s="3" t="inlineStr">
        <is>
          <t>Returning</t>
        </is>
      </c>
      <c r="H306" s="3" t="n">
        <v>5</v>
      </c>
      <c r="I306" s="3" t="n">
        <v>415</v>
      </c>
      <c r="J306" s="3" t="n">
        <v>213.54</v>
      </c>
      <c r="K306" s="3" t="n">
        <v>0.1</v>
      </c>
      <c r="L306" s="3" t="n">
        <v>6.64</v>
      </c>
    </row>
    <row r="307">
      <c r="A307" s="3" t="inlineStr">
        <is>
          <t>ORD-10306</t>
        </is>
      </c>
      <c r="B307" s="6" t="n">
        <v>45916</v>
      </c>
      <c r="C307" s="3" t="inlineStr">
        <is>
          <t>Clothing</t>
        </is>
      </c>
      <c r="D307" s="3" t="inlineStr">
        <is>
          <t>Shirts</t>
        </is>
      </c>
      <c r="E307" s="3" t="inlineStr">
        <is>
          <t>Ashanti</t>
        </is>
      </c>
      <c r="F307" s="3" t="inlineStr">
        <is>
          <t>Phone/WhatsApp</t>
        </is>
      </c>
      <c r="G307" s="3" t="inlineStr">
        <is>
          <t>Returning</t>
        </is>
      </c>
      <c r="H307" s="3" t="n">
        <v>1</v>
      </c>
      <c r="I307" s="3" t="n">
        <v>255</v>
      </c>
      <c r="J307" s="3" t="n">
        <v>117.22</v>
      </c>
      <c r="K307" s="3" t="n">
        <v>0.05</v>
      </c>
      <c r="L307" s="3" t="n">
        <v>40.46</v>
      </c>
    </row>
    <row r="308">
      <c r="A308" s="3" t="inlineStr">
        <is>
          <t>ORD-10307</t>
        </is>
      </c>
      <c r="B308" s="6" t="n">
        <v>45836</v>
      </c>
      <c r="C308" s="3" t="inlineStr">
        <is>
          <t>Clothing</t>
        </is>
      </c>
      <c r="D308" s="3" t="inlineStr">
        <is>
          <t>Shirts</t>
        </is>
      </c>
      <c r="E308" s="3" t="inlineStr">
        <is>
          <t>Western</t>
        </is>
      </c>
      <c r="F308" s="3" t="inlineStr">
        <is>
          <t>Retail Shop</t>
        </is>
      </c>
      <c r="G308" s="3" t="inlineStr">
        <is>
          <t>New</t>
        </is>
      </c>
      <c r="H308" s="3" t="n">
        <v>4</v>
      </c>
      <c r="I308" s="3" t="n">
        <v>160</v>
      </c>
      <c r="J308" s="3" t="n">
        <v>74.04000000000001</v>
      </c>
      <c r="K308" s="3" t="n">
        <v>0.05</v>
      </c>
      <c r="L308" s="3" t="n">
        <v>10.87</v>
      </c>
    </row>
    <row r="309">
      <c r="A309" s="3" t="inlineStr">
        <is>
          <t>ORD-10308</t>
        </is>
      </c>
      <c r="B309" s="6" t="n">
        <v>45933</v>
      </c>
      <c r="C309" s="3" t="inlineStr">
        <is>
          <t>Clothing</t>
        </is>
      </c>
      <c r="D309" s="3" t="inlineStr">
        <is>
          <t>Shirts</t>
        </is>
      </c>
      <c r="E309" s="3" t="inlineStr">
        <is>
          <t>Greater Accra</t>
        </is>
      </c>
      <c r="F309" s="3" t="inlineStr">
        <is>
          <t>Online</t>
        </is>
      </c>
      <c r="G309" s="3" t="inlineStr">
        <is>
          <t>Returning</t>
        </is>
      </c>
      <c r="H309" s="3" t="n">
        <v>1</v>
      </c>
      <c r="I309" s="3" t="n">
        <v>125</v>
      </c>
      <c r="J309" s="3" t="n">
        <v>62.81</v>
      </c>
      <c r="K309" s="3" t="n">
        <v>0</v>
      </c>
      <c r="L309" s="3" t="n">
        <v>9.92</v>
      </c>
    </row>
    <row r="310">
      <c r="A310" s="3" t="inlineStr">
        <is>
          <t>ORD-10309</t>
        </is>
      </c>
      <c r="B310" s="6" t="n">
        <v>45751</v>
      </c>
      <c r="C310" s="3" t="inlineStr">
        <is>
          <t>Clothing</t>
        </is>
      </c>
      <c r="D310" s="3" t="inlineStr">
        <is>
          <t>Jackets</t>
        </is>
      </c>
      <c r="E310" s="3" t="inlineStr">
        <is>
          <t>Greater Accra</t>
        </is>
      </c>
      <c r="F310" s="3" t="inlineStr">
        <is>
          <t>Online</t>
        </is>
      </c>
      <c r="G310" s="3" t="inlineStr">
        <is>
          <t>New</t>
        </is>
      </c>
      <c r="H310" s="3" t="n">
        <v>1</v>
      </c>
      <c r="I310" s="3" t="n">
        <v>190</v>
      </c>
      <c r="J310" s="3" t="n">
        <v>91.25</v>
      </c>
      <c r="K310" s="3" t="n">
        <v>0</v>
      </c>
      <c r="L310" s="3" t="n">
        <v>24</v>
      </c>
    </row>
    <row r="311">
      <c r="A311" s="3" t="inlineStr">
        <is>
          <t>ORD-10310</t>
        </is>
      </c>
      <c r="B311" s="6" t="n">
        <v>45819</v>
      </c>
      <c r="C311" s="3" t="inlineStr">
        <is>
          <t>Clothing</t>
        </is>
      </c>
      <c r="D311" s="3" t="inlineStr">
        <is>
          <t>Jackets</t>
        </is>
      </c>
      <c r="E311" s="3" t="inlineStr">
        <is>
          <t>Ashanti</t>
        </is>
      </c>
      <c r="F311" s="3" t="inlineStr">
        <is>
          <t>Retail Shop</t>
        </is>
      </c>
      <c r="G311" s="3" t="inlineStr">
        <is>
          <t>Returning</t>
        </is>
      </c>
      <c r="H311" s="3" t="n">
        <v>3</v>
      </c>
      <c r="I311" s="3" t="n">
        <v>215</v>
      </c>
      <c r="J311" s="3" t="n">
        <v>118.02</v>
      </c>
      <c r="K311" s="3" t="n">
        <v>0.1</v>
      </c>
      <c r="L311" s="3" t="n">
        <v>7.56</v>
      </c>
    </row>
    <row r="312">
      <c r="A312" s="3" t="inlineStr">
        <is>
          <t>ORD-10311</t>
        </is>
      </c>
      <c r="B312" s="6" t="n">
        <v>45695</v>
      </c>
      <c r="C312" s="3" t="inlineStr">
        <is>
          <t>Footwear</t>
        </is>
      </c>
      <c r="D312" s="3" t="inlineStr">
        <is>
          <t>Boots</t>
        </is>
      </c>
      <c r="E312" s="3" t="inlineStr">
        <is>
          <t>Greater Accra</t>
        </is>
      </c>
      <c r="F312" s="3" t="inlineStr">
        <is>
          <t>Retail Shop</t>
        </is>
      </c>
      <c r="G312" s="3" t="inlineStr">
        <is>
          <t>Returning</t>
        </is>
      </c>
      <c r="H312" s="3" t="n">
        <v>5</v>
      </c>
      <c r="I312" s="3" t="n">
        <v>275</v>
      </c>
      <c r="J312" s="3" t="n">
        <v>145.03</v>
      </c>
      <c r="K312" s="3" t="n">
        <v>0</v>
      </c>
      <c r="L312" s="3" t="n">
        <v>3.7</v>
      </c>
    </row>
    <row r="313">
      <c r="A313" s="3" t="inlineStr">
        <is>
          <t>ORD-10312</t>
        </is>
      </c>
      <c r="B313" s="6" t="n">
        <v>45840</v>
      </c>
      <c r="C313" s="3" t="inlineStr">
        <is>
          <t>Clothing</t>
        </is>
      </c>
      <c r="D313" s="3" t="inlineStr">
        <is>
          <t>Shirts</t>
        </is>
      </c>
      <c r="E313" s="3" t="inlineStr">
        <is>
          <t>Ashanti</t>
        </is>
      </c>
      <c r="F313" s="3" t="inlineStr">
        <is>
          <t>Phone/WhatsApp</t>
        </is>
      </c>
      <c r="G313" s="3" t="inlineStr">
        <is>
          <t>Returning</t>
        </is>
      </c>
      <c r="H313" s="3" t="n">
        <v>5</v>
      </c>
      <c r="I313" s="3" t="n">
        <v>215</v>
      </c>
      <c r="J313" s="3" t="n">
        <v>122.8</v>
      </c>
      <c r="K313" s="3" t="n">
        <v>0.15</v>
      </c>
      <c r="L313" s="3" t="n">
        <v>19.2</v>
      </c>
    </row>
    <row r="314">
      <c r="A314" s="3" t="inlineStr">
        <is>
          <t>ORD-10313</t>
        </is>
      </c>
      <c r="B314" s="6" t="n">
        <v>45690</v>
      </c>
      <c r="C314" s="3" t="inlineStr">
        <is>
          <t>Home &amp; Lifestyle</t>
        </is>
      </c>
      <c r="D314" s="3" t="inlineStr">
        <is>
          <t>Travel Mugs</t>
        </is>
      </c>
      <c r="E314" s="3" t="inlineStr">
        <is>
          <t>Greater Accra</t>
        </is>
      </c>
      <c r="F314" s="3" t="inlineStr">
        <is>
          <t>Phone/WhatsApp</t>
        </is>
      </c>
      <c r="G314" s="3" t="inlineStr">
        <is>
          <t>New</t>
        </is>
      </c>
      <c r="H314" s="3" t="n">
        <v>1</v>
      </c>
      <c r="I314" s="3" t="n">
        <v>80</v>
      </c>
      <c r="J314" s="3" t="n">
        <v>40.03</v>
      </c>
      <c r="K314" s="3" t="n">
        <v>0</v>
      </c>
      <c r="L314" s="3" t="n">
        <v>9.630000000000001</v>
      </c>
    </row>
    <row r="315">
      <c r="A315" s="3" t="inlineStr">
        <is>
          <t>ORD-10314</t>
        </is>
      </c>
      <c r="B315" s="6" t="n">
        <v>45768</v>
      </c>
      <c r="C315" s="3" t="inlineStr">
        <is>
          <t>Home &amp; Lifestyle</t>
        </is>
      </c>
      <c r="D315" s="3" t="inlineStr">
        <is>
          <t>Backpacks</t>
        </is>
      </c>
      <c r="E315" s="3" t="inlineStr">
        <is>
          <t>Greater Accra</t>
        </is>
      </c>
      <c r="F315" s="3" t="inlineStr">
        <is>
          <t>Phone/WhatsApp</t>
        </is>
      </c>
      <c r="G315" s="3" t="inlineStr">
        <is>
          <t>New</t>
        </is>
      </c>
      <c r="H315" s="3" t="n">
        <v>1</v>
      </c>
      <c r="I315" s="3" t="n">
        <v>180</v>
      </c>
      <c r="J315" s="3" t="n">
        <v>101.79</v>
      </c>
      <c r="K315" s="3" t="n">
        <v>0.05</v>
      </c>
      <c r="L315" s="3" t="n">
        <v>39.38</v>
      </c>
    </row>
    <row r="316">
      <c r="A316" s="3" t="inlineStr">
        <is>
          <t>ORD-10315</t>
        </is>
      </c>
      <c r="B316" s="6" t="n">
        <v>45820</v>
      </c>
      <c r="C316" s="3" t="inlineStr">
        <is>
          <t>Footwear</t>
        </is>
      </c>
      <c r="D316" s="3" t="inlineStr">
        <is>
          <t>Boots</t>
        </is>
      </c>
      <c r="E316" s="3" t="inlineStr">
        <is>
          <t>Western</t>
        </is>
      </c>
      <c r="F316" s="3" t="inlineStr">
        <is>
          <t>Online</t>
        </is>
      </c>
      <c r="G316" s="3" t="inlineStr">
        <is>
          <t>Returning</t>
        </is>
      </c>
      <c r="H316" s="3" t="n">
        <v>3</v>
      </c>
      <c r="I316" s="3" t="n">
        <v>230</v>
      </c>
      <c r="J316" s="3" t="n">
        <v>125.02</v>
      </c>
      <c r="K316" s="3" t="n">
        <v>0.05</v>
      </c>
      <c r="L316" s="3" t="n">
        <v>16.98</v>
      </c>
    </row>
    <row r="317">
      <c r="A317" s="3" t="inlineStr">
        <is>
          <t>ORD-10316</t>
        </is>
      </c>
      <c r="B317" s="6" t="n">
        <v>45777</v>
      </c>
      <c r="C317" s="3" t="inlineStr">
        <is>
          <t>Footwear</t>
        </is>
      </c>
      <c r="D317" s="3" t="inlineStr">
        <is>
          <t>Boots</t>
        </is>
      </c>
      <c r="E317" s="3" t="inlineStr">
        <is>
          <t>Western</t>
        </is>
      </c>
      <c r="F317" s="3" t="inlineStr">
        <is>
          <t>Retail Shop</t>
        </is>
      </c>
      <c r="G317" s="3" t="inlineStr">
        <is>
          <t>New</t>
        </is>
      </c>
      <c r="H317" s="3" t="n">
        <v>1</v>
      </c>
      <c r="I317" s="3" t="n">
        <v>375</v>
      </c>
      <c r="J317" s="3" t="n">
        <v>208.2</v>
      </c>
      <c r="K317" s="3" t="n">
        <v>0</v>
      </c>
      <c r="L317" s="3" t="n">
        <v>0.1</v>
      </c>
    </row>
    <row r="318">
      <c r="A318" s="3" t="inlineStr">
        <is>
          <t>ORD-10317</t>
        </is>
      </c>
      <c r="B318" s="6" t="n">
        <v>45759</v>
      </c>
      <c r="C318" s="3" t="inlineStr">
        <is>
          <t>Clothing</t>
        </is>
      </c>
      <c r="D318" s="3" t="inlineStr">
        <is>
          <t>Dresses</t>
        </is>
      </c>
      <c r="E318" s="3" t="inlineStr">
        <is>
          <t>Greater Accra</t>
        </is>
      </c>
      <c r="F318" s="3" t="inlineStr">
        <is>
          <t>Retail Shop</t>
        </is>
      </c>
      <c r="G318" s="3" t="inlineStr">
        <is>
          <t>Returning</t>
        </is>
      </c>
      <c r="H318" s="3" t="n">
        <v>4</v>
      </c>
      <c r="I318" s="3" t="n">
        <v>235</v>
      </c>
      <c r="J318" s="3" t="n">
        <v>131.79</v>
      </c>
      <c r="K318" s="3" t="n">
        <v>0.15</v>
      </c>
      <c r="L318" s="3" t="n">
        <v>3.16</v>
      </c>
    </row>
    <row r="319">
      <c r="A319" s="3" t="inlineStr">
        <is>
          <t>ORD-10318</t>
        </is>
      </c>
      <c r="B319" s="6" t="n">
        <v>45931</v>
      </c>
      <c r="C319" s="3" t="inlineStr">
        <is>
          <t>Clothing</t>
        </is>
      </c>
      <c r="D319" s="3" t="inlineStr">
        <is>
          <t>Dresses</t>
        </is>
      </c>
      <c r="E319" s="3" t="inlineStr">
        <is>
          <t>Western</t>
        </is>
      </c>
      <c r="F319" s="3" t="inlineStr">
        <is>
          <t>Phone/WhatsApp</t>
        </is>
      </c>
      <c r="G319" s="3" t="inlineStr">
        <is>
          <t>Returning</t>
        </is>
      </c>
      <c r="H319" s="3" t="n">
        <v>1</v>
      </c>
      <c r="I319" s="3" t="n">
        <v>110</v>
      </c>
      <c r="J319" s="3" t="n">
        <v>60.87</v>
      </c>
      <c r="K319" s="3" t="n">
        <v>0.05</v>
      </c>
      <c r="L319" s="3" t="n">
        <v>30.57</v>
      </c>
    </row>
    <row r="320">
      <c r="A320" s="3" t="inlineStr">
        <is>
          <t>ORD-10319</t>
        </is>
      </c>
      <c r="B320" s="6" t="n">
        <v>45925</v>
      </c>
      <c r="C320" s="3" t="inlineStr">
        <is>
          <t>Clothing</t>
        </is>
      </c>
      <c r="D320" s="3" t="inlineStr">
        <is>
          <t>Shirts</t>
        </is>
      </c>
      <c r="E320" s="3" t="inlineStr">
        <is>
          <t>Ashanti</t>
        </is>
      </c>
      <c r="F320" s="3" t="inlineStr">
        <is>
          <t>Phone/WhatsApp</t>
        </is>
      </c>
      <c r="G320" s="3" t="inlineStr">
        <is>
          <t>New</t>
        </is>
      </c>
      <c r="H320" s="3" t="n">
        <v>3</v>
      </c>
      <c r="I320" s="3" t="n">
        <v>105</v>
      </c>
      <c r="J320" s="3" t="n">
        <v>59.19</v>
      </c>
      <c r="K320" s="3" t="n">
        <v>0.05</v>
      </c>
      <c r="L320" s="3" t="n">
        <v>42.45</v>
      </c>
    </row>
    <row r="321">
      <c r="A321" s="3" t="inlineStr">
        <is>
          <t>ORD-10320</t>
        </is>
      </c>
      <c r="B321" s="6" t="n">
        <v>45777</v>
      </c>
      <c r="C321" s="3" t="inlineStr">
        <is>
          <t>Clothing</t>
        </is>
      </c>
      <c r="D321" s="3" t="inlineStr">
        <is>
          <t>Shirts</t>
        </is>
      </c>
      <c r="E321" s="3" t="inlineStr">
        <is>
          <t>Greater Accra</t>
        </is>
      </c>
      <c r="F321" s="3" t="inlineStr">
        <is>
          <t>Phone/WhatsApp</t>
        </is>
      </c>
      <c r="G321" s="3" t="inlineStr">
        <is>
          <t>New</t>
        </is>
      </c>
      <c r="H321" s="3" t="n">
        <v>1</v>
      </c>
      <c r="I321" s="3" t="n">
        <v>225</v>
      </c>
      <c r="J321" s="3" t="n">
        <v>122.23</v>
      </c>
      <c r="K321" s="3" t="n">
        <v>0.15</v>
      </c>
      <c r="L321" s="3" t="n">
        <v>31.26</v>
      </c>
    </row>
    <row r="322">
      <c r="A322" s="3" t="inlineStr">
        <is>
          <t>ORD-10321</t>
        </is>
      </c>
      <c r="B322" s="6" t="n">
        <v>45979</v>
      </c>
      <c r="C322" s="3" t="inlineStr">
        <is>
          <t>Accessories</t>
        </is>
      </c>
      <c r="D322" s="3" t="inlineStr">
        <is>
          <t>Belts</t>
        </is>
      </c>
      <c r="E322" s="3" t="inlineStr">
        <is>
          <t>Greater Accra</t>
        </is>
      </c>
      <c r="F322" s="3" t="inlineStr">
        <is>
          <t>Online</t>
        </is>
      </c>
      <c r="G322" s="3" t="inlineStr">
        <is>
          <t>New</t>
        </is>
      </c>
      <c r="H322" s="3" t="n">
        <v>9</v>
      </c>
      <c r="I322" s="3" t="n">
        <v>100</v>
      </c>
      <c r="J322" s="3" t="n">
        <v>50.82</v>
      </c>
      <c r="K322" s="3" t="n">
        <v>0</v>
      </c>
      <c r="L322" s="3" t="n">
        <v>21.91</v>
      </c>
    </row>
    <row r="323">
      <c r="A323" s="3" t="inlineStr">
        <is>
          <t>ORD-10322</t>
        </is>
      </c>
      <c r="B323" s="6" t="n">
        <v>45971</v>
      </c>
      <c r="C323" s="3" t="inlineStr">
        <is>
          <t>Clothing</t>
        </is>
      </c>
      <c r="D323" s="3" t="inlineStr">
        <is>
          <t>Jackets</t>
        </is>
      </c>
      <c r="E323" s="3" t="inlineStr">
        <is>
          <t>Greater Accra</t>
        </is>
      </c>
      <c r="F323" s="3" t="inlineStr">
        <is>
          <t>Retail Shop</t>
        </is>
      </c>
      <c r="G323" s="3" t="inlineStr">
        <is>
          <t>New</t>
        </is>
      </c>
      <c r="H323" s="3" t="n">
        <v>3</v>
      </c>
      <c r="I323" s="3" t="n">
        <v>150</v>
      </c>
      <c r="J323" s="3" t="n">
        <v>73.63</v>
      </c>
      <c r="K323" s="3" t="n">
        <v>0.15</v>
      </c>
      <c r="L323" s="3" t="n">
        <v>8.93</v>
      </c>
    </row>
    <row r="324">
      <c r="A324" s="3" t="inlineStr">
        <is>
          <t>ORD-10323</t>
        </is>
      </c>
      <c r="B324" s="6" t="n">
        <v>45761</v>
      </c>
      <c r="C324" s="3" t="inlineStr">
        <is>
          <t>Clothing</t>
        </is>
      </c>
      <c r="D324" s="3" t="inlineStr">
        <is>
          <t>Jackets</t>
        </is>
      </c>
      <c r="E324" s="3" t="inlineStr">
        <is>
          <t>Western</t>
        </is>
      </c>
      <c r="F324" s="3" t="inlineStr">
        <is>
          <t>Online</t>
        </is>
      </c>
      <c r="G324" s="3" t="inlineStr">
        <is>
          <t>Returning</t>
        </is>
      </c>
      <c r="H324" s="3" t="n">
        <v>1</v>
      </c>
      <c r="I324" s="3" t="n">
        <v>85</v>
      </c>
      <c r="J324" s="3" t="n">
        <v>41.57</v>
      </c>
      <c r="K324" s="3" t="n">
        <v>0</v>
      </c>
      <c r="L324" s="3" t="n">
        <v>14.05</v>
      </c>
    </row>
    <row r="325">
      <c r="A325" s="3" t="inlineStr">
        <is>
          <t>ORD-10324</t>
        </is>
      </c>
      <c r="B325" s="6" t="n">
        <v>45936</v>
      </c>
      <c r="C325" s="3" t="inlineStr">
        <is>
          <t>Footwear</t>
        </is>
      </c>
      <c r="D325" s="3" t="inlineStr">
        <is>
          <t>Formal Shoes</t>
        </is>
      </c>
      <c r="E325" s="3" t="inlineStr">
        <is>
          <t>Western</t>
        </is>
      </c>
      <c r="F325" s="3" t="inlineStr">
        <is>
          <t>Online</t>
        </is>
      </c>
      <c r="G325" s="3" t="inlineStr">
        <is>
          <t>Returning</t>
        </is>
      </c>
      <c r="H325" s="3" t="n">
        <v>8</v>
      </c>
      <c r="I325" s="3" t="n">
        <v>250</v>
      </c>
      <c r="J325" s="3" t="n">
        <v>144.1</v>
      </c>
      <c r="K325" s="3" t="n">
        <v>0</v>
      </c>
      <c r="L325" s="3" t="n">
        <v>29.01</v>
      </c>
    </row>
    <row r="326">
      <c r="A326" s="3" t="inlineStr">
        <is>
          <t>ORD-10325</t>
        </is>
      </c>
      <c r="B326" s="6" t="n">
        <v>45948</v>
      </c>
      <c r="C326" s="3" t="inlineStr">
        <is>
          <t>Footwear</t>
        </is>
      </c>
      <c r="D326" s="3" t="inlineStr">
        <is>
          <t>Sandals</t>
        </is>
      </c>
      <c r="E326" s="3" t="inlineStr">
        <is>
          <t>Central</t>
        </is>
      </c>
      <c r="F326" s="3" t="inlineStr">
        <is>
          <t>Online</t>
        </is>
      </c>
      <c r="G326" s="3" t="inlineStr">
        <is>
          <t>New</t>
        </is>
      </c>
      <c r="H326" s="3" t="n">
        <v>4</v>
      </c>
      <c r="I326" s="3" t="n">
        <v>285</v>
      </c>
      <c r="J326" s="3" t="n">
        <v>151.64</v>
      </c>
      <c r="K326" s="3" t="n">
        <v>0.15</v>
      </c>
      <c r="L326" s="3" t="n">
        <v>18.55</v>
      </c>
    </row>
    <row r="327">
      <c r="A327" s="3" t="inlineStr">
        <is>
          <t>ORD-10326</t>
        </is>
      </c>
      <c r="B327" s="6" t="n">
        <v>45834</v>
      </c>
      <c r="C327" s="3" t="inlineStr">
        <is>
          <t>Clothing</t>
        </is>
      </c>
      <c r="D327" s="3" t="inlineStr">
        <is>
          <t>Shirts</t>
        </is>
      </c>
      <c r="E327" s="3" t="inlineStr">
        <is>
          <t>Ashanti</t>
        </is>
      </c>
      <c r="F327" s="3" t="inlineStr">
        <is>
          <t>Phone/WhatsApp</t>
        </is>
      </c>
      <c r="G327" s="3" t="inlineStr">
        <is>
          <t>Returning</t>
        </is>
      </c>
      <c r="H327" s="3" t="n">
        <v>1</v>
      </c>
      <c r="I327" s="3" t="n">
        <v>145</v>
      </c>
      <c r="J327" s="3" t="n">
        <v>71.01000000000001</v>
      </c>
      <c r="K327" s="3" t="n">
        <v>0.15</v>
      </c>
      <c r="L327" s="3" t="n">
        <v>18.26</v>
      </c>
    </row>
    <row r="328">
      <c r="A328" s="3" t="inlineStr">
        <is>
          <t>ORD-10327</t>
        </is>
      </c>
      <c r="B328" s="6" t="n">
        <v>46022</v>
      </c>
      <c r="C328" s="3" t="inlineStr">
        <is>
          <t>Footwear</t>
        </is>
      </c>
      <c r="D328" s="3" t="inlineStr">
        <is>
          <t>Boots</t>
        </is>
      </c>
      <c r="E328" s="3" t="inlineStr">
        <is>
          <t>Greater Accra</t>
        </is>
      </c>
      <c r="F328" s="3" t="inlineStr">
        <is>
          <t>Retail Shop</t>
        </is>
      </c>
      <c r="G328" s="3" t="inlineStr">
        <is>
          <t>Returning</t>
        </is>
      </c>
      <c r="H328" s="3" t="n">
        <v>1</v>
      </c>
      <c r="I328" s="3" t="n">
        <v>295</v>
      </c>
      <c r="J328" s="3" t="n">
        <v>160.47</v>
      </c>
      <c r="K328" s="3" t="n">
        <v>0.2</v>
      </c>
      <c r="L328" s="3" t="n">
        <v>4.53</v>
      </c>
    </row>
    <row r="329">
      <c r="A329" s="3" t="inlineStr">
        <is>
          <t>ORD-10328</t>
        </is>
      </c>
      <c r="B329" s="6" t="n">
        <v>45703</v>
      </c>
      <c r="C329" s="3" t="inlineStr">
        <is>
          <t>Footwear</t>
        </is>
      </c>
      <c r="D329" s="3" t="inlineStr">
        <is>
          <t>Sandals</t>
        </is>
      </c>
      <c r="E329" s="3" t="inlineStr">
        <is>
          <t>Greater Accra</t>
        </is>
      </c>
      <c r="F329" s="3" t="inlineStr">
        <is>
          <t>Retail Shop</t>
        </is>
      </c>
      <c r="G329" s="3" t="inlineStr">
        <is>
          <t>Returning</t>
        </is>
      </c>
      <c r="H329" s="3" t="n">
        <v>1</v>
      </c>
      <c r="I329" s="3" t="n">
        <v>250</v>
      </c>
      <c r="J329" s="3" t="n">
        <v>159.31</v>
      </c>
      <c r="K329" s="3" t="n">
        <v>0.15</v>
      </c>
      <c r="L329" s="3" t="n">
        <v>11.27</v>
      </c>
    </row>
    <row r="330">
      <c r="A330" s="3" t="inlineStr">
        <is>
          <t>ORD-10329</t>
        </is>
      </c>
      <c r="B330" s="6" t="n">
        <v>45840</v>
      </c>
      <c r="C330" s="3" t="inlineStr">
        <is>
          <t>Footwear</t>
        </is>
      </c>
      <c r="D330" s="3" t="inlineStr">
        <is>
          <t>Sneakers</t>
        </is>
      </c>
      <c r="E330" s="3" t="inlineStr">
        <is>
          <t>Western</t>
        </is>
      </c>
      <c r="F330" s="3" t="inlineStr">
        <is>
          <t>Phone/WhatsApp</t>
        </is>
      </c>
      <c r="G330" s="3" t="inlineStr">
        <is>
          <t>New</t>
        </is>
      </c>
      <c r="H330" s="3" t="n">
        <v>2</v>
      </c>
      <c r="I330" s="3" t="n">
        <v>360</v>
      </c>
      <c r="J330" s="3" t="n">
        <v>189.6</v>
      </c>
      <c r="K330" s="3" t="n">
        <v>0.1</v>
      </c>
      <c r="L330" s="3" t="n">
        <v>9.5</v>
      </c>
    </row>
    <row r="331">
      <c r="A331" s="3" t="inlineStr">
        <is>
          <t>ORD-10330</t>
        </is>
      </c>
      <c r="B331" s="6" t="n">
        <v>45976</v>
      </c>
      <c r="C331" s="3" t="inlineStr">
        <is>
          <t>Clothing</t>
        </is>
      </c>
      <c r="D331" s="3" t="inlineStr">
        <is>
          <t>Jackets</t>
        </is>
      </c>
      <c r="E331" s="3" t="inlineStr">
        <is>
          <t>Ashanti</t>
        </is>
      </c>
      <c r="F331" s="3" t="inlineStr">
        <is>
          <t>Phone/WhatsApp</t>
        </is>
      </c>
      <c r="G331" s="3" t="inlineStr">
        <is>
          <t>Returning</t>
        </is>
      </c>
      <c r="H331" s="3" t="n">
        <v>2</v>
      </c>
      <c r="I331" s="3" t="n">
        <v>160</v>
      </c>
      <c r="J331" s="3" t="n">
        <v>85.78</v>
      </c>
      <c r="K331" s="3" t="n">
        <v>0</v>
      </c>
      <c r="L331" s="3" t="n">
        <v>41.18</v>
      </c>
    </row>
    <row r="332">
      <c r="A332" s="3" t="inlineStr">
        <is>
          <t>ORD-10331</t>
        </is>
      </c>
      <c r="B332" s="6" t="n">
        <v>45873</v>
      </c>
      <c r="C332" s="3" t="inlineStr">
        <is>
          <t>Clothing</t>
        </is>
      </c>
      <c r="D332" s="3" t="inlineStr">
        <is>
          <t>Jackets</t>
        </is>
      </c>
      <c r="E332" s="3" t="inlineStr">
        <is>
          <t>Ashanti</t>
        </is>
      </c>
      <c r="F332" s="3" t="inlineStr">
        <is>
          <t>Retail Shop</t>
        </is>
      </c>
      <c r="G332" s="3" t="inlineStr">
        <is>
          <t>Returning</t>
        </is>
      </c>
      <c r="H332" s="3" t="n">
        <v>2</v>
      </c>
      <c r="I332" s="3" t="n">
        <v>145</v>
      </c>
      <c r="J332" s="3" t="n">
        <v>71.84999999999999</v>
      </c>
      <c r="K332" s="3" t="n">
        <v>0.05</v>
      </c>
      <c r="L332" s="3" t="n">
        <v>5.65</v>
      </c>
    </row>
    <row r="333">
      <c r="A333" s="3" t="inlineStr">
        <is>
          <t>ORD-10332</t>
        </is>
      </c>
      <c r="B333" s="6" t="n">
        <v>45743</v>
      </c>
      <c r="C333" s="3" t="inlineStr">
        <is>
          <t>Clothing</t>
        </is>
      </c>
      <c r="D333" s="3" t="inlineStr">
        <is>
          <t>Dresses</t>
        </is>
      </c>
      <c r="E333" s="3" t="inlineStr">
        <is>
          <t>Central</t>
        </is>
      </c>
      <c r="F333" s="3" t="inlineStr">
        <is>
          <t>Retail Shop</t>
        </is>
      </c>
      <c r="G333" s="3" t="inlineStr">
        <is>
          <t>Returning</t>
        </is>
      </c>
      <c r="H333" s="3" t="n">
        <v>3</v>
      </c>
      <c r="I333" s="3" t="n">
        <v>245</v>
      </c>
      <c r="J333" s="3" t="n">
        <v>118.24</v>
      </c>
      <c r="K333" s="3" t="n">
        <v>0</v>
      </c>
      <c r="L333" s="3" t="n">
        <v>8.93</v>
      </c>
    </row>
    <row r="334">
      <c r="A334" s="3" t="inlineStr">
        <is>
          <t>ORD-10333</t>
        </is>
      </c>
      <c r="B334" s="6" t="n">
        <v>45974</v>
      </c>
      <c r="C334" s="3" t="inlineStr">
        <is>
          <t>Footwear</t>
        </is>
      </c>
      <c r="D334" s="3" t="inlineStr">
        <is>
          <t>Boots</t>
        </is>
      </c>
      <c r="E334" s="3" t="inlineStr">
        <is>
          <t>Ashanti</t>
        </is>
      </c>
      <c r="F334" s="3" t="inlineStr">
        <is>
          <t>Retail Shop</t>
        </is>
      </c>
      <c r="G334" s="3" t="inlineStr">
        <is>
          <t>New</t>
        </is>
      </c>
      <c r="H334" s="3" t="n">
        <v>2</v>
      </c>
      <c r="I334" s="3" t="n">
        <v>290</v>
      </c>
      <c r="J334" s="3" t="n">
        <v>167.66</v>
      </c>
      <c r="K334" s="3" t="n">
        <v>0</v>
      </c>
      <c r="L334" s="3" t="n">
        <v>7.98</v>
      </c>
    </row>
    <row r="335">
      <c r="A335" s="3" t="inlineStr">
        <is>
          <t>ORD-10334</t>
        </is>
      </c>
      <c r="B335" s="6" t="n">
        <v>45662</v>
      </c>
      <c r="C335" s="3" t="inlineStr">
        <is>
          <t>Footwear</t>
        </is>
      </c>
      <c r="D335" s="3" t="inlineStr">
        <is>
          <t>Sneakers</t>
        </is>
      </c>
      <c r="E335" s="3" t="inlineStr">
        <is>
          <t>Greater Accra</t>
        </is>
      </c>
      <c r="F335" s="3" t="inlineStr">
        <is>
          <t>Phone/WhatsApp</t>
        </is>
      </c>
      <c r="G335" s="3" t="inlineStr">
        <is>
          <t>New</t>
        </is>
      </c>
      <c r="H335" s="3" t="n">
        <v>1</v>
      </c>
      <c r="I335" s="3" t="n">
        <v>215</v>
      </c>
      <c r="J335" s="3" t="n">
        <v>120.62</v>
      </c>
      <c r="K335" s="3" t="n">
        <v>0.15</v>
      </c>
      <c r="L335" s="3" t="n">
        <v>37.63</v>
      </c>
    </row>
    <row r="336">
      <c r="A336" s="3" t="inlineStr">
        <is>
          <t>ORD-10335</t>
        </is>
      </c>
      <c r="B336" s="6" t="n">
        <v>45808</v>
      </c>
      <c r="C336" s="3" t="inlineStr">
        <is>
          <t>Home &amp; Lifestyle</t>
        </is>
      </c>
      <c r="D336" s="3" t="inlineStr">
        <is>
          <t>Travel Mugs</t>
        </is>
      </c>
      <c r="E336" s="3" t="inlineStr">
        <is>
          <t>Northern</t>
        </is>
      </c>
      <c r="F336" s="3" t="inlineStr">
        <is>
          <t>Online</t>
        </is>
      </c>
      <c r="G336" s="3" t="inlineStr">
        <is>
          <t>Returning</t>
        </is>
      </c>
      <c r="H336" s="3" t="n">
        <v>3</v>
      </c>
      <c r="I336" s="3" t="n">
        <v>155</v>
      </c>
      <c r="J336" s="3" t="n">
        <v>88.42</v>
      </c>
      <c r="K336" s="3" t="n">
        <v>0.15</v>
      </c>
      <c r="L336" s="3" t="n">
        <v>24.42</v>
      </c>
    </row>
    <row r="337">
      <c r="A337" s="3" t="inlineStr">
        <is>
          <t>ORD-10336</t>
        </is>
      </c>
      <c r="B337" s="6" t="n">
        <v>45990</v>
      </c>
      <c r="C337" s="3" t="inlineStr">
        <is>
          <t>Clothing</t>
        </is>
      </c>
      <c r="D337" s="3" t="inlineStr">
        <is>
          <t>Shirts</t>
        </is>
      </c>
      <c r="E337" s="3" t="inlineStr">
        <is>
          <t>Northern</t>
        </is>
      </c>
      <c r="F337" s="3" t="inlineStr">
        <is>
          <t>Online</t>
        </is>
      </c>
      <c r="G337" s="3" t="inlineStr">
        <is>
          <t>Returning</t>
        </is>
      </c>
      <c r="H337" s="3" t="n">
        <v>1</v>
      </c>
      <c r="I337" s="3" t="n">
        <v>140</v>
      </c>
      <c r="J337" s="3" t="n">
        <v>76.84</v>
      </c>
      <c r="K337" s="3" t="n">
        <v>0</v>
      </c>
      <c r="L337" s="3" t="n">
        <v>13.98</v>
      </c>
    </row>
    <row r="338">
      <c r="A338" s="3" t="inlineStr">
        <is>
          <t>ORD-10337</t>
        </is>
      </c>
      <c r="B338" s="6" t="n">
        <v>45880</v>
      </c>
      <c r="C338" s="3" t="inlineStr">
        <is>
          <t>Clothing</t>
        </is>
      </c>
      <c r="D338" s="3" t="inlineStr">
        <is>
          <t>Trousers</t>
        </is>
      </c>
      <c r="E338" s="3" t="inlineStr">
        <is>
          <t>Greater Accra</t>
        </is>
      </c>
      <c r="F338" s="3" t="inlineStr">
        <is>
          <t>Phone/WhatsApp</t>
        </is>
      </c>
      <c r="G338" s="3" t="inlineStr">
        <is>
          <t>Returning</t>
        </is>
      </c>
      <c r="H338" s="3" t="n">
        <v>3</v>
      </c>
      <c r="I338" s="3" t="n">
        <v>170</v>
      </c>
      <c r="J338" s="3" t="n">
        <v>89.43000000000001</v>
      </c>
      <c r="K338" s="3" t="n">
        <v>0</v>
      </c>
      <c r="L338" s="3" t="n">
        <v>23.61</v>
      </c>
    </row>
    <row r="339">
      <c r="A339" s="3" t="inlineStr">
        <is>
          <t>ORD-10338</t>
        </is>
      </c>
      <c r="B339" s="6" t="n">
        <v>45799</v>
      </c>
      <c r="C339" s="3" t="inlineStr">
        <is>
          <t>Clothing</t>
        </is>
      </c>
      <c r="D339" s="3" t="inlineStr">
        <is>
          <t>Jackets</t>
        </is>
      </c>
      <c r="E339" s="3" t="inlineStr">
        <is>
          <t>Ashanti</t>
        </is>
      </c>
      <c r="F339" s="3" t="inlineStr">
        <is>
          <t>Phone/WhatsApp</t>
        </is>
      </c>
      <c r="G339" s="3" t="inlineStr">
        <is>
          <t>Returning</t>
        </is>
      </c>
      <c r="H339" s="3" t="n">
        <v>1</v>
      </c>
      <c r="I339" s="3" t="n">
        <v>120</v>
      </c>
      <c r="J339" s="3" t="n">
        <v>59.15</v>
      </c>
      <c r="K339" s="3" t="n">
        <v>0.15</v>
      </c>
      <c r="L339" s="3" t="n">
        <v>39.26</v>
      </c>
    </row>
    <row r="340">
      <c r="A340" s="3" t="inlineStr">
        <is>
          <t>ORD-10339</t>
        </is>
      </c>
      <c r="B340" s="6" t="n">
        <v>45744</v>
      </c>
      <c r="C340" s="3" t="inlineStr">
        <is>
          <t>Footwear</t>
        </is>
      </c>
      <c r="D340" s="3" t="inlineStr">
        <is>
          <t>Sandals</t>
        </is>
      </c>
      <c r="E340" s="3" t="inlineStr">
        <is>
          <t>Ashanti</t>
        </is>
      </c>
      <c r="F340" s="3" t="inlineStr">
        <is>
          <t>Online</t>
        </is>
      </c>
      <c r="G340" s="3" t="inlineStr">
        <is>
          <t>Returning</t>
        </is>
      </c>
      <c r="H340" s="3" t="n">
        <v>2</v>
      </c>
      <c r="I340" s="3" t="n">
        <v>455</v>
      </c>
      <c r="J340" s="3" t="n">
        <v>274.19</v>
      </c>
      <c r="K340" s="3" t="n">
        <v>0</v>
      </c>
      <c r="L340" s="3" t="n">
        <v>29.03</v>
      </c>
    </row>
    <row r="341">
      <c r="A341" s="3" t="inlineStr">
        <is>
          <t>ORD-10340</t>
        </is>
      </c>
      <c r="B341" s="6" t="n">
        <v>45914</v>
      </c>
      <c r="C341" s="3" t="inlineStr">
        <is>
          <t>Footwear</t>
        </is>
      </c>
      <c r="D341" s="3" t="inlineStr">
        <is>
          <t>Sandals</t>
        </is>
      </c>
      <c r="E341" s="3" t="inlineStr">
        <is>
          <t>Ashanti</t>
        </is>
      </c>
      <c r="F341" s="3" t="inlineStr">
        <is>
          <t>Phone/WhatsApp</t>
        </is>
      </c>
      <c r="G341" s="3" t="inlineStr">
        <is>
          <t>Returning</t>
        </is>
      </c>
      <c r="H341" s="3" t="n">
        <v>2</v>
      </c>
      <c r="I341" s="3" t="n">
        <v>180</v>
      </c>
      <c r="J341" s="3" t="n">
        <v>111.95</v>
      </c>
      <c r="K341" s="3" t="n">
        <v>0</v>
      </c>
      <c r="L341" s="3" t="n">
        <v>40.46</v>
      </c>
    </row>
    <row r="342">
      <c r="A342" s="3" t="inlineStr">
        <is>
          <t>ORD-10341</t>
        </is>
      </c>
      <c r="B342" s="6" t="n">
        <v>45917</v>
      </c>
      <c r="C342" s="3" t="inlineStr">
        <is>
          <t>Accessories</t>
        </is>
      </c>
      <c r="D342" s="3" t="inlineStr">
        <is>
          <t>Bags</t>
        </is>
      </c>
      <c r="E342" s="3" t="inlineStr">
        <is>
          <t>Greater Accra</t>
        </is>
      </c>
      <c r="F342" s="3" t="inlineStr">
        <is>
          <t>Retail Shop</t>
        </is>
      </c>
      <c r="G342" s="3" t="inlineStr">
        <is>
          <t>New</t>
        </is>
      </c>
      <c r="H342" s="3" t="n">
        <v>3</v>
      </c>
      <c r="I342" s="3" t="n">
        <v>90</v>
      </c>
      <c r="J342" s="3" t="n">
        <v>41.04</v>
      </c>
      <c r="K342" s="3" t="n">
        <v>0</v>
      </c>
      <c r="L342" s="3" t="n">
        <v>3.87</v>
      </c>
    </row>
    <row r="343">
      <c r="A343" s="3" t="inlineStr">
        <is>
          <t>ORD-10342</t>
        </is>
      </c>
      <c r="B343" s="6" t="n">
        <v>45662</v>
      </c>
      <c r="C343" s="3" t="inlineStr">
        <is>
          <t>Clothing</t>
        </is>
      </c>
      <c r="D343" s="3" t="inlineStr">
        <is>
          <t>Jackets</t>
        </is>
      </c>
      <c r="E343" s="3" t="inlineStr">
        <is>
          <t>Ashanti</t>
        </is>
      </c>
      <c r="F343" s="3" t="inlineStr">
        <is>
          <t>Online</t>
        </is>
      </c>
      <c r="G343" s="3" t="inlineStr">
        <is>
          <t>Returning</t>
        </is>
      </c>
      <c r="H343" s="3" t="n">
        <v>1</v>
      </c>
      <c r="I343" s="3" t="n">
        <v>310</v>
      </c>
      <c r="J343" s="3" t="n">
        <v>144.17</v>
      </c>
      <c r="K343" s="3" t="n">
        <v>0.05</v>
      </c>
      <c r="L343" s="3" t="n">
        <v>44.54</v>
      </c>
    </row>
    <row r="344">
      <c r="A344" s="3" t="inlineStr">
        <is>
          <t>ORD-10343</t>
        </is>
      </c>
      <c r="B344" s="6" t="n">
        <v>45758</v>
      </c>
      <c r="C344" s="3" t="inlineStr">
        <is>
          <t>Accessories</t>
        </is>
      </c>
      <c r="D344" s="3" t="inlineStr">
        <is>
          <t>Sunglasses</t>
        </is>
      </c>
      <c r="E344" s="3" t="inlineStr">
        <is>
          <t>Ashanti</t>
        </is>
      </c>
      <c r="F344" s="3" t="inlineStr">
        <is>
          <t>Online</t>
        </is>
      </c>
      <c r="G344" s="3" t="inlineStr">
        <is>
          <t>Returning</t>
        </is>
      </c>
      <c r="H344" s="3" t="n">
        <v>1</v>
      </c>
      <c r="I344" s="3" t="n">
        <v>105</v>
      </c>
      <c r="J344" s="3" t="n">
        <v>50.06</v>
      </c>
      <c r="K344" s="3" t="n">
        <v>0</v>
      </c>
      <c r="L344" s="3" t="n">
        <v>29.38</v>
      </c>
    </row>
    <row r="345">
      <c r="A345" s="3" t="inlineStr">
        <is>
          <t>ORD-10344</t>
        </is>
      </c>
      <c r="B345" s="6" t="n">
        <v>45661</v>
      </c>
      <c r="C345" s="3" t="inlineStr">
        <is>
          <t>Home &amp; Lifestyle</t>
        </is>
      </c>
      <c r="D345" s="3" t="inlineStr">
        <is>
          <t>Travel Mugs</t>
        </is>
      </c>
      <c r="E345" s="3" t="inlineStr">
        <is>
          <t>Northern</t>
        </is>
      </c>
      <c r="F345" s="3" t="inlineStr">
        <is>
          <t>Online</t>
        </is>
      </c>
      <c r="G345" s="3" t="inlineStr">
        <is>
          <t>Returning</t>
        </is>
      </c>
      <c r="H345" s="3" t="n">
        <v>3</v>
      </c>
      <c r="I345" s="3" t="n">
        <v>115</v>
      </c>
      <c r="J345" s="3" t="n">
        <v>61.89</v>
      </c>
      <c r="K345" s="3" t="n">
        <v>0</v>
      </c>
      <c r="L345" s="3" t="n">
        <v>20.81</v>
      </c>
    </row>
    <row r="346">
      <c r="A346" s="3" t="inlineStr">
        <is>
          <t>ORD-10345</t>
        </is>
      </c>
      <c r="B346" s="6" t="n">
        <v>45810</v>
      </c>
      <c r="C346" s="3" t="inlineStr">
        <is>
          <t>Accessories</t>
        </is>
      </c>
      <c r="D346" s="3" t="inlineStr">
        <is>
          <t>Watches</t>
        </is>
      </c>
      <c r="E346" s="3" t="inlineStr">
        <is>
          <t>Ashanti</t>
        </is>
      </c>
      <c r="F346" s="3" t="inlineStr">
        <is>
          <t>Retail Shop</t>
        </is>
      </c>
      <c r="G346" s="3" t="inlineStr">
        <is>
          <t>New</t>
        </is>
      </c>
      <c r="H346" s="3" t="n">
        <v>2</v>
      </c>
      <c r="I346" s="3" t="n">
        <v>135</v>
      </c>
      <c r="J346" s="3" t="n">
        <v>67.53</v>
      </c>
      <c r="K346" s="3" t="n">
        <v>0</v>
      </c>
      <c r="L346" s="3" t="n">
        <v>11.45</v>
      </c>
    </row>
    <row r="347">
      <c r="A347" s="3" t="inlineStr">
        <is>
          <t>ORD-10346</t>
        </is>
      </c>
      <c r="B347" s="6" t="n">
        <v>45978</v>
      </c>
      <c r="C347" s="3" t="inlineStr">
        <is>
          <t>Clothing</t>
        </is>
      </c>
      <c r="D347" s="3" t="inlineStr">
        <is>
          <t>Jackets</t>
        </is>
      </c>
      <c r="E347" s="3" t="inlineStr">
        <is>
          <t>Central</t>
        </is>
      </c>
      <c r="F347" s="3" t="inlineStr">
        <is>
          <t>Online</t>
        </is>
      </c>
      <c r="G347" s="3" t="inlineStr">
        <is>
          <t>Returning</t>
        </is>
      </c>
      <c r="H347" s="3" t="n">
        <v>2</v>
      </c>
      <c r="I347" s="3" t="n">
        <v>180</v>
      </c>
      <c r="J347" s="3" t="n">
        <v>95.86</v>
      </c>
      <c r="K347" s="3" t="n">
        <v>0</v>
      </c>
      <c r="L347" s="3" t="n">
        <v>15.7</v>
      </c>
    </row>
    <row r="348">
      <c r="A348" s="3" t="inlineStr">
        <is>
          <t>ORD-10347</t>
        </is>
      </c>
      <c r="B348" s="6" t="n">
        <v>45845</v>
      </c>
      <c r="C348" s="3" t="inlineStr">
        <is>
          <t>Clothing</t>
        </is>
      </c>
      <c r="D348" s="3" t="inlineStr">
        <is>
          <t>Dresses</t>
        </is>
      </c>
      <c r="E348" s="3" t="inlineStr">
        <is>
          <t>Western</t>
        </is>
      </c>
      <c r="F348" s="3" t="inlineStr">
        <is>
          <t>Retail Shop</t>
        </is>
      </c>
      <c r="G348" s="3" t="inlineStr">
        <is>
          <t>New</t>
        </is>
      </c>
      <c r="H348" s="3" t="n">
        <v>1</v>
      </c>
      <c r="I348" s="3" t="n">
        <v>180</v>
      </c>
      <c r="J348" s="3" t="n">
        <v>82.58</v>
      </c>
      <c r="K348" s="3" t="n">
        <v>0.05</v>
      </c>
      <c r="L348" s="3" t="n">
        <v>1.09</v>
      </c>
    </row>
    <row r="349">
      <c r="A349" s="3" t="inlineStr">
        <is>
          <t>ORD-10348</t>
        </is>
      </c>
      <c r="B349" s="6" t="n">
        <v>45925</v>
      </c>
      <c r="C349" s="3" t="inlineStr">
        <is>
          <t>Footwear</t>
        </is>
      </c>
      <c r="D349" s="3" t="inlineStr">
        <is>
          <t>Sneakers</t>
        </is>
      </c>
      <c r="E349" s="3" t="inlineStr">
        <is>
          <t>Western</t>
        </is>
      </c>
      <c r="F349" s="3" t="inlineStr">
        <is>
          <t>Phone/WhatsApp</t>
        </is>
      </c>
      <c r="G349" s="3" t="inlineStr">
        <is>
          <t>Returning</t>
        </is>
      </c>
      <c r="H349" s="3" t="n">
        <v>4</v>
      </c>
      <c r="I349" s="3" t="n">
        <v>200</v>
      </c>
      <c r="J349" s="3" t="n">
        <v>124.39</v>
      </c>
      <c r="K349" s="3" t="n">
        <v>0</v>
      </c>
      <c r="L349" s="3" t="n">
        <v>18.53</v>
      </c>
    </row>
    <row r="350">
      <c r="A350" s="3" t="inlineStr">
        <is>
          <t>ORD-10349</t>
        </is>
      </c>
      <c r="B350" s="6" t="n">
        <v>45737</v>
      </c>
      <c r="C350" s="3" t="inlineStr">
        <is>
          <t>Footwear</t>
        </is>
      </c>
      <c r="D350" s="3" t="inlineStr">
        <is>
          <t>Formal Shoes</t>
        </is>
      </c>
      <c r="E350" s="3" t="inlineStr">
        <is>
          <t>Greater Accra</t>
        </is>
      </c>
      <c r="F350" s="3" t="inlineStr">
        <is>
          <t>Online</t>
        </is>
      </c>
      <c r="G350" s="3" t="inlineStr">
        <is>
          <t>New</t>
        </is>
      </c>
      <c r="H350" s="3" t="n">
        <v>1</v>
      </c>
      <c r="I350" s="3" t="n">
        <v>510</v>
      </c>
      <c r="J350" s="3" t="n">
        <v>309.79</v>
      </c>
      <c r="K350" s="3" t="n">
        <v>0.05</v>
      </c>
      <c r="L350" s="3" t="n">
        <v>10.34</v>
      </c>
    </row>
    <row r="351">
      <c r="A351" s="3" t="inlineStr">
        <is>
          <t>ORD-10350</t>
        </is>
      </c>
      <c r="B351" s="6" t="n">
        <v>45879</v>
      </c>
      <c r="C351" s="3" t="inlineStr">
        <is>
          <t>Accessories</t>
        </is>
      </c>
      <c r="D351" s="3" t="inlineStr">
        <is>
          <t>Belts</t>
        </is>
      </c>
      <c r="E351" s="3" t="inlineStr">
        <is>
          <t>Ashanti</t>
        </is>
      </c>
      <c r="F351" s="3" t="inlineStr">
        <is>
          <t>Retail Shop</t>
        </is>
      </c>
      <c r="G351" s="3" t="inlineStr">
        <is>
          <t>Returning</t>
        </is>
      </c>
      <c r="H351" s="3" t="n">
        <v>2</v>
      </c>
      <c r="I351" s="3" t="n">
        <v>95</v>
      </c>
      <c r="J351" s="3" t="n">
        <v>43.05</v>
      </c>
      <c r="K351" s="3" t="n">
        <v>0.1</v>
      </c>
      <c r="L351" s="3" t="n">
        <v>11.25</v>
      </c>
    </row>
    <row r="352">
      <c r="A352" s="3" t="inlineStr">
        <is>
          <t>ORD-10351</t>
        </is>
      </c>
      <c r="B352" s="6" t="n">
        <v>45800</v>
      </c>
      <c r="C352" s="3" t="inlineStr">
        <is>
          <t>Accessories</t>
        </is>
      </c>
      <c r="D352" s="3" t="inlineStr">
        <is>
          <t>Watches</t>
        </is>
      </c>
      <c r="E352" s="3" t="inlineStr">
        <is>
          <t>Greater Accra</t>
        </is>
      </c>
      <c r="F352" s="3" t="inlineStr">
        <is>
          <t>Phone/WhatsApp</t>
        </is>
      </c>
      <c r="G352" s="3" t="inlineStr">
        <is>
          <t>Returning</t>
        </is>
      </c>
      <c r="H352" s="3" t="n">
        <v>4</v>
      </c>
      <c r="I352" s="3" t="n">
        <v>110</v>
      </c>
      <c r="J352" s="3" t="n">
        <v>57.33</v>
      </c>
      <c r="K352" s="3" t="n">
        <v>0</v>
      </c>
      <c r="L352" s="3" t="n">
        <v>21.53</v>
      </c>
    </row>
    <row r="353">
      <c r="A353" s="3" t="inlineStr">
        <is>
          <t>ORD-10352</t>
        </is>
      </c>
      <c r="B353" s="6" t="n">
        <v>45913</v>
      </c>
      <c r="C353" s="3" t="inlineStr">
        <is>
          <t>Home &amp; Lifestyle</t>
        </is>
      </c>
      <c r="D353" s="3" t="inlineStr">
        <is>
          <t>Travel Mugs</t>
        </is>
      </c>
      <c r="E353" s="3" t="inlineStr">
        <is>
          <t>Western</t>
        </is>
      </c>
      <c r="F353" s="3" t="inlineStr">
        <is>
          <t>Phone/WhatsApp</t>
        </is>
      </c>
      <c r="G353" s="3" t="inlineStr">
        <is>
          <t>Returning</t>
        </is>
      </c>
      <c r="H353" s="3" t="n">
        <v>8</v>
      </c>
      <c r="I353" s="3" t="n">
        <v>170</v>
      </c>
      <c r="J353" s="3" t="n">
        <v>96.77</v>
      </c>
      <c r="K353" s="3" t="n">
        <v>0</v>
      </c>
      <c r="L353" s="3" t="n">
        <v>9.029999999999999</v>
      </c>
    </row>
    <row r="354">
      <c r="A354" s="3" t="inlineStr">
        <is>
          <t>ORD-10353</t>
        </is>
      </c>
      <c r="B354" s="6" t="n">
        <v>45817</v>
      </c>
      <c r="C354" s="3" t="inlineStr">
        <is>
          <t>Accessories</t>
        </is>
      </c>
      <c r="D354" s="3" t="inlineStr">
        <is>
          <t>Watches</t>
        </is>
      </c>
      <c r="E354" s="3" t="inlineStr">
        <is>
          <t>Greater Accra</t>
        </is>
      </c>
      <c r="F354" s="3" t="inlineStr">
        <is>
          <t>Retail Shop</t>
        </is>
      </c>
      <c r="G354" s="3" t="inlineStr">
        <is>
          <t>New</t>
        </is>
      </c>
      <c r="H354" s="3" t="n">
        <v>1</v>
      </c>
      <c r="I354" s="3" t="n">
        <v>180</v>
      </c>
      <c r="J354" s="3" t="n">
        <v>90.95999999999999</v>
      </c>
      <c r="K354" s="3" t="n">
        <v>0.1</v>
      </c>
      <c r="L354" s="3" t="n">
        <v>6.58</v>
      </c>
    </row>
    <row r="355">
      <c r="A355" s="3" t="inlineStr">
        <is>
          <t>ORD-10354</t>
        </is>
      </c>
      <c r="B355" s="6" t="n">
        <v>45707</v>
      </c>
      <c r="C355" s="3" t="inlineStr">
        <is>
          <t>Footwear</t>
        </is>
      </c>
      <c r="D355" s="3" t="inlineStr">
        <is>
          <t>Sandals</t>
        </is>
      </c>
      <c r="E355" s="3" t="inlineStr">
        <is>
          <t>Greater Accra</t>
        </is>
      </c>
      <c r="F355" s="3" t="inlineStr">
        <is>
          <t>Retail Shop</t>
        </is>
      </c>
      <c r="G355" s="3" t="inlineStr">
        <is>
          <t>New</t>
        </is>
      </c>
      <c r="H355" s="3" t="n">
        <v>3</v>
      </c>
      <c r="I355" s="3" t="n">
        <v>275</v>
      </c>
      <c r="J355" s="3" t="n">
        <v>139.22</v>
      </c>
      <c r="K355" s="3" t="n">
        <v>0.05</v>
      </c>
      <c r="L355" s="3" t="n">
        <v>10.64</v>
      </c>
    </row>
    <row r="356">
      <c r="A356" s="3" t="inlineStr">
        <is>
          <t>ORD-10355</t>
        </is>
      </c>
      <c r="B356" s="6" t="n">
        <v>45857</v>
      </c>
      <c r="C356" s="3" t="inlineStr">
        <is>
          <t>Accessories</t>
        </is>
      </c>
      <c r="D356" s="3" t="inlineStr">
        <is>
          <t>Sunglasses</t>
        </is>
      </c>
      <c r="E356" s="3" t="inlineStr">
        <is>
          <t>Western</t>
        </is>
      </c>
      <c r="F356" s="3" t="inlineStr">
        <is>
          <t>Online</t>
        </is>
      </c>
      <c r="G356" s="3" t="inlineStr">
        <is>
          <t>New</t>
        </is>
      </c>
      <c r="H356" s="3" t="n">
        <v>4</v>
      </c>
      <c r="I356" s="3" t="n">
        <v>70</v>
      </c>
      <c r="J356" s="3" t="n">
        <v>32.54</v>
      </c>
      <c r="K356" s="3" t="n">
        <v>0</v>
      </c>
      <c r="L356" s="3" t="n">
        <v>37.33</v>
      </c>
    </row>
    <row r="357">
      <c r="A357" s="3" t="inlineStr">
        <is>
          <t>ORD-10356</t>
        </is>
      </c>
      <c r="B357" s="6" t="n">
        <v>45825</v>
      </c>
      <c r="C357" s="3" t="inlineStr">
        <is>
          <t>Footwear</t>
        </is>
      </c>
      <c r="D357" s="3" t="inlineStr">
        <is>
          <t>Sneakers</t>
        </is>
      </c>
      <c r="E357" s="3" t="inlineStr">
        <is>
          <t>Greater Accra</t>
        </is>
      </c>
      <c r="F357" s="3" t="inlineStr">
        <is>
          <t>Online</t>
        </is>
      </c>
      <c r="G357" s="3" t="inlineStr">
        <is>
          <t>New</t>
        </is>
      </c>
      <c r="H357" s="3" t="n">
        <v>1</v>
      </c>
      <c r="I357" s="3" t="n">
        <v>255</v>
      </c>
      <c r="J357" s="3" t="n">
        <v>149.98</v>
      </c>
      <c r="K357" s="3" t="n">
        <v>0.05</v>
      </c>
      <c r="L357" s="3" t="n">
        <v>10.74</v>
      </c>
    </row>
    <row r="358">
      <c r="A358" s="3" t="inlineStr">
        <is>
          <t>ORD-10357</t>
        </is>
      </c>
      <c r="B358" s="6" t="n">
        <v>45686</v>
      </c>
      <c r="C358" s="3" t="inlineStr">
        <is>
          <t>Accessories</t>
        </is>
      </c>
      <c r="D358" s="3" t="inlineStr">
        <is>
          <t>Belts</t>
        </is>
      </c>
      <c r="E358" s="3" t="inlineStr">
        <is>
          <t>Ashanti</t>
        </is>
      </c>
      <c r="F358" s="3" t="inlineStr">
        <is>
          <t>Retail Shop</t>
        </is>
      </c>
      <c r="G358" s="3" t="inlineStr">
        <is>
          <t>Returning</t>
        </is>
      </c>
      <c r="H358" s="3" t="n">
        <v>2</v>
      </c>
      <c r="I358" s="3" t="n">
        <v>100</v>
      </c>
      <c r="J358" s="3" t="n">
        <v>42.84</v>
      </c>
      <c r="K358" s="3" t="n">
        <v>0.15</v>
      </c>
      <c r="L358" s="3" t="n">
        <v>4.88</v>
      </c>
    </row>
    <row r="359">
      <c r="A359" s="3" t="inlineStr">
        <is>
          <t>ORD-10358</t>
        </is>
      </c>
      <c r="B359" s="6" t="n">
        <v>45737</v>
      </c>
      <c r="C359" s="3" t="inlineStr">
        <is>
          <t>Accessories</t>
        </is>
      </c>
      <c r="D359" s="3" t="inlineStr">
        <is>
          <t>Sunglasses</t>
        </is>
      </c>
      <c r="E359" s="3" t="inlineStr">
        <is>
          <t>Greater Accra</t>
        </is>
      </c>
      <c r="F359" s="3" t="inlineStr">
        <is>
          <t>Online</t>
        </is>
      </c>
      <c r="G359" s="3" t="inlineStr">
        <is>
          <t>New</t>
        </is>
      </c>
      <c r="H359" s="3" t="n">
        <v>1</v>
      </c>
      <c r="I359" s="3" t="n">
        <v>45</v>
      </c>
      <c r="J359" s="3" t="n">
        <v>21.92</v>
      </c>
      <c r="K359" s="3" t="n">
        <v>0.1</v>
      </c>
      <c r="L359" s="3" t="n">
        <v>38.04</v>
      </c>
    </row>
    <row r="360">
      <c r="A360" s="3" t="inlineStr">
        <is>
          <t>ORD-10359</t>
        </is>
      </c>
      <c r="B360" s="6" t="n">
        <v>45782</v>
      </c>
      <c r="C360" s="3" t="inlineStr">
        <is>
          <t>Footwear</t>
        </is>
      </c>
      <c r="D360" s="3" t="inlineStr">
        <is>
          <t>Sandals</t>
        </is>
      </c>
      <c r="E360" s="3" t="inlineStr">
        <is>
          <t>Western</t>
        </is>
      </c>
      <c r="F360" s="3" t="inlineStr">
        <is>
          <t>Online</t>
        </is>
      </c>
      <c r="G360" s="3" t="inlineStr">
        <is>
          <t>Returning</t>
        </is>
      </c>
      <c r="H360" s="3" t="n">
        <v>1</v>
      </c>
      <c r="I360" s="3" t="n">
        <v>260</v>
      </c>
      <c r="J360" s="3" t="n">
        <v>139.32</v>
      </c>
      <c r="K360" s="3" t="n">
        <v>0</v>
      </c>
      <c r="L360" s="3" t="n">
        <v>17.82</v>
      </c>
    </row>
    <row r="361">
      <c r="A361" s="3" t="inlineStr">
        <is>
          <t>ORD-10360</t>
        </is>
      </c>
      <c r="B361" s="6" t="n">
        <v>45979</v>
      </c>
      <c r="C361" s="3" t="inlineStr">
        <is>
          <t>Clothing</t>
        </is>
      </c>
      <c r="D361" s="3" t="inlineStr">
        <is>
          <t>Trousers</t>
        </is>
      </c>
      <c r="E361" s="3" t="inlineStr">
        <is>
          <t>Central</t>
        </is>
      </c>
      <c r="F361" s="3" t="inlineStr">
        <is>
          <t>Retail Shop</t>
        </is>
      </c>
      <c r="G361" s="3" t="inlineStr">
        <is>
          <t>Returning</t>
        </is>
      </c>
      <c r="H361" s="3" t="n">
        <v>1</v>
      </c>
      <c r="I361" s="3" t="n">
        <v>160</v>
      </c>
      <c r="J361" s="3" t="n">
        <v>76.64</v>
      </c>
      <c r="K361" s="3" t="n">
        <v>0.1</v>
      </c>
      <c r="L361" s="3" t="n">
        <v>11.49</v>
      </c>
    </row>
    <row r="362">
      <c r="A362" s="3" t="inlineStr">
        <is>
          <t>ORD-10361</t>
        </is>
      </c>
      <c r="B362" s="6" t="n">
        <v>45955</v>
      </c>
      <c r="C362" s="3" t="inlineStr">
        <is>
          <t>Footwear</t>
        </is>
      </c>
      <c r="D362" s="3" t="inlineStr">
        <is>
          <t>Sandals</t>
        </is>
      </c>
      <c r="E362" s="3" t="inlineStr">
        <is>
          <t>Northern</t>
        </is>
      </c>
      <c r="F362" s="3" t="inlineStr">
        <is>
          <t>Phone/WhatsApp</t>
        </is>
      </c>
      <c r="G362" s="3" t="inlineStr">
        <is>
          <t>Returning</t>
        </is>
      </c>
      <c r="H362" s="3" t="n">
        <v>1</v>
      </c>
      <c r="I362" s="3" t="n">
        <v>370</v>
      </c>
      <c r="J362" s="3" t="n">
        <v>217.28</v>
      </c>
      <c r="K362" s="3" t="n">
        <v>0</v>
      </c>
      <c r="L362" s="3" t="n">
        <v>44.33</v>
      </c>
    </row>
    <row r="363">
      <c r="A363" s="3" t="inlineStr">
        <is>
          <t>ORD-10362</t>
        </is>
      </c>
      <c r="B363" s="6" t="n">
        <v>45855</v>
      </c>
      <c r="C363" s="3" t="inlineStr">
        <is>
          <t>Accessories</t>
        </is>
      </c>
      <c r="D363" s="3" t="inlineStr">
        <is>
          <t>Watches</t>
        </is>
      </c>
      <c r="E363" s="3" t="inlineStr">
        <is>
          <t>Western</t>
        </is>
      </c>
      <c r="F363" s="3" t="inlineStr">
        <is>
          <t>Online</t>
        </is>
      </c>
      <c r="G363" s="3" t="inlineStr">
        <is>
          <t>Returning</t>
        </is>
      </c>
      <c r="H363" s="3" t="n">
        <v>11</v>
      </c>
      <c r="I363" s="3" t="n">
        <v>125</v>
      </c>
      <c r="J363" s="3" t="n">
        <v>57.33</v>
      </c>
      <c r="K363" s="3" t="n">
        <v>0.05</v>
      </c>
      <c r="L363" s="3" t="n">
        <v>41.38</v>
      </c>
    </row>
    <row r="364">
      <c r="A364" s="3" t="inlineStr">
        <is>
          <t>ORD-10363</t>
        </is>
      </c>
      <c r="B364" s="6" t="n">
        <v>45665</v>
      </c>
      <c r="C364" s="3" t="inlineStr">
        <is>
          <t>Footwear</t>
        </is>
      </c>
      <c r="D364" s="3" t="inlineStr">
        <is>
          <t>Sneakers</t>
        </is>
      </c>
      <c r="E364" s="3" t="inlineStr">
        <is>
          <t>Central</t>
        </is>
      </c>
      <c r="F364" s="3" t="inlineStr">
        <is>
          <t>Phone/WhatsApp</t>
        </is>
      </c>
      <c r="G364" s="3" t="inlineStr">
        <is>
          <t>New</t>
        </is>
      </c>
      <c r="H364" s="3" t="n">
        <v>2</v>
      </c>
      <c r="I364" s="3" t="n">
        <v>270</v>
      </c>
      <c r="J364" s="3" t="n">
        <v>150.56</v>
      </c>
      <c r="K364" s="3" t="n">
        <v>0</v>
      </c>
      <c r="L364" s="3" t="n">
        <v>12.75</v>
      </c>
    </row>
    <row r="365">
      <c r="A365" s="3" t="inlineStr">
        <is>
          <t>ORD-10364</t>
        </is>
      </c>
      <c r="B365" s="6" t="n">
        <v>45730</v>
      </c>
      <c r="C365" s="3" t="inlineStr">
        <is>
          <t>Home &amp; Lifestyle</t>
        </is>
      </c>
      <c r="D365" s="3" t="inlineStr">
        <is>
          <t>Backpacks</t>
        </is>
      </c>
      <c r="E365" s="3" t="inlineStr">
        <is>
          <t>Greater Accra</t>
        </is>
      </c>
      <c r="F365" s="3" t="inlineStr">
        <is>
          <t>Online</t>
        </is>
      </c>
      <c r="G365" s="3" t="inlineStr">
        <is>
          <t>New</t>
        </is>
      </c>
      <c r="H365" s="3" t="n">
        <v>6</v>
      </c>
      <c r="I365" s="3" t="n">
        <v>80</v>
      </c>
      <c r="J365" s="3" t="n">
        <v>43.79</v>
      </c>
      <c r="K365" s="3" t="n">
        <v>0.05</v>
      </c>
      <c r="L365" s="3" t="n">
        <v>44.45</v>
      </c>
    </row>
    <row r="366">
      <c r="A366" s="3" t="inlineStr">
        <is>
          <t>ORD-10365</t>
        </is>
      </c>
      <c r="B366" s="6" t="n">
        <v>45722</v>
      </c>
      <c r="C366" s="3" t="inlineStr">
        <is>
          <t>Clothing</t>
        </is>
      </c>
      <c r="D366" s="3" t="inlineStr">
        <is>
          <t>Dresses</t>
        </is>
      </c>
      <c r="E366" s="3" t="inlineStr">
        <is>
          <t>Central</t>
        </is>
      </c>
      <c r="F366" s="3" t="inlineStr">
        <is>
          <t>Retail Shop</t>
        </is>
      </c>
      <c r="G366" s="3" t="inlineStr">
        <is>
          <t>Returning</t>
        </is>
      </c>
      <c r="H366" s="3" t="n">
        <v>3</v>
      </c>
      <c r="I366" s="3" t="n">
        <v>185</v>
      </c>
      <c r="J366" s="3" t="n">
        <v>107.22</v>
      </c>
      <c r="K366" s="3" t="n">
        <v>0</v>
      </c>
      <c r="L366" s="3" t="n">
        <v>9.279999999999999</v>
      </c>
    </row>
    <row r="367">
      <c r="A367" s="3" t="inlineStr">
        <is>
          <t>ORD-10366</t>
        </is>
      </c>
      <c r="B367" s="6" t="n">
        <v>45719</v>
      </c>
      <c r="C367" s="3" t="inlineStr">
        <is>
          <t>Home &amp; Lifestyle</t>
        </is>
      </c>
      <c r="D367" s="3" t="inlineStr">
        <is>
          <t>Wallets</t>
        </is>
      </c>
      <c r="E367" s="3" t="inlineStr">
        <is>
          <t>Greater Accra</t>
        </is>
      </c>
      <c r="F367" s="3" t="inlineStr">
        <is>
          <t>Retail Shop</t>
        </is>
      </c>
      <c r="G367" s="3" t="inlineStr">
        <is>
          <t>Returning</t>
        </is>
      </c>
      <c r="H367" s="3" t="n">
        <v>10</v>
      </c>
      <c r="I367" s="3" t="n">
        <v>115</v>
      </c>
      <c r="J367" s="3" t="n">
        <v>59.8</v>
      </c>
      <c r="K367" s="3" t="n">
        <v>0.1</v>
      </c>
      <c r="L367" s="3" t="n">
        <v>2.98</v>
      </c>
    </row>
    <row r="368">
      <c r="A368" s="3" t="inlineStr">
        <is>
          <t>ORD-10367</t>
        </is>
      </c>
      <c r="B368" s="6" t="n">
        <v>45743</v>
      </c>
      <c r="C368" s="3" t="inlineStr">
        <is>
          <t>Footwear</t>
        </is>
      </c>
      <c r="D368" s="3" t="inlineStr">
        <is>
          <t>Formal Shoes</t>
        </is>
      </c>
      <c r="E368" s="3" t="inlineStr">
        <is>
          <t>Western</t>
        </is>
      </c>
      <c r="F368" s="3" t="inlineStr">
        <is>
          <t>Retail Shop</t>
        </is>
      </c>
      <c r="G368" s="3" t="inlineStr">
        <is>
          <t>New</t>
        </is>
      </c>
      <c r="H368" s="3" t="n">
        <v>5</v>
      </c>
      <c r="I368" s="3" t="n">
        <v>305</v>
      </c>
      <c r="J368" s="3" t="n">
        <v>164.5</v>
      </c>
      <c r="K368" s="3" t="n">
        <v>0</v>
      </c>
      <c r="L368" s="3" t="n">
        <v>10.84</v>
      </c>
    </row>
    <row r="369">
      <c r="A369" s="3" t="inlineStr">
        <is>
          <t>ORD-10368</t>
        </is>
      </c>
      <c r="B369" s="6" t="n">
        <v>45987</v>
      </c>
      <c r="C369" s="3" t="inlineStr">
        <is>
          <t>Accessories</t>
        </is>
      </c>
      <c r="D369" s="3" t="inlineStr">
        <is>
          <t>Sunglasses</t>
        </is>
      </c>
      <c r="E369" s="3" t="inlineStr">
        <is>
          <t>Greater Accra</t>
        </is>
      </c>
      <c r="F369" s="3" t="inlineStr">
        <is>
          <t>Phone/WhatsApp</t>
        </is>
      </c>
      <c r="G369" s="3" t="inlineStr">
        <is>
          <t>Returning</t>
        </is>
      </c>
      <c r="H369" s="3" t="n">
        <v>1</v>
      </c>
      <c r="I369" s="3" t="n">
        <v>160</v>
      </c>
      <c r="J369" s="3" t="n">
        <v>76.26000000000001</v>
      </c>
      <c r="K369" s="3" t="n">
        <v>0.2</v>
      </c>
      <c r="L369" s="3" t="n">
        <v>26.07</v>
      </c>
    </row>
    <row r="370">
      <c r="A370" s="3" t="inlineStr">
        <is>
          <t>ORD-10369</t>
        </is>
      </c>
      <c r="B370" s="6" t="n">
        <v>45666</v>
      </c>
      <c r="C370" s="3" t="inlineStr">
        <is>
          <t>Accessories</t>
        </is>
      </c>
      <c r="D370" s="3" t="inlineStr">
        <is>
          <t>Belts</t>
        </is>
      </c>
      <c r="E370" s="3" t="inlineStr">
        <is>
          <t>Greater Accra</t>
        </is>
      </c>
      <c r="F370" s="3" t="inlineStr">
        <is>
          <t>Phone/WhatsApp</t>
        </is>
      </c>
      <c r="G370" s="3" t="inlineStr">
        <is>
          <t>Returning</t>
        </is>
      </c>
      <c r="H370" s="3" t="n">
        <v>3</v>
      </c>
      <c r="I370" s="3" t="n">
        <v>85</v>
      </c>
      <c r="J370" s="3" t="n">
        <v>37.53</v>
      </c>
      <c r="K370" s="3" t="n">
        <v>0.2</v>
      </c>
      <c r="L370" s="3" t="n">
        <v>29.56</v>
      </c>
    </row>
    <row r="371">
      <c r="A371" s="3" t="inlineStr">
        <is>
          <t>ORD-10370</t>
        </is>
      </c>
      <c r="B371" s="6" t="n">
        <v>45786</v>
      </c>
      <c r="C371" s="3" t="inlineStr">
        <is>
          <t>Footwear</t>
        </is>
      </c>
      <c r="D371" s="3" t="inlineStr">
        <is>
          <t>Formal Shoes</t>
        </is>
      </c>
      <c r="E371" s="3" t="inlineStr">
        <is>
          <t>Western</t>
        </is>
      </c>
      <c r="F371" s="3" t="inlineStr">
        <is>
          <t>Retail Shop</t>
        </is>
      </c>
      <c r="G371" s="3" t="inlineStr">
        <is>
          <t>New</t>
        </is>
      </c>
      <c r="H371" s="3" t="n">
        <v>3</v>
      </c>
      <c r="I371" s="3" t="n">
        <v>150</v>
      </c>
      <c r="J371" s="3" t="n">
        <v>79.40000000000001</v>
      </c>
      <c r="K371" s="3" t="n">
        <v>0</v>
      </c>
      <c r="L371" s="3" t="n">
        <v>7.91</v>
      </c>
    </row>
    <row r="372">
      <c r="A372" s="3" t="inlineStr">
        <is>
          <t>ORD-10371</t>
        </is>
      </c>
      <c r="B372" s="6" t="n">
        <v>45674</v>
      </c>
      <c r="C372" s="3" t="inlineStr">
        <is>
          <t>Footwear</t>
        </is>
      </c>
      <c r="D372" s="3" t="inlineStr">
        <is>
          <t>Formal Shoes</t>
        </is>
      </c>
      <c r="E372" s="3" t="inlineStr">
        <is>
          <t>Ashanti</t>
        </is>
      </c>
      <c r="F372" s="3" t="inlineStr">
        <is>
          <t>Online</t>
        </is>
      </c>
      <c r="G372" s="3" t="inlineStr">
        <is>
          <t>Returning</t>
        </is>
      </c>
      <c r="H372" s="3" t="n">
        <v>3</v>
      </c>
      <c r="I372" s="3" t="n">
        <v>320</v>
      </c>
      <c r="J372" s="3" t="n">
        <v>193.64</v>
      </c>
      <c r="K372" s="3" t="n">
        <v>0</v>
      </c>
      <c r="L372" s="3" t="n">
        <v>19.04</v>
      </c>
    </row>
    <row r="373">
      <c r="A373" s="3" t="inlineStr">
        <is>
          <t>ORD-10372</t>
        </is>
      </c>
      <c r="B373" s="6" t="n">
        <v>45771</v>
      </c>
      <c r="C373" s="3" t="inlineStr">
        <is>
          <t>Home &amp; Lifestyle</t>
        </is>
      </c>
      <c r="D373" s="3" t="inlineStr">
        <is>
          <t>Wallets</t>
        </is>
      </c>
      <c r="E373" s="3" t="inlineStr">
        <is>
          <t>Greater Accra</t>
        </is>
      </c>
      <c r="F373" s="3" t="inlineStr">
        <is>
          <t>Retail Shop</t>
        </is>
      </c>
      <c r="G373" s="3" t="inlineStr">
        <is>
          <t>Returning</t>
        </is>
      </c>
      <c r="H373" s="3" t="n">
        <v>1</v>
      </c>
      <c r="I373" s="3" t="n">
        <v>120</v>
      </c>
      <c r="J373" s="3" t="n">
        <v>64.25</v>
      </c>
      <c r="K373" s="3" t="n">
        <v>0</v>
      </c>
      <c r="L373" s="3" t="n">
        <v>0.28</v>
      </c>
    </row>
    <row r="374">
      <c r="A374" s="3" t="inlineStr">
        <is>
          <t>ORD-10373</t>
        </is>
      </c>
      <c r="B374" s="6" t="n">
        <v>45939</v>
      </c>
      <c r="C374" s="3" t="inlineStr">
        <is>
          <t>Footwear</t>
        </is>
      </c>
      <c r="D374" s="3" t="inlineStr">
        <is>
          <t>Sneakers</t>
        </is>
      </c>
      <c r="E374" s="3" t="inlineStr">
        <is>
          <t>Ashanti</t>
        </is>
      </c>
      <c r="F374" s="3" t="inlineStr">
        <is>
          <t>Online</t>
        </is>
      </c>
      <c r="G374" s="3" t="inlineStr">
        <is>
          <t>Returning</t>
        </is>
      </c>
      <c r="H374" s="3" t="n">
        <v>3</v>
      </c>
      <c r="I374" s="3" t="n">
        <v>315</v>
      </c>
      <c r="J374" s="3" t="n">
        <v>182.81</v>
      </c>
      <c r="K374" s="3" t="n">
        <v>0.2</v>
      </c>
      <c r="L374" s="3" t="n">
        <v>9.74</v>
      </c>
    </row>
    <row r="375">
      <c r="A375" s="3" t="inlineStr">
        <is>
          <t>ORD-10374</t>
        </is>
      </c>
      <c r="B375" s="6" t="n">
        <v>45745</v>
      </c>
      <c r="C375" s="3" t="inlineStr">
        <is>
          <t>Clothing</t>
        </is>
      </c>
      <c r="D375" s="3" t="inlineStr">
        <is>
          <t>Trousers</t>
        </is>
      </c>
      <c r="E375" s="3" t="inlineStr">
        <is>
          <t>Greater Accra</t>
        </is>
      </c>
      <c r="F375" s="3" t="inlineStr">
        <is>
          <t>Retail Shop</t>
        </is>
      </c>
      <c r="G375" s="3" t="inlineStr">
        <is>
          <t>Returning</t>
        </is>
      </c>
      <c r="H375" s="3" t="n">
        <v>2</v>
      </c>
      <c r="I375" s="3" t="n">
        <v>115</v>
      </c>
      <c r="J375" s="3" t="n">
        <v>59.22</v>
      </c>
      <c r="K375" s="3" t="n">
        <v>0.1</v>
      </c>
      <c r="L375" s="3" t="n">
        <v>7.2</v>
      </c>
    </row>
    <row r="376">
      <c r="A376" s="3" t="inlineStr">
        <is>
          <t>ORD-10375</t>
        </is>
      </c>
      <c r="B376" s="6" t="n">
        <v>45740</v>
      </c>
      <c r="C376" s="3" t="inlineStr">
        <is>
          <t>Footwear</t>
        </is>
      </c>
      <c r="D376" s="3" t="inlineStr">
        <is>
          <t>Sandals</t>
        </is>
      </c>
      <c r="E376" s="3" t="inlineStr">
        <is>
          <t>Greater Accra</t>
        </is>
      </c>
      <c r="F376" s="3" t="inlineStr">
        <is>
          <t>Phone/WhatsApp</t>
        </is>
      </c>
      <c r="G376" s="3" t="inlineStr">
        <is>
          <t>New</t>
        </is>
      </c>
      <c r="H376" s="3" t="n">
        <v>2</v>
      </c>
      <c r="I376" s="3" t="n">
        <v>240</v>
      </c>
      <c r="J376" s="3" t="n">
        <v>132.71</v>
      </c>
      <c r="K376" s="3" t="n">
        <v>0.1</v>
      </c>
      <c r="L376" s="3" t="n">
        <v>8.300000000000001</v>
      </c>
    </row>
    <row r="377">
      <c r="A377" s="3" t="inlineStr">
        <is>
          <t>ORD-10376</t>
        </is>
      </c>
      <c r="B377" s="6" t="n">
        <v>45773</v>
      </c>
      <c r="C377" s="3" t="inlineStr">
        <is>
          <t>Footwear</t>
        </is>
      </c>
      <c r="D377" s="3" t="inlineStr">
        <is>
          <t>Sneakers</t>
        </is>
      </c>
      <c r="E377" s="3" t="inlineStr">
        <is>
          <t>Greater Accra</t>
        </is>
      </c>
      <c r="F377" s="3" t="inlineStr">
        <is>
          <t>Retail Shop</t>
        </is>
      </c>
      <c r="G377" s="3" t="inlineStr">
        <is>
          <t>New</t>
        </is>
      </c>
      <c r="H377" s="3" t="n">
        <v>1</v>
      </c>
      <c r="I377" s="3" t="n">
        <v>260</v>
      </c>
      <c r="J377" s="3" t="n">
        <v>132.56</v>
      </c>
      <c r="K377" s="3" t="n">
        <v>0.05</v>
      </c>
      <c r="L377" s="3" t="n">
        <v>5.77</v>
      </c>
    </row>
    <row r="378">
      <c r="A378" s="3" t="inlineStr">
        <is>
          <t>ORD-10377</t>
        </is>
      </c>
      <c r="B378" s="6" t="n">
        <v>45663</v>
      </c>
      <c r="C378" s="3" t="inlineStr">
        <is>
          <t>Footwear</t>
        </is>
      </c>
      <c r="D378" s="3" t="inlineStr">
        <is>
          <t>Sandals</t>
        </is>
      </c>
      <c r="E378" s="3" t="inlineStr">
        <is>
          <t>Northern</t>
        </is>
      </c>
      <c r="F378" s="3" t="inlineStr">
        <is>
          <t>Retail Shop</t>
        </is>
      </c>
      <c r="G378" s="3" t="inlineStr">
        <is>
          <t>New</t>
        </is>
      </c>
      <c r="H378" s="3" t="n">
        <v>4</v>
      </c>
      <c r="I378" s="3" t="n">
        <v>355</v>
      </c>
      <c r="J378" s="3" t="n">
        <v>190.47</v>
      </c>
      <c r="K378" s="3" t="n">
        <v>0.15</v>
      </c>
      <c r="L378" s="3" t="n">
        <v>7.1</v>
      </c>
    </row>
    <row r="379">
      <c r="A379" s="3" t="inlineStr">
        <is>
          <t>ORD-10378</t>
        </is>
      </c>
      <c r="B379" s="6" t="n">
        <v>45791</v>
      </c>
      <c r="C379" s="3" t="inlineStr">
        <is>
          <t>Clothing</t>
        </is>
      </c>
      <c r="D379" s="3" t="inlineStr">
        <is>
          <t>Shirts</t>
        </is>
      </c>
      <c r="E379" s="3" t="inlineStr">
        <is>
          <t>Greater Accra</t>
        </is>
      </c>
      <c r="F379" s="3" t="inlineStr">
        <is>
          <t>Retail Shop</t>
        </is>
      </c>
      <c r="G379" s="3" t="inlineStr">
        <is>
          <t>Returning</t>
        </is>
      </c>
      <c r="H379" s="3" t="n">
        <v>2</v>
      </c>
      <c r="I379" s="3" t="n">
        <v>110</v>
      </c>
      <c r="J379" s="3" t="n">
        <v>58.64</v>
      </c>
      <c r="K379" s="3" t="n">
        <v>0</v>
      </c>
      <c r="L379" s="3" t="n">
        <v>1.44</v>
      </c>
    </row>
    <row r="380">
      <c r="A380" s="3" t="inlineStr">
        <is>
          <t>ORD-10379</t>
        </is>
      </c>
      <c r="B380" s="6" t="n">
        <v>46014</v>
      </c>
      <c r="C380" s="3" t="inlineStr">
        <is>
          <t>Accessories</t>
        </is>
      </c>
      <c r="D380" s="3" t="inlineStr">
        <is>
          <t>Belts</t>
        </is>
      </c>
      <c r="E380" s="3" t="inlineStr">
        <is>
          <t>Ashanti</t>
        </is>
      </c>
      <c r="F380" s="3" t="inlineStr">
        <is>
          <t>Online</t>
        </is>
      </c>
      <c r="G380" s="3" t="inlineStr">
        <is>
          <t>Returning</t>
        </is>
      </c>
      <c r="H380" s="3" t="n">
        <v>1</v>
      </c>
      <c r="I380" s="3" t="n">
        <v>90</v>
      </c>
      <c r="J380" s="3" t="n">
        <v>47.55</v>
      </c>
      <c r="K380" s="3" t="n">
        <v>0.15</v>
      </c>
      <c r="L380" s="3" t="n">
        <v>34.65</v>
      </c>
    </row>
    <row r="381">
      <c r="A381" s="3" t="inlineStr">
        <is>
          <t>ORD-10380</t>
        </is>
      </c>
      <c r="B381" s="6" t="n">
        <v>45912</v>
      </c>
      <c r="C381" s="3" t="inlineStr">
        <is>
          <t>Clothing</t>
        </is>
      </c>
      <c r="D381" s="3" t="inlineStr">
        <is>
          <t>Shirts</t>
        </is>
      </c>
      <c r="E381" s="3" t="inlineStr">
        <is>
          <t>Northern</t>
        </is>
      </c>
      <c r="F381" s="3" t="inlineStr">
        <is>
          <t>Retail Shop</t>
        </is>
      </c>
      <c r="G381" s="3" t="inlineStr">
        <is>
          <t>Returning</t>
        </is>
      </c>
      <c r="H381" s="3" t="n">
        <v>3</v>
      </c>
      <c r="I381" s="3" t="n">
        <v>125</v>
      </c>
      <c r="J381" s="3" t="n">
        <v>72.41</v>
      </c>
      <c r="K381" s="3" t="n">
        <v>0</v>
      </c>
      <c r="L381" s="3" t="n">
        <v>3.3</v>
      </c>
    </row>
    <row r="382">
      <c r="A382" s="3" t="inlineStr">
        <is>
          <t>ORD-10381</t>
        </is>
      </c>
      <c r="B382" s="6" t="n">
        <v>45816</v>
      </c>
      <c r="C382" s="3" t="inlineStr">
        <is>
          <t>Clothing</t>
        </is>
      </c>
      <c r="D382" s="3" t="inlineStr">
        <is>
          <t>Shirts</t>
        </is>
      </c>
      <c r="E382" s="3" t="inlineStr">
        <is>
          <t>Western</t>
        </is>
      </c>
      <c r="F382" s="3" t="inlineStr">
        <is>
          <t>Phone/WhatsApp</t>
        </is>
      </c>
      <c r="G382" s="3" t="inlineStr">
        <is>
          <t>New</t>
        </is>
      </c>
      <c r="H382" s="3" t="n">
        <v>3</v>
      </c>
      <c r="I382" s="3" t="n">
        <v>175</v>
      </c>
      <c r="J382" s="3" t="n">
        <v>99.67</v>
      </c>
      <c r="K382" s="3" t="n">
        <v>0.2</v>
      </c>
      <c r="L382" s="3" t="n">
        <v>10.36</v>
      </c>
    </row>
    <row r="383">
      <c r="A383" s="3" t="inlineStr">
        <is>
          <t>ORD-10382</t>
        </is>
      </c>
      <c r="B383" s="6" t="n">
        <v>45998</v>
      </c>
      <c r="C383" s="3" t="inlineStr">
        <is>
          <t>Clothing</t>
        </is>
      </c>
      <c r="D383" s="3" t="inlineStr">
        <is>
          <t>Jackets</t>
        </is>
      </c>
      <c r="E383" s="3" t="inlineStr">
        <is>
          <t>Western</t>
        </is>
      </c>
      <c r="F383" s="3" t="inlineStr">
        <is>
          <t>Online</t>
        </is>
      </c>
      <c r="G383" s="3" t="inlineStr">
        <is>
          <t>New</t>
        </is>
      </c>
      <c r="H383" s="3" t="n">
        <v>3</v>
      </c>
      <c r="I383" s="3" t="n">
        <v>200</v>
      </c>
      <c r="J383" s="3" t="n">
        <v>107.35</v>
      </c>
      <c r="K383" s="3" t="n">
        <v>0</v>
      </c>
      <c r="L383" s="3" t="n">
        <v>35.11</v>
      </c>
    </row>
    <row r="384">
      <c r="A384" s="3" t="inlineStr">
        <is>
          <t>ORD-10383</t>
        </is>
      </c>
      <c r="B384" s="6" t="n">
        <v>45994</v>
      </c>
      <c r="C384" s="3" t="inlineStr">
        <is>
          <t>Accessories</t>
        </is>
      </c>
      <c r="D384" s="3" t="inlineStr">
        <is>
          <t>Sunglasses</t>
        </is>
      </c>
      <c r="E384" s="3" t="inlineStr">
        <is>
          <t>Greater Accra</t>
        </is>
      </c>
      <c r="F384" s="3" t="inlineStr">
        <is>
          <t>Retail Shop</t>
        </is>
      </c>
      <c r="G384" s="3" t="inlineStr">
        <is>
          <t>Returning</t>
        </is>
      </c>
      <c r="H384" s="3" t="n">
        <v>1</v>
      </c>
      <c r="I384" s="3" t="n">
        <v>90</v>
      </c>
      <c r="J384" s="3" t="n">
        <v>43.99</v>
      </c>
      <c r="K384" s="3" t="n">
        <v>0.15</v>
      </c>
      <c r="L384" s="3" t="n">
        <v>7.53</v>
      </c>
    </row>
    <row r="385">
      <c r="A385" s="3" t="inlineStr">
        <is>
          <t>ORD-10384</t>
        </is>
      </c>
      <c r="B385" s="6" t="n">
        <v>46017</v>
      </c>
      <c r="C385" s="3" t="inlineStr">
        <is>
          <t>Footwear</t>
        </is>
      </c>
      <c r="D385" s="3" t="inlineStr">
        <is>
          <t>Sneakers</t>
        </is>
      </c>
      <c r="E385" s="3" t="inlineStr">
        <is>
          <t>Western</t>
        </is>
      </c>
      <c r="F385" s="3" t="inlineStr">
        <is>
          <t>Retail Shop</t>
        </is>
      </c>
      <c r="G385" s="3" t="inlineStr">
        <is>
          <t>Returning</t>
        </is>
      </c>
      <c r="H385" s="3" t="n">
        <v>3</v>
      </c>
      <c r="I385" s="3" t="n">
        <v>625</v>
      </c>
      <c r="J385" s="3" t="n">
        <v>397.57</v>
      </c>
      <c r="K385" s="3" t="n">
        <v>0.1</v>
      </c>
      <c r="L385" s="3" t="n">
        <v>9.69</v>
      </c>
    </row>
    <row r="386">
      <c r="A386" s="3" t="inlineStr">
        <is>
          <t>ORD-10385</t>
        </is>
      </c>
      <c r="B386" s="6" t="n">
        <v>45709</v>
      </c>
      <c r="C386" s="3" t="inlineStr">
        <is>
          <t>Footwear</t>
        </is>
      </c>
      <c r="D386" s="3" t="inlineStr">
        <is>
          <t>Sandals</t>
        </is>
      </c>
      <c r="E386" s="3" t="inlineStr">
        <is>
          <t>Ashanti</t>
        </is>
      </c>
      <c r="F386" s="3" t="inlineStr">
        <is>
          <t>Online</t>
        </is>
      </c>
      <c r="G386" s="3" t="inlineStr">
        <is>
          <t>Returning</t>
        </is>
      </c>
      <c r="H386" s="3" t="n">
        <v>5</v>
      </c>
      <c r="I386" s="3" t="n">
        <v>360</v>
      </c>
      <c r="J386" s="3" t="n">
        <v>196.96</v>
      </c>
      <c r="K386" s="3" t="n">
        <v>0.1</v>
      </c>
      <c r="L386" s="3" t="n">
        <v>9.039999999999999</v>
      </c>
    </row>
    <row r="387">
      <c r="A387" s="3" t="inlineStr">
        <is>
          <t>ORD-10386</t>
        </is>
      </c>
      <c r="B387" s="6" t="n">
        <v>45806</v>
      </c>
      <c r="C387" s="3" t="inlineStr">
        <is>
          <t>Footwear</t>
        </is>
      </c>
      <c r="D387" s="3" t="inlineStr">
        <is>
          <t>Formal Shoes</t>
        </is>
      </c>
      <c r="E387" s="3" t="inlineStr">
        <is>
          <t>Western</t>
        </is>
      </c>
      <c r="F387" s="3" t="inlineStr">
        <is>
          <t>Retail Shop</t>
        </is>
      </c>
      <c r="G387" s="3" t="inlineStr">
        <is>
          <t>Returning</t>
        </is>
      </c>
      <c r="H387" s="3" t="n">
        <v>1</v>
      </c>
      <c r="I387" s="3" t="n">
        <v>290</v>
      </c>
      <c r="J387" s="3" t="n">
        <v>159.08</v>
      </c>
      <c r="K387" s="3" t="n">
        <v>0.1</v>
      </c>
      <c r="L387" s="3" t="n">
        <v>1.99</v>
      </c>
    </row>
    <row r="388">
      <c r="A388" s="3" t="inlineStr">
        <is>
          <t>ORD-10387</t>
        </is>
      </c>
      <c r="B388" s="6" t="n">
        <v>45923</v>
      </c>
      <c r="C388" s="3" t="inlineStr">
        <is>
          <t>Footwear</t>
        </is>
      </c>
      <c r="D388" s="3" t="inlineStr">
        <is>
          <t>Sandals</t>
        </is>
      </c>
      <c r="E388" s="3" t="inlineStr">
        <is>
          <t>Greater Accra</t>
        </is>
      </c>
      <c r="F388" s="3" t="inlineStr">
        <is>
          <t>Retail Shop</t>
        </is>
      </c>
      <c r="G388" s="3" t="inlineStr">
        <is>
          <t>Returning</t>
        </is>
      </c>
      <c r="H388" s="3" t="n">
        <v>1</v>
      </c>
      <c r="I388" s="3" t="n">
        <v>260</v>
      </c>
      <c r="J388" s="3" t="n">
        <v>164.81</v>
      </c>
      <c r="K388" s="3" t="n">
        <v>0.05</v>
      </c>
      <c r="L388" s="3" t="n">
        <v>7.77</v>
      </c>
    </row>
    <row r="389">
      <c r="A389" s="3" t="inlineStr">
        <is>
          <t>ORD-10388</t>
        </is>
      </c>
      <c r="B389" s="6" t="n">
        <v>45961</v>
      </c>
      <c r="C389" s="3" t="inlineStr">
        <is>
          <t>Clothing</t>
        </is>
      </c>
      <c r="D389" s="3" t="inlineStr">
        <is>
          <t>Trousers</t>
        </is>
      </c>
      <c r="E389" s="3" t="inlineStr">
        <is>
          <t>Greater Accra</t>
        </is>
      </c>
      <c r="F389" s="3" t="inlineStr">
        <is>
          <t>Retail Shop</t>
        </is>
      </c>
      <c r="G389" s="3" t="inlineStr">
        <is>
          <t>New</t>
        </is>
      </c>
      <c r="H389" s="3" t="n">
        <v>3</v>
      </c>
      <c r="I389" s="3" t="n">
        <v>185</v>
      </c>
      <c r="J389" s="3" t="n">
        <v>98.29000000000001</v>
      </c>
      <c r="K389" s="3" t="n">
        <v>0</v>
      </c>
      <c r="L389" s="3" t="n">
        <v>4.79</v>
      </c>
    </row>
    <row r="390">
      <c r="A390" s="3" t="inlineStr">
        <is>
          <t>ORD-10389</t>
        </is>
      </c>
      <c r="B390" s="6" t="n">
        <v>45832</v>
      </c>
      <c r="C390" s="3" t="inlineStr">
        <is>
          <t>Accessories</t>
        </is>
      </c>
      <c r="D390" s="3" t="inlineStr">
        <is>
          <t>Watches</t>
        </is>
      </c>
      <c r="E390" s="3" t="inlineStr">
        <is>
          <t>Western</t>
        </is>
      </c>
      <c r="F390" s="3" t="inlineStr">
        <is>
          <t>Phone/WhatsApp</t>
        </is>
      </c>
      <c r="G390" s="3" t="inlineStr">
        <is>
          <t>New</t>
        </is>
      </c>
      <c r="H390" s="3" t="n">
        <v>4</v>
      </c>
      <c r="I390" s="3" t="n">
        <v>175</v>
      </c>
      <c r="J390" s="3" t="n">
        <v>88.09</v>
      </c>
      <c r="K390" s="3" t="n">
        <v>0</v>
      </c>
      <c r="L390" s="3" t="n">
        <v>39.84</v>
      </c>
    </row>
    <row r="391">
      <c r="A391" s="3" t="inlineStr">
        <is>
          <t>ORD-10390</t>
        </is>
      </c>
      <c r="B391" s="6" t="n">
        <v>45833</v>
      </c>
      <c r="C391" s="3" t="inlineStr">
        <is>
          <t>Home &amp; Lifestyle</t>
        </is>
      </c>
      <c r="D391" s="3" t="inlineStr">
        <is>
          <t>Travel Mugs</t>
        </is>
      </c>
      <c r="E391" s="3" t="inlineStr">
        <is>
          <t>Greater Accra</t>
        </is>
      </c>
      <c r="F391" s="3" t="inlineStr">
        <is>
          <t>Retail Shop</t>
        </is>
      </c>
      <c r="G391" s="3" t="inlineStr">
        <is>
          <t>New</t>
        </is>
      </c>
      <c r="H391" s="3" t="n">
        <v>1</v>
      </c>
      <c r="I391" s="3" t="n">
        <v>85</v>
      </c>
      <c r="J391" s="3" t="n">
        <v>45.99</v>
      </c>
      <c r="K391" s="3" t="n">
        <v>0.1</v>
      </c>
      <c r="L391" s="3" t="n">
        <v>9.890000000000001</v>
      </c>
    </row>
    <row r="392">
      <c r="A392" s="3" t="inlineStr">
        <is>
          <t>ORD-10391</t>
        </is>
      </c>
      <c r="B392" s="6" t="n">
        <v>45696</v>
      </c>
      <c r="C392" s="3" t="inlineStr">
        <is>
          <t>Accessories</t>
        </is>
      </c>
      <c r="D392" s="3" t="inlineStr">
        <is>
          <t>Sunglasses</t>
        </is>
      </c>
      <c r="E392" s="3" t="inlineStr">
        <is>
          <t>Central</t>
        </is>
      </c>
      <c r="F392" s="3" t="inlineStr">
        <is>
          <t>Online</t>
        </is>
      </c>
      <c r="G392" s="3" t="inlineStr">
        <is>
          <t>Returning</t>
        </is>
      </c>
      <c r="H392" s="3" t="n">
        <v>2</v>
      </c>
      <c r="I392" s="3" t="n">
        <v>95</v>
      </c>
      <c r="J392" s="3" t="n">
        <v>48.87</v>
      </c>
      <c r="K392" s="3" t="n">
        <v>0</v>
      </c>
      <c r="L392" s="3" t="n">
        <v>35.79</v>
      </c>
    </row>
    <row r="393">
      <c r="A393" s="3" t="inlineStr">
        <is>
          <t>ORD-10392</t>
        </is>
      </c>
      <c r="B393" s="6" t="n">
        <v>45721</v>
      </c>
      <c r="C393" s="3" t="inlineStr">
        <is>
          <t>Footwear</t>
        </is>
      </c>
      <c r="D393" s="3" t="inlineStr">
        <is>
          <t>Boots</t>
        </is>
      </c>
      <c r="E393" s="3" t="inlineStr">
        <is>
          <t>Greater Accra</t>
        </is>
      </c>
      <c r="F393" s="3" t="inlineStr">
        <is>
          <t>Retail Shop</t>
        </is>
      </c>
      <c r="G393" s="3" t="inlineStr">
        <is>
          <t>Returning</t>
        </is>
      </c>
      <c r="H393" s="3" t="n">
        <v>1</v>
      </c>
      <c r="I393" s="3" t="n">
        <v>305</v>
      </c>
      <c r="J393" s="3" t="n">
        <v>181.72</v>
      </c>
      <c r="K393" s="3" t="n">
        <v>0</v>
      </c>
      <c r="L393" s="3" t="n">
        <v>10.02</v>
      </c>
    </row>
    <row r="394">
      <c r="A394" s="3" t="inlineStr">
        <is>
          <t>ORD-10393</t>
        </is>
      </c>
      <c r="B394" s="6" t="n">
        <v>45781</v>
      </c>
      <c r="C394" s="3" t="inlineStr">
        <is>
          <t>Clothing</t>
        </is>
      </c>
      <c r="D394" s="3" t="inlineStr">
        <is>
          <t>Dresses</t>
        </is>
      </c>
      <c r="E394" s="3" t="inlineStr">
        <is>
          <t>Greater Accra</t>
        </is>
      </c>
      <c r="F394" s="3" t="inlineStr">
        <is>
          <t>Retail Shop</t>
        </is>
      </c>
      <c r="G394" s="3" t="inlineStr">
        <is>
          <t>Returning</t>
        </is>
      </c>
      <c r="H394" s="3" t="n">
        <v>4</v>
      </c>
      <c r="I394" s="3" t="n">
        <v>185</v>
      </c>
      <c r="J394" s="3" t="n">
        <v>88.31</v>
      </c>
      <c r="K394" s="3" t="n">
        <v>0.05</v>
      </c>
      <c r="L394" s="3" t="n">
        <v>5.02</v>
      </c>
    </row>
    <row r="395">
      <c r="A395" s="3" t="inlineStr">
        <is>
          <t>ORD-10394</t>
        </is>
      </c>
      <c r="B395" s="6" t="n">
        <v>45930</v>
      </c>
      <c r="C395" s="3" t="inlineStr">
        <is>
          <t>Home &amp; Lifestyle</t>
        </is>
      </c>
      <c r="D395" s="3" t="inlineStr">
        <is>
          <t>Backpacks</t>
        </is>
      </c>
      <c r="E395" s="3" t="inlineStr">
        <is>
          <t>Greater Accra</t>
        </is>
      </c>
      <c r="F395" s="3" t="inlineStr">
        <is>
          <t>Online</t>
        </is>
      </c>
      <c r="G395" s="3" t="inlineStr">
        <is>
          <t>New</t>
        </is>
      </c>
      <c r="H395" s="3" t="n">
        <v>3</v>
      </c>
      <c r="I395" s="3" t="n">
        <v>75</v>
      </c>
      <c r="J395" s="3" t="n">
        <v>36.95</v>
      </c>
      <c r="K395" s="3" t="n">
        <v>0</v>
      </c>
      <c r="L395" s="3" t="n">
        <v>24.41</v>
      </c>
    </row>
    <row r="396">
      <c r="A396" s="3" t="inlineStr">
        <is>
          <t>ORD-10395</t>
        </is>
      </c>
      <c r="B396" s="6" t="n">
        <v>45843</v>
      </c>
      <c r="C396" s="3" t="inlineStr">
        <is>
          <t>Home &amp; Lifestyle</t>
        </is>
      </c>
      <c r="D396" s="3" t="inlineStr">
        <is>
          <t>Wallets</t>
        </is>
      </c>
      <c r="E396" s="3" t="inlineStr">
        <is>
          <t>Greater Accra</t>
        </is>
      </c>
      <c r="F396" s="3" t="inlineStr">
        <is>
          <t>Online</t>
        </is>
      </c>
      <c r="G396" s="3" t="inlineStr">
        <is>
          <t>Returning</t>
        </is>
      </c>
      <c r="H396" s="3" t="n">
        <v>1</v>
      </c>
      <c r="I396" s="3" t="n">
        <v>175</v>
      </c>
      <c r="J396" s="3" t="n">
        <v>106.21</v>
      </c>
      <c r="K396" s="3" t="n">
        <v>0</v>
      </c>
      <c r="L396" s="3" t="n">
        <v>18.97</v>
      </c>
    </row>
    <row r="397">
      <c r="A397" s="3" t="inlineStr">
        <is>
          <t>ORD-10396</t>
        </is>
      </c>
      <c r="B397" s="6" t="n">
        <v>45749</v>
      </c>
      <c r="C397" s="3" t="inlineStr">
        <is>
          <t>Home &amp; Lifestyle</t>
        </is>
      </c>
      <c r="D397" s="3" t="inlineStr">
        <is>
          <t>Backpacks</t>
        </is>
      </c>
      <c r="E397" s="3" t="inlineStr">
        <is>
          <t>Greater Accra</t>
        </is>
      </c>
      <c r="F397" s="3" t="inlineStr">
        <is>
          <t>Online</t>
        </is>
      </c>
      <c r="G397" s="3" t="inlineStr">
        <is>
          <t>New</t>
        </is>
      </c>
      <c r="H397" s="3" t="n">
        <v>2</v>
      </c>
      <c r="I397" s="3" t="n">
        <v>95</v>
      </c>
      <c r="J397" s="3" t="n">
        <v>55.74</v>
      </c>
      <c r="K397" s="3" t="n">
        <v>0.1</v>
      </c>
      <c r="L397" s="3" t="n">
        <v>14.84</v>
      </c>
    </row>
    <row r="398">
      <c r="A398" s="3" t="inlineStr">
        <is>
          <t>ORD-10397</t>
        </is>
      </c>
      <c r="B398" s="6" t="n">
        <v>45799</v>
      </c>
      <c r="C398" s="3" t="inlineStr">
        <is>
          <t>Accessories</t>
        </is>
      </c>
      <c r="D398" s="3" t="inlineStr">
        <is>
          <t>Bags</t>
        </is>
      </c>
      <c r="E398" s="3" t="inlineStr">
        <is>
          <t>Northern</t>
        </is>
      </c>
      <c r="F398" s="3" t="inlineStr">
        <is>
          <t>Retail Shop</t>
        </is>
      </c>
      <c r="G398" s="3" t="inlineStr">
        <is>
          <t>Returning</t>
        </is>
      </c>
      <c r="H398" s="3" t="n">
        <v>1</v>
      </c>
      <c r="I398" s="3" t="n">
        <v>35</v>
      </c>
      <c r="J398" s="3" t="n">
        <v>18.09</v>
      </c>
      <c r="K398" s="3" t="n">
        <v>0</v>
      </c>
      <c r="L398" s="3" t="n">
        <v>6.42</v>
      </c>
    </row>
    <row r="399">
      <c r="A399" s="3" t="inlineStr">
        <is>
          <t>ORD-10398</t>
        </is>
      </c>
      <c r="B399" s="6" t="n">
        <v>45674</v>
      </c>
      <c r="C399" s="3" t="inlineStr">
        <is>
          <t>Home &amp; Lifestyle</t>
        </is>
      </c>
      <c r="D399" s="3" t="inlineStr">
        <is>
          <t>Wallets</t>
        </is>
      </c>
      <c r="E399" s="3" t="inlineStr">
        <is>
          <t>Greater Accra</t>
        </is>
      </c>
      <c r="F399" s="3" t="inlineStr">
        <is>
          <t>Online</t>
        </is>
      </c>
      <c r="G399" s="3" t="inlineStr">
        <is>
          <t>New</t>
        </is>
      </c>
      <c r="H399" s="3" t="n">
        <v>4</v>
      </c>
      <c r="I399" s="3" t="n">
        <v>85</v>
      </c>
      <c r="J399" s="3" t="n">
        <v>50.33</v>
      </c>
      <c r="K399" s="3" t="n">
        <v>0.05</v>
      </c>
      <c r="L399" s="3" t="n">
        <v>43.78</v>
      </c>
    </row>
    <row r="400">
      <c r="A400" s="3" t="inlineStr">
        <is>
          <t>ORD-10399</t>
        </is>
      </c>
      <c r="B400" s="6" t="n">
        <v>45753</v>
      </c>
      <c r="C400" s="3" t="inlineStr">
        <is>
          <t>Home &amp; Lifestyle</t>
        </is>
      </c>
      <c r="D400" s="3" t="inlineStr">
        <is>
          <t>Travel Mugs</t>
        </is>
      </c>
      <c r="E400" s="3" t="inlineStr">
        <is>
          <t>Ashanti</t>
        </is>
      </c>
      <c r="F400" s="3" t="inlineStr">
        <is>
          <t>Phone/WhatsApp</t>
        </is>
      </c>
      <c r="G400" s="3" t="inlineStr">
        <is>
          <t>Returning</t>
        </is>
      </c>
      <c r="H400" s="3" t="n">
        <v>2</v>
      </c>
      <c r="I400" s="3" t="n">
        <v>235</v>
      </c>
      <c r="J400" s="3" t="n">
        <v>140.05</v>
      </c>
      <c r="K400" s="3" t="n">
        <v>0</v>
      </c>
      <c r="L400" s="3" t="n">
        <v>35.18</v>
      </c>
    </row>
    <row r="401">
      <c r="A401" s="3" t="inlineStr">
        <is>
          <t>ORD-10400</t>
        </is>
      </c>
      <c r="B401" s="6" t="n">
        <v>45966</v>
      </c>
      <c r="C401" s="3" t="inlineStr">
        <is>
          <t>Home &amp; Lifestyle</t>
        </is>
      </c>
      <c r="D401" s="3" t="inlineStr">
        <is>
          <t>Wallets</t>
        </is>
      </c>
      <c r="E401" s="3" t="inlineStr">
        <is>
          <t>Ashanti</t>
        </is>
      </c>
      <c r="F401" s="3" t="inlineStr">
        <is>
          <t>Online</t>
        </is>
      </c>
      <c r="G401" s="3" t="inlineStr">
        <is>
          <t>Returning</t>
        </is>
      </c>
      <c r="H401" s="3" t="n">
        <v>3</v>
      </c>
      <c r="I401" s="3" t="n">
        <v>100</v>
      </c>
      <c r="J401" s="3" t="n">
        <v>53.51</v>
      </c>
      <c r="K401" s="3" t="n">
        <v>0.1</v>
      </c>
      <c r="L401" s="3" t="n">
        <v>17.42</v>
      </c>
    </row>
    <row r="402">
      <c r="A402" s="3" t="inlineStr">
        <is>
          <t>ORD-10401</t>
        </is>
      </c>
      <c r="B402" s="6" t="n">
        <v>45708</v>
      </c>
      <c r="C402" s="3" t="inlineStr">
        <is>
          <t>Home &amp; Lifestyle</t>
        </is>
      </c>
      <c r="D402" s="3" t="inlineStr">
        <is>
          <t>Wallets</t>
        </is>
      </c>
      <c r="E402" s="3" t="inlineStr">
        <is>
          <t>Greater Accra</t>
        </is>
      </c>
      <c r="F402" s="3" t="inlineStr">
        <is>
          <t>Phone/WhatsApp</t>
        </is>
      </c>
      <c r="G402" s="3" t="inlineStr">
        <is>
          <t>New</t>
        </is>
      </c>
      <c r="H402" s="3" t="n">
        <v>2</v>
      </c>
      <c r="I402" s="3" t="n">
        <v>170</v>
      </c>
      <c r="J402" s="3" t="n">
        <v>84.97</v>
      </c>
      <c r="K402" s="3" t="n">
        <v>0.1</v>
      </c>
      <c r="L402" s="3" t="n">
        <v>32.57</v>
      </c>
    </row>
    <row r="403">
      <c r="A403" s="3" t="inlineStr">
        <is>
          <t>ORD-10402</t>
        </is>
      </c>
      <c r="B403" s="6" t="n">
        <v>45872</v>
      </c>
      <c r="C403" s="3" t="inlineStr">
        <is>
          <t>Clothing</t>
        </is>
      </c>
      <c r="D403" s="3" t="inlineStr">
        <is>
          <t>Shirts</t>
        </is>
      </c>
      <c r="E403" s="3" t="inlineStr">
        <is>
          <t>Central</t>
        </is>
      </c>
      <c r="F403" s="3" t="inlineStr">
        <is>
          <t>Online</t>
        </is>
      </c>
      <c r="G403" s="3" t="inlineStr">
        <is>
          <t>Returning</t>
        </is>
      </c>
      <c r="H403" s="3" t="n">
        <v>1</v>
      </c>
      <c r="I403" s="3" t="n">
        <v>170</v>
      </c>
      <c r="J403" s="3" t="n">
        <v>78.89</v>
      </c>
      <c r="K403" s="3" t="n">
        <v>0</v>
      </c>
      <c r="L403" s="3" t="n">
        <v>22.13</v>
      </c>
    </row>
    <row r="404">
      <c r="A404" s="3" t="inlineStr">
        <is>
          <t>ORD-10403</t>
        </is>
      </c>
      <c r="B404" s="6" t="n">
        <v>45788</v>
      </c>
      <c r="C404" s="3" t="inlineStr">
        <is>
          <t>Clothing</t>
        </is>
      </c>
      <c r="D404" s="3" t="inlineStr">
        <is>
          <t>Shirts</t>
        </is>
      </c>
      <c r="E404" s="3" t="inlineStr">
        <is>
          <t>Ashanti</t>
        </is>
      </c>
      <c r="F404" s="3" t="inlineStr">
        <is>
          <t>Online</t>
        </is>
      </c>
      <c r="G404" s="3" t="inlineStr">
        <is>
          <t>Returning</t>
        </is>
      </c>
      <c r="H404" s="3" t="n">
        <v>3</v>
      </c>
      <c r="I404" s="3" t="n">
        <v>190</v>
      </c>
      <c r="J404" s="3" t="n">
        <v>108.18</v>
      </c>
      <c r="K404" s="3" t="n">
        <v>0</v>
      </c>
      <c r="L404" s="3" t="n">
        <v>22.69</v>
      </c>
    </row>
    <row r="405">
      <c r="A405" s="3" t="inlineStr">
        <is>
          <t>ORD-10404</t>
        </is>
      </c>
      <c r="B405" s="6" t="n">
        <v>45750</v>
      </c>
      <c r="C405" s="3" t="inlineStr">
        <is>
          <t>Clothing</t>
        </is>
      </c>
      <c r="D405" s="3" t="inlineStr">
        <is>
          <t>Jackets</t>
        </is>
      </c>
      <c r="E405" s="3" t="inlineStr">
        <is>
          <t>Central</t>
        </is>
      </c>
      <c r="F405" s="3" t="inlineStr">
        <is>
          <t>Retail Shop</t>
        </is>
      </c>
      <c r="G405" s="3" t="inlineStr">
        <is>
          <t>Returning</t>
        </is>
      </c>
      <c r="H405" s="3" t="n">
        <v>2</v>
      </c>
      <c r="I405" s="3" t="n">
        <v>260</v>
      </c>
      <c r="J405" s="3" t="n">
        <v>125.42</v>
      </c>
      <c r="K405" s="3" t="n">
        <v>0.05</v>
      </c>
      <c r="L405" s="3" t="n">
        <v>11.04</v>
      </c>
    </row>
    <row r="406">
      <c r="A406" s="3" t="inlineStr">
        <is>
          <t>ORD-10405</t>
        </is>
      </c>
      <c r="B406" s="6" t="n">
        <v>45817</v>
      </c>
      <c r="C406" s="3" t="inlineStr">
        <is>
          <t>Footwear</t>
        </is>
      </c>
      <c r="D406" s="3" t="inlineStr">
        <is>
          <t>Sneakers</t>
        </is>
      </c>
      <c r="E406" s="3" t="inlineStr">
        <is>
          <t>Central</t>
        </is>
      </c>
      <c r="F406" s="3" t="inlineStr">
        <is>
          <t>Retail Shop</t>
        </is>
      </c>
      <c r="G406" s="3" t="inlineStr">
        <is>
          <t>Returning</t>
        </is>
      </c>
      <c r="H406" s="3" t="n">
        <v>3</v>
      </c>
      <c r="I406" s="3" t="n">
        <v>230</v>
      </c>
      <c r="J406" s="3" t="n">
        <v>142.8</v>
      </c>
      <c r="K406" s="3" t="n">
        <v>0.1</v>
      </c>
      <c r="L406" s="3" t="n">
        <v>8.09</v>
      </c>
    </row>
    <row r="407">
      <c r="A407" s="3" t="inlineStr">
        <is>
          <t>ORD-10406</t>
        </is>
      </c>
      <c r="B407" s="6" t="n">
        <v>45852</v>
      </c>
      <c r="C407" s="3" t="inlineStr">
        <is>
          <t>Accessories</t>
        </is>
      </c>
      <c r="D407" s="3" t="inlineStr">
        <is>
          <t>Watches</t>
        </is>
      </c>
      <c r="E407" s="3" t="inlineStr">
        <is>
          <t>Western</t>
        </is>
      </c>
      <c r="F407" s="3" t="inlineStr">
        <is>
          <t>Retail Shop</t>
        </is>
      </c>
      <c r="G407" s="3" t="inlineStr">
        <is>
          <t>Returning</t>
        </is>
      </c>
      <c r="H407" s="3" t="n">
        <v>1</v>
      </c>
      <c r="I407" s="3" t="n">
        <v>140</v>
      </c>
      <c r="J407" s="3" t="n">
        <v>74.13</v>
      </c>
      <c r="K407" s="3" t="n">
        <v>0.05</v>
      </c>
      <c r="L407" s="3" t="n">
        <v>7.07</v>
      </c>
    </row>
    <row r="408">
      <c r="A408" s="3" t="inlineStr">
        <is>
          <t>ORD-10407</t>
        </is>
      </c>
      <c r="B408" s="6" t="n">
        <v>45895</v>
      </c>
      <c r="C408" s="3" t="inlineStr">
        <is>
          <t>Footwear</t>
        </is>
      </c>
      <c r="D408" s="3" t="inlineStr">
        <is>
          <t>Sneakers</t>
        </is>
      </c>
      <c r="E408" s="3" t="inlineStr">
        <is>
          <t>Ashanti</t>
        </is>
      </c>
      <c r="F408" s="3" t="inlineStr">
        <is>
          <t>Online</t>
        </is>
      </c>
      <c r="G408" s="3" t="inlineStr">
        <is>
          <t>New</t>
        </is>
      </c>
      <c r="H408" s="3" t="n">
        <v>3</v>
      </c>
      <c r="I408" s="3" t="n">
        <v>310</v>
      </c>
      <c r="J408" s="3" t="n">
        <v>166.44</v>
      </c>
      <c r="K408" s="3" t="n">
        <v>0.05</v>
      </c>
      <c r="L408" s="3" t="n">
        <v>28.06</v>
      </c>
    </row>
    <row r="409">
      <c r="A409" s="3" t="inlineStr">
        <is>
          <t>ORD-10408</t>
        </is>
      </c>
      <c r="B409" s="6" t="n">
        <v>46009</v>
      </c>
      <c r="C409" s="3" t="inlineStr">
        <is>
          <t>Accessories</t>
        </is>
      </c>
      <c r="D409" s="3" t="inlineStr">
        <is>
          <t>Bags</t>
        </is>
      </c>
      <c r="E409" s="3" t="inlineStr">
        <is>
          <t>Western</t>
        </is>
      </c>
      <c r="F409" s="3" t="inlineStr">
        <is>
          <t>Phone/WhatsApp</t>
        </is>
      </c>
      <c r="G409" s="3" t="inlineStr">
        <is>
          <t>New</t>
        </is>
      </c>
      <c r="H409" s="3" t="n">
        <v>2</v>
      </c>
      <c r="I409" s="3" t="n">
        <v>125</v>
      </c>
      <c r="J409" s="3" t="n">
        <v>65.5</v>
      </c>
      <c r="K409" s="3" t="n">
        <v>0</v>
      </c>
      <c r="L409" s="3" t="n">
        <v>41.67</v>
      </c>
    </row>
    <row r="410">
      <c r="A410" s="3" t="inlineStr">
        <is>
          <t>ORD-10409</t>
        </is>
      </c>
      <c r="B410" s="6" t="n">
        <v>45700</v>
      </c>
      <c r="C410" s="3" t="inlineStr">
        <is>
          <t>Footwear</t>
        </is>
      </c>
      <c r="D410" s="3" t="inlineStr">
        <is>
          <t>Sneakers</t>
        </is>
      </c>
      <c r="E410" s="3" t="inlineStr">
        <is>
          <t>Central</t>
        </is>
      </c>
      <c r="F410" s="3" t="inlineStr">
        <is>
          <t>Retail Shop</t>
        </is>
      </c>
      <c r="G410" s="3" t="inlineStr">
        <is>
          <t>New</t>
        </is>
      </c>
      <c r="H410" s="3" t="n">
        <v>1</v>
      </c>
      <c r="I410" s="3" t="n">
        <v>455</v>
      </c>
      <c r="J410" s="3" t="n">
        <v>280.14</v>
      </c>
      <c r="K410" s="3" t="n">
        <v>0.2</v>
      </c>
      <c r="L410" s="3" t="n">
        <v>11.42</v>
      </c>
    </row>
    <row r="411">
      <c r="A411" s="3" t="inlineStr">
        <is>
          <t>ORD-10410</t>
        </is>
      </c>
      <c r="B411" s="6" t="n">
        <v>45696</v>
      </c>
      <c r="C411" s="3" t="inlineStr">
        <is>
          <t>Footwear</t>
        </is>
      </c>
      <c r="D411" s="3" t="inlineStr">
        <is>
          <t>Sneakers</t>
        </is>
      </c>
      <c r="E411" s="3" t="inlineStr">
        <is>
          <t>Greater Accra</t>
        </is>
      </c>
      <c r="F411" s="3" t="inlineStr">
        <is>
          <t>Retail Shop</t>
        </is>
      </c>
      <c r="G411" s="3" t="inlineStr">
        <is>
          <t>Returning</t>
        </is>
      </c>
      <c r="H411" s="3" t="n">
        <v>3</v>
      </c>
      <c r="I411" s="3" t="n">
        <v>390</v>
      </c>
      <c r="J411" s="3" t="n">
        <v>220.94</v>
      </c>
      <c r="K411" s="3" t="n">
        <v>0</v>
      </c>
      <c r="L411" s="3" t="n">
        <v>6.88</v>
      </c>
    </row>
    <row r="412">
      <c r="A412" s="3" t="inlineStr">
        <is>
          <t>ORD-10411</t>
        </is>
      </c>
      <c r="B412" s="6" t="n">
        <v>45817</v>
      </c>
      <c r="C412" s="3" t="inlineStr">
        <is>
          <t>Clothing</t>
        </is>
      </c>
      <c r="D412" s="3" t="inlineStr">
        <is>
          <t>Jackets</t>
        </is>
      </c>
      <c r="E412" s="3" t="inlineStr">
        <is>
          <t>Western</t>
        </is>
      </c>
      <c r="F412" s="3" t="inlineStr">
        <is>
          <t>Phone/WhatsApp</t>
        </is>
      </c>
      <c r="G412" s="3" t="inlineStr">
        <is>
          <t>New</t>
        </is>
      </c>
      <c r="H412" s="3" t="n">
        <v>2</v>
      </c>
      <c r="I412" s="3" t="n">
        <v>150</v>
      </c>
      <c r="J412" s="3" t="n">
        <v>74.84999999999999</v>
      </c>
      <c r="K412" s="3" t="n">
        <v>0.15</v>
      </c>
      <c r="L412" s="3" t="n">
        <v>36.56</v>
      </c>
    </row>
    <row r="413">
      <c r="A413" s="3" t="inlineStr">
        <is>
          <t>ORD-10412</t>
        </is>
      </c>
      <c r="B413" s="6" t="n">
        <v>45915</v>
      </c>
      <c r="C413" s="3" t="inlineStr">
        <is>
          <t>Home &amp; Lifestyle</t>
        </is>
      </c>
      <c r="D413" s="3" t="inlineStr">
        <is>
          <t>Travel Mugs</t>
        </is>
      </c>
      <c r="E413" s="3" t="inlineStr">
        <is>
          <t>Greater Accra</t>
        </is>
      </c>
      <c r="F413" s="3" t="inlineStr">
        <is>
          <t>Online</t>
        </is>
      </c>
      <c r="G413" s="3" t="inlineStr">
        <is>
          <t>New</t>
        </is>
      </c>
      <c r="H413" s="3" t="n">
        <v>1</v>
      </c>
      <c r="I413" s="3" t="n">
        <v>145</v>
      </c>
      <c r="J413" s="3" t="n">
        <v>71.31</v>
      </c>
      <c r="K413" s="3" t="n">
        <v>0.05</v>
      </c>
      <c r="L413" s="3" t="n">
        <v>22.56</v>
      </c>
    </row>
    <row r="414">
      <c r="A414" s="3" t="inlineStr">
        <is>
          <t>ORD-10413</t>
        </is>
      </c>
      <c r="B414" s="6" t="n">
        <v>45766</v>
      </c>
      <c r="C414" s="3" t="inlineStr">
        <is>
          <t>Footwear</t>
        </is>
      </c>
      <c r="D414" s="3" t="inlineStr">
        <is>
          <t>Sneakers</t>
        </is>
      </c>
      <c r="E414" s="3" t="inlineStr">
        <is>
          <t>Ashanti</t>
        </is>
      </c>
      <c r="F414" s="3" t="inlineStr">
        <is>
          <t>Online</t>
        </is>
      </c>
      <c r="G414" s="3" t="inlineStr">
        <is>
          <t>New</t>
        </is>
      </c>
      <c r="H414" s="3" t="n">
        <v>2</v>
      </c>
      <c r="I414" s="3" t="n">
        <v>460</v>
      </c>
      <c r="J414" s="3" t="n">
        <v>266.79</v>
      </c>
      <c r="K414" s="3" t="n">
        <v>0.05</v>
      </c>
      <c r="L414" s="3" t="n">
        <v>39.83</v>
      </c>
    </row>
    <row r="415">
      <c r="A415" s="3" t="inlineStr">
        <is>
          <t>ORD-10414</t>
        </is>
      </c>
      <c r="B415" s="6" t="n">
        <v>45927</v>
      </c>
      <c r="C415" s="3" t="inlineStr">
        <is>
          <t>Home &amp; Lifestyle</t>
        </is>
      </c>
      <c r="D415" s="3" t="inlineStr">
        <is>
          <t>Wallets</t>
        </is>
      </c>
      <c r="E415" s="3" t="inlineStr">
        <is>
          <t>Ashanti</t>
        </is>
      </c>
      <c r="F415" s="3" t="inlineStr">
        <is>
          <t>Online</t>
        </is>
      </c>
      <c r="G415" s="3" t="inlineStr">
        <is>
          <t>Returning</t>
        </is>
      </c>
      <c r="H415" s="3" t="n">
        <v>1</v>
      </c>
      <c r="I415" s="3" t="n">
        <v>175</v>
      </c>
      <c r="J415" s="3" t="n">
        <v>94.79000000000001</v>
      </c>
      <c r="K415" s="3" t="n">
        <v>0</v>
      </c>
      <c r="L415" s="3" t="n">
        <v>37.51</v>
      </c>
    </row>
    <row r="416">
      <c r="A416" s="3" t="inlineStr">
        <is>
          <t>ORD-10415</t>
        </is>
      </c>
      <c r="B416" s="6" t="n">
        <v>45678</v>
      </c>
      <c r="C416" s="3" t="inlineStr">
        <is>
          <t>Footwear</t>
        </is>
      </c>
      <c r="D416" s="3" t="inlineStr">
        <is>
          <t>Sneakers</t>
        </is>
      </c>
      <c r="E416" s="3" t="inlineStr">
        <is>
          <t>Western</t>
        </is>
      </c>
      <c r="F416" s="3" t="inlineStr">
        <is>
          <t>Online</t>
        </is>
      </c>
      <c r="G416" s="3" t="inlineStr">
        <is>
          <t>Returning</t>
        </is>
      </c>
      <c r="H416" s="3" t="n">
        <v>2</v>
      </c>
      <c r="I416" s="3" t="n">
        <v>230</v>
      </c>
      <c r="J416" s="3" t="n">
        <v>120.71</v>
      </c>
      <c r="K416" s="3" t="n">
        <v>0.15</v>
      </c>
      <c r="L416" s="3" t="n">
        <v>34.18</v>
      </c>
    </row>
    <row r="417">
      <c r="A417" s="3" t="inlineStr">
        <is>
          <t>ORD-10416</t>
        </is>
      </c>
      <c r="B417" s="6" t="n">
        <v>45704</v>
      </c>
      <c r="C417" s="3" t="inlineStr">
        <is>
          <t>Footwear</t>
        </is>
      </c>
      <c r="D417" s="3" t="inlineStr">
        <is>
          <t>Formal Shoes</t>
        </is>
      </c>
      <c r="E417" s="3" t="inlineStr">
        <is>
          <t>Greater Accra</t>
        </is>
      </c>
      <c r="F417" s="3" t="inlineStr">
        <is>
          <t>Online</t>
        </is>
      </c>
      <c r="G417" s="3" t="inlineStr">
        <is>
          <t>Returning</t>
        </is>
      </c>
      <c r="H417" s="3" t="n">
        <v>10</v>
      </c>
      <c r="I417" s="3" t="n">
        <v>365</v>
      </c>
      <c r="J417" s="3" t="n">
        <v>222.68</v>
      </c>
      <c r="K417" s="3" t="n">
        <v>0.2</v>
      </c>
      <c r="L417" s="3" t="n">
        <v>44.91</v>
      </c>
    </row>
    <row r="418">
      <c r="A418" s="3" t="inlineStr">
        <is>
          <t>ORD-10417</t>
        </is>
      </c>
      <c r="B418" s="6" t="n">
        <v>45883</v>
      </c>
      <c r="C418" s="3" t="inlineStr">
        <is>
          <t>Home &amp; Lifestyle</t>
        </is>
      </c>
      <c r="D418" s="3" t="inlineStr">
        <is>
          <t>Wallets</t>
        </is>
      </c>
      <c r="E418" s="3" t="inlineStr">
        <is>
          <t>Greater Accra</t>
        </is>
      </c>
      <c r="F418" s="3" t="inlineStr">
        <is>
          <t>Retail Shop</t>
        </is>
      </c>
      <c r="G418" s="3" t="inlineStr">
        <is>
          <t>Returning</t>
        </is>
      </c>
      <c r="H418" s="3" t="n">
        <v>1</v>
      </c>
      <c r="I418" s="3" t="n">
        <v>150</v>
      </c>
      <c r="J418" s="3" t="n">
        <v>88.94</v>
      </c>
      <c r="K418" s="3" t="n">
        <v>0.05</v>
      </c>
      <c r="L418" s="3" t="n">
        <v>0.15</v>
      </c>
    </row>
    <row r="419">
      <c r="A419" s="3" t="inlineStr">
        <is>
          <t>ORD-10418</t>
        </is>
      </c>
      <c r="B419" s="6" t="n">
        <v>45760</v>
      </c>
      <c r="C419" s="3" t="inlineStr">
        <is>
          <t>Clothing</t>
        </is>
      </c>
      <c r="D419" s="3" t="inlineStr">
        <is>
          <t>Trousers</t>
        </is>
      </c>
      <c r="E419" s="3" t="inlineStr">
        <is>
          <t>Northern</t>
        </is>
      </c>
      <c r="F419" s="3" t="inlineStr">
        <is>
          <t>Retail Shop</t>
        </is>
      </c>
      <c r="G419" s="3" t="inlineStr">
        <is>
          <t>Returning</t>
        </is>
      </c>
      <c r="H419" s="3" t="n">
        <v>1</v>
      </c>
      <c r="I419" s="3" t="n">
        <v>180</v>
      </c>
      <c r="J419" s="3" t="n">
        <v>100.17</v>
      </c>
      <c r="K419" s="3" t="n">
        <v>0.15</v>
      </c>
      <c r="L419" s="3" t="n">
        <v>7.45</v>
      </c>
    </row>
    <row r="420">
      <c r="A420" s="3" t="inlineStr">
        <is>
          <t>ORD-10419</t>
        </is>
      </c>
      <c r="B420" s="6" t="n">
        <v>45938</v>
      </c>
      <c r="C420" s="3" t="inlineStr">
        <is>
          <t>Footwear</t>
        </is>
      </c>
      <c r="D420" s="3" t="inlineStr">
        <is>
          <t>Boots</t>
        </is>
      </c>
      <c r="E420" s="3" t="inlineStr">
        <is>
          <t>Greater Accra</t>
        </is>
      </c>
      <c r="F420" s="3" t="inlineStr">
        <is>
          <t>Phone/WhatsApp</t>
        </is>
      </c>
      <c r="G420" s="3" t="inlineStr">
        <is>
          <t>New</t>
        </is>
      </c>
      <c r="H420" s="3" t="n">
        <v>2</v>
      </c>
      <c r="I420" s="3" t="n">
        <v>340</v>
      </c>
      <c r="J420" s="3" t="n">
        <v>183.24</v>
      </c>
      <c r="K420" s="3" t="n">
        <v>0.05</v>
      </c>
      <c r="L420" s="3" t="n">
        <v>26.32</v>
      </c>
    </row>
    <row r="421">
      <c r="A421" s="3" t="inlineStr">
        <is>
          <t>ORD-10420</t>
        </is>
      </c>
      <c r="B421" s="6" t="n">
        <v>45981</v>
      </c>
      <c r="C421" s="3" t="inlineStr">
        <is>
          <t>Home &amp; Lifestyle</t>
        </is>
      </c>
      <c r="D421" s="3" t="inlineStr">
        <is>
          <t>Wallets</t>
        </is>
      </c>
      <c r="E421" s="3" t="inlineStr">
        <is>
          <t>Greater Accra</t>
        </is>
      </c>
      <c r="F421" s="3" t="inlineStr">
        <is>
          <t>Retail Shop</t>
        </is>
      </c>
      <c r="G421" s="3" t="inlineStr">
        <is>
          <t>New</t>
        </is>
      </c>
      <c r="H421" s="3" t="n">
        <v>4</v>
      </c>
      <c r="I421" s="3" t="n">
        <v>125</v>
      </c>
      <c r="J421" s="3" t="n">
        <v>67.87</v>
      </c>
      <c r="K421" s="3" t="n">
        <v>0.15</v>
      </c>
      <c r="L421" s="3" t="n">
        <v>3.26</v>
      </c>
    </row>
    <row r="422">
      <c r="A422" s="3" t="inlineStr">
        <is>
          <t>ORD-10421</t>
        </is>
      </c>
      <c r="B422" s="6" t="n">
        <v>45662</v>
      </c>
      <c r="C422" s="3" t="inlineStr">
        <is>
          <t>Clothing</t>
        </is>
      </c>
      <c r="D422" s="3" t="inlineStr">
        <is>
          <t>Dresses</t>
        </is>
      </c>
      <c r="E422" s="3" t="inlineStr">
        <is>
          <t>Western</t>
        </is>
      </c>
      <c r="F422" s="3" t="inlineStr">
        <is>
          <t>Online</t>
        </is>
      </c>
      <c r="G422" s="3" t="inlineStr">
        <is>
          <t>New</t>
        </is>
      </c>
      <c r="H422" s="3" t="n">
        <v>5</v>
      </c>
      <c r="I422" s="3" t="n">
        <v>185</v>
      </c>
      <c r="J422" s="3" t="n">
        <v>85.3</v>
      </c>
      <c r="K422" s="3" t="n">
        <v>0.05</v>
      </c>
      <c r="L422" s="3" t="n">
        <v>41.94</v>
      </c>
    </row>
    <row r="423">
      <c r="A423" s="3" t="inlineStr">
        <is>
          <t>ORD-10422</t>
        </is>
      </c>
      <c r="B423" s="6" t="n">
        <v>45934</v>
      </c>
      <c r="C423" s="3" t="inlineStr">
        <is>
          <t>Accessories</t>
        </is>
      </c>
      <c r="D423" s="3" t="inlineStr">
        <is>
          <t>Bags</t>
        </is>
      </c>
      <c r="E423" s="3" t="inlineStr">
        <is>
          <t>Western</t>
        </is>
      </c>
      <c r="F423" s="3" t="inlineStr">
        <is>
          <t>Phone/WhatsApp</t>
        </is>
      </c>
      <c r="G423" s="3" t="inlineStr">
        <is>
          <t>Returning</t>
        </is>
      </c>
      <c r="H423" s="3" t="n">
        <v>2</v>
      </c>
      <c r="I423" s="3" t="n">
        <v>70</v>
      </c>
      <c r="J423" s="3" t="n">
        <v>30.3</v>
      </c>
      <c r="K423" s="3" t="n">
        <v>0.1</v>
      </c>
      <c r="L423" s="3" t="n">
        <v>42.22</v>
      </c>
    </row>
    <row r="424">
      <c r="A424" s="3" t="inlineStr">
        <is>
          <t>ORD-10423</t>
        </is>
      </c>
      <c r="B424" s="6" t="n">
        <v>45678</v>
      </c>
      <c r="C424" s="3" t="inlineStr">
        <is>
          <t>Footwear</t>
        </is>
      </c>
      <c r="D424" s="3" t="inlineStr">
        <is>
          <t>Boots</t>
        </is>
      </c>
      <c r="E424" s="3" t="inlineStr">
        <is>
          <t>Greater Accra</t>
        </is>
      </c>
      <c r="F424" s="3" t="inlineStr">
        <is>
          <t>Retail Shop</t>
        </is>
      </c>
      <c r="G424" s="3" t="inlineStr">
        <is>
          <t>Returning</t>
        </is>
      </c>
      <c r="H424" s="3" t="n">
        <v>4</v>
      </c>
      <c r="I424" s="3" t="n">
        <v>370</v>
      </c>
      <c r="J424" s="3" t="n">
        <v>196.69</v>
      </c>
      <c r="K424" s="3" t="n">
        <v>0</v>
      </c>
      <c r="L424" s="3" t="n">
        <v>7.48</v>
      </c>
    </row>
    <row r="425">
      <c r="A425" s="3" t="inlineStr">
        <is>
          <t>ORD-10424</t>
        </is>
      </c>
      <c r="B425" s="6" t="n">
        <v>45891</v>
      </c>
      <c r="C425" s="3" t="inlineStr">
        <is>
          <t>Accessories</t>
        </is>
      </c>
      <c r="D425" s="3" t="inlineStr">
        <is>
          <t>Belts</t>
        </is>
      </c>
      <c r="E425" s="3" t="inlineStr">
        <is>
          <t>Ashanti</t>
        </is>
      </c>
      <c r="F425" s="3" t="inlineStr">
        <is>
          <t>Online</t>
        </is>
      </c>
      <c r="G425" s="3" t="inlineStr">
        <is>
          <t>Returning</t>
        </is>
      </c>
      <c r="H425" s="3" t="n">
        <v>3</v>
      </c>
      <c r="I425" s="3" t="n">
        <v>80</v>
      </c>
      <c r="J425" s="3" t="n">
        <v>41.56</v>
      </c>
      <c r="K425" s="3" t="n">
        <v>0.1</v>
      </c>
      <c r="L425" s="3" t="n">
        <v>41.27</v>
      </c>
    </row>
    <row r="426">
      <c r="A426" s="3" t="inlineStr">
        <is>
          <t>ORD-10425</t>
        </is>
      </c>
      <c r="B426" s="6" t="n">
        <v>46013</v>
      </c>
      <c r="C426" s="3" t="inlineStr">
        <is>
          <t>Footwear</t>
        </is>
      </c>
      <c r="D426" s="3" t="inlineStr">
        <is>
          <t>Formal Shoes</t>
        </is>
      </c>
      <c r="E426" s="3" t="inlineStr">
        <is>
          <t>Central</t>
        </is>
      </c>
      <c r="F426" s="3" t="inlineStr">
        <is>
          <t>Retail Shop</t>
        </is>
      </c>
      <c r="G426" s="3" t="inlineStr">
        <is>
          <t>Returning</t>
        </is>
      </c>
      <c r="H426" s="3" t="n">
        <v>1</v>
      </c>
      <c r="I426" s="3" t="n">
        <v>355</v>
      </c>
      <c r="J426" s="3" t="n">
        <v>181.54</v>
      </c>
      <c r="K426" s="3" t="n">
        <v>0</v>
      </c>
      <c r="L426" s="3" t="n">
        <v>0.95</v>
      </c>
    </row>
    <row r="427">
      <c r="A427" s="3" t="inlineStr">
        <is>
          <t>ORD-10426</t>
        </is>
      </c>
      <c r="B427" s="6" t="n">
        <v>45947</v>
      </c>
      <c r="C427" s="3" t="inlineStr">
        <is>
          <t>Clothing</t>
        </is>
      </c>
      <c r="D427" s="3" t="inlineStr">
        <is>
          <t>Shirts</t>
        </is>
      </c>
      <c r="E427" s="3" t="inlineStr">
        <is>
          <t>Greater Accra</t>
        </is>
      </c>
      <c r="F427" s="3" t="inlineStr">
        <is>
          <t>Retail Shop</t>
        </is>
      </c>
      <c r="G427" s="3" t="inlineStr">
        <is>
          <t>New</t>
        </is>
      </c>
      <c r="H427" s="3" t="n">
        <v>4</v>
      </c>
      <c r="I427" s="3" t="n">
        <v>110</v>
      </c>
      <c r="J427" s="3" t="n">
        <v>62.08</v>
      </c>
      <c r="K427" s="3" t="n">
        <v>0</v>
      </c>
      <c r="L427" s="3" t="n">
        <v>9.42</v>
      </c>
    </row>
    <row r="428">
      <c r="A428" s="3" t="inlineStr">
        <is>
          <t>ORD-10427</t>
        </is>
      </c>
      <c r="B428" s="6" t="n">
        <v>45956</v>
      </c>
      <c r="C428" s="3" t="inlineStr">
        <is>
          <t>Accessories</t>
        </is>
      </c>
      <c r="D428" s="3" t="inlineStr">
        <is>
          <t>Watches</t>
        </is>
      </c>
      <c r="E428" s="3" t="inlineStr">
        <is>
          <t>Greater Accra</t>
        </is>
      </c>
      <c r="F428" s="3" t="inlineStr">
        <is>
          <t>Online</t>
        </is>
      </c>
      <c r="G428" s="3" t="inlineStr">
        <is>
          <t>Returning</t>
        </is>
      </c>
      <c r="H428" s="3" t="n">
        <v>1</v>
      </c>
      <c r="I428" s="3" t="n">
        <v>125</v>
      </c>
      <c r="J428" s="3" t="n">
        <v>55.24</v>
      </c>
      <c r="K428" s="3" t="n">
        <v>0.05</v>
      </c>
      <c r="L428" s="3" t="n">
        <v>28.89</v>
      </c>
    </row>
    <row r="429">
      <c r="A429" s="3" t="inlineStr">
        <is>
          <t>ORD-10428</t>
        </is>
      </c>
      <c r="B429" s="6" t="n">
        <v>45910</v>
      </c>
      <c r="C429" s="3" t="inlineStr">
        <is>
          <t>Footwear</t>
        </is>
      </c>
      <c r="D429" s="3" t="inlineStr">
        <is>
          <t>Sandals</t>
        </is>
      </c>
      <c r="E429" s="3" t="inlineStr">
        <is>
          <t>Western</t>
        </is>
      </c>
      <c r="F429" s="3" t="inlineStr">
        <is>
          <t>Retail Shop</t>
        </is>
      </c>
      <c r="G429" s="3" t="inlineStr">
        <is>
          <t>Returning</t>
        </is>
      </c>
      <c r="H429" s="3" t="n">
        <v>1</v>
      </c>
      <c r="I429" s="3" t="n">
        <v>385</v>
      </c>
      <c r="J429" s="3" t="n">
        <v>235.02</v>
      </c>
      <c r="K429" s="3" t="n">
        <v>0.1</v>
      </c>
      <c r="L429" s="3" t="n">
        <v>3.85</v>
      </c>
    </row>
    <row r="430">
      <c r="A430" s="3" t="inlineStr">
        <is>
          <t>ORD-10429</t>
        </is>
      </c>
      <c r="B430" s="6" t="n">
        <v>45759</v>
      </c>
      <c r="C430" s="3" t="inlineStr">
        <is>
          <t>Home &amp; Lifestyle</t>
        </is>
      </c>
      <c r="D430" s="3" t="inlineStr">
        <is>
          <t>Wallets</t>
        </is>
      </c>
      <c r="E430" s="3" t="inlineStr">
        <is>
          <t>Greater Accra</t>
        </is>
      </c>
      <c r="F430" s="3" t="inlineStr">
        <is>
          <t>Online</t>
        </is>
      </c>
      <c r="G430" s="3" t="inlineStr">
        <is>
          <t>Returning</t>
        </is>
      </c>
      <c r="H430" s="3" t="n">
        <v>2</v>
      </c>
      <c r="I430" s="3" t="n">
        <v>110</v>
      </c>
      <c r="J430" s="3" t="n">
        <v>55.74</v>
      </c>
      <c r="K430" s="3" t="n">
        <v>0.05</v>
      </c>
      <c r="L430" s="3" t="n">
        <v>21.59</v>
      </c>
    </row>
    <row r="431">
      <c r="A431" s="3" t="inlineStr">
        <is>
          <t>ORD-10430</t>
        </is>
      </c>
      <c r="B431" s="6" t="n">
        <v>45688</v>
      </c>
      <c r="C431" s="3" t="inlineStr">
        <is>
          <t>Accessories</t>
        </is>
      </c>
      <c r="D431" s="3" t="inlineStr">
        <is>
          <t>Sunglasses</t>
        </is>
      </c>
      <c r="E431" s="3" t="inlineStr">
        <is>
          <t>Greater Accra</t>
        </is>
      </c>
      <c r="F431" s="3" t="inlineStr">
        <is>
          <t>Online</t>
        </is>
      </c>
      <c r="G431" s="3" t="inlineStr">
        <is>
          <t>Returning</t>
        </is>
      </c>
      <c r="H431" s="3" t="n">
        <v>2</v>
      </c>
      <c r="I431" s="3" t="n">
        <v>80</v>
      </c>
      <c r="J431" s="3" t="n">
        <v>36.84</v>
      </c>
      <c r="K431" s="3" t="n">
        <v>0</v>
      </c>
      <c r="L431" s="3" t="n">
        <v>18.74</v>
      </c>
    </row>
    <row r="432">
      <c r="A432" s="3" t="inlineStr">
        <is>
          <t>ORD-10431</t>
        </is>
      </c>
      <c r="B432" s="6" t="n">
        <v>45909</v>
      </c>
      <c r="C432" s="3" t="inlineStr">
        <is>
          <t>Clothing</t>
        </is>
      </c>
      <c r="D432" s="3" t="inlineStr">
        <is>
          <t>Shirts</t>
        </is>
      </c>
      <c r="E432" s="3" t="inlineStr">
        <is>
          <t>Ashanti</t>
        </is>
      </c>
      <c r="F432" s="3" t="inlineStr">
        <is>
          <t>Online</t>
        </is>
      </c>
      <c r="G432" s="3" t="inlineStr">
        <is>
          <t>New</t>
        </is>
      </c>
      <c r="H432" s="3" t="n">
        <v>1</v>
      </c>
      <c r="I432" s="3" t="n">
        <v>215</v>
      </c>
      <c r="J432" s="3" t="n">
        <v>118.59</v>
      </c>
      <c r="K432" s="3" t="n">
        <v>0.2</v>
      </c>
      <c r="L432" s="3" t="n">
        <v>30.17</v>
      </c>
    </row>
    <row r="433">
      <c r="A433" s="3" t="inlineStr">
        <is>
          <t>ORD-10432</t>
        </is>
      </c>
      <c r="B433" s="6" t="n">
        <v>45924</v>
      </c>
      <c r="C433" s="3" t="inlineStr">
        <is>
          <t>Accessories</t>
        </is>
      </c>
      <c r="D433" s="3" t="inlineStr">
        <is>
          <t>Belts</t>
        </is>
      </c>
      <c r="E433" s="3" t="inlineStr">
        <is>
          <t>Greater Accra</t>
        </is>
      </c>
      <c r="F433" s="3" t="inlineStr">
        <is>
          <t>Online</t>
        </is>
      </c>
      <c r="G433" s="3" t="inlineStr">
        <is>
          <t>Returning</t>
        </is>
      </c>
      <c r="H433" s="3" t="n">
        <v>1</v>
      </c>
      <c r="I433" s="3" t="n">
        <v>90</v>
      </c>
      <c r="J433" s="3" t="n">
        <v>39.39</v>
      </c>
      <c r="K433" s="3" t="n">
        <v>0</v>
      </c>
      <c r="L433" s="3" t="n">
        <v>39.07</v>
      </c>
    </row>
    <row r="434">
      <c r="A434" s="3" t="inlineStr">
        <is>
          <t>ORD-10433</t>
        </is>
      </c>
      <c r="B434" s="6" t="n">
        <v>45785</v>
      </c>
      <c r="C434" s="3" t="inlineStr">
        <is>
          <t>Home &amp; Lifestyle</t>
        </is>
      </c>
      <c r="D434" s="3" t="inlineStr">
        <is>
          <t>Travel Mugs</t>
        </is>
      </c>
      <c r="E434" s="3" t="inlineStr">
        <is>
          <t>Greater Accra</t>
        </is>
      </c>
      <c r="F434" s="3" t="inlineStr">
        <is>
          <t>Online</t>
        </is>
      </c>
      <c r="G434" s="3" t="inlineStr">
        <is>
          <t>Returning</t>
        </is>
      </c>
      <c r="H434" s="3" t="n">
        <v>2</v>
      </c>
      <c r="I434" s="3" t="n">
        <v>155</v>
      </c>
      <c r="J434" s="3" t="n">
        <v>91.05</v>
      </c>
      <c r="K434" s="3" t="n">
        <v>0.2</v>
      </c>
      <c r="L434" s="3" t="n">
        <v>8.83</v>
      </c>
    </row>
    <row r="435">
      <c r="A435" s="3" t="inlineStr">
        <is>
          <t>ORD-10434</t>
        </is>
      </c>
      <c r="B435" s="6" t="n">
        <v>45701</v>
      </c>
      <c r="C435" s="3" t="inlineStr">
        <is>
          <t>Clothing</t>
        </is>
      </c>
      <c r="D435" s="3" t="inlineStr">
        <is>
          <t>Dresses</t>
        </is>
      </c>
      <c r="E435" s="3" t="inlineStr">
        <is>
          <t>Central</t>
        </is>
      </c>
      <c r="F435" s="3" t="inlineStr">
        <is>
          <t>Retail Shop</t>
        </is>
      </c>
      <c r="G435" s="3" t="inlineStr">
        <is>
          <t>New</t>
        </is>
      </c>
      <c r="H435" s="3" t="n">
        <v>4</v>
      </c>
      <c r="I435" s="3" t="n">
        <v>175</v>
      </c>
      <c r="J435" s="3" t="n">
        <v>90.26000000000001</v>
      </c>
      <c r="K435" s="3" t="n">
        <v>0.05</v>
      </c>
      <c r="L435" s="3" t="n">
        <v>6.28</v>
      </c>
    </row>
    <row r="436">
      <c r="A436" s="3" t="inlineStr">
        <is>
          <t>ORD-10435</t>
        </is>
      </c>
      <c r="B436" s="6" t="n">
        <v>46014</v>
      </c>
      <c r="C436" s="3" t="inlineStr">
        <is>
          <t>Home &amp; Lifestyle</t>
        </is>
      </c>
      <c r="D436" s="3" t="inlineStr">
        <is>
          <t>Backpacks</t>
        </is>
      </c>
      <c r="E436" s="3" t="inlineStr">
        <is>
          <t>Central</t>
        </is>
      </c>
      <c r="F436" s="3" t="inlineStr">
        <is>
          <t>Retail Shop</t>
        </is>
      </c>
      <c r="G436" s="3" t="inlineStr">
        <is>
          <t>Returning</t>
        </is>
      </c>
      <c r="H436" s="3" t="n">
        <v>2</v>
      </c>
      <c r="I436" s="3" t="n">
        <v>90</v>
      </c>
      <c r="J436" s="3" t="n">
        <v>49.31</v>
      </c>
      <c r="K436" s="3" t="n">
        <v>0.1</v>
      </c>
      <c r="L436" s="3" t="n">
        <v>0.2</v>
      </c>
    </row>
    <row r="437">
      <c r="A437" s="3" t="inlineStr">
        <is>
          <t>ORD-10436</t>
        </is>
      </c>
      <c r="B437" s="6" t="n">
        <v>45661</v>
      </c>
      <c r="C437" s="3" t="inlineStr">
        <is>
          <t>Footwear</t>
        </is>
      </c>
      <c r="D437" s="3" t="inlineStr">
        <is>
          <t>Boots</t>
        </is>
      </c>
      <c r="E437" s="3" t="inlineStr">
        <is>
          <t>Greater Accra</t>
        </is>
      </c>
      <c r="F437" s="3" t="inlineStr">
        <is>
          <t>Retail Shop</t>
        </is>
      </c>
      <c r="G437" s="3" t="inlineStr">
        <is>
          <t>Returning</t>
        </is>
      </c>
      <c r="H437" s="3" t="n">
        <v>3</v>
      </c>
      <c r="I437" s="3" t="n">
        <v>230</v>
      </c>
      <c r="J437" s="3" t="n">
        <v>115.5</v>
      </c>
      <c r="K437" s="3" t="n">
        <v>0</v>
      </c>
      <c r="L437" s="3" t="n">
        <v>3.42</v>
      </c>
    </row>
    <row r="438">
      <c r="A438" s="3" t="inlineStr">
        <is>
          <t>ORD-10437</t>
        </is>
      </c>
      <c r="B438" s="6" t="n">
        <v>45718</v>
      </c>
      <c r="C438" s="3" t="inlineStr">
        <is>
          <t>Accessories</t>
        </is>
      </c>
      <c r="D438" s="3" t="inlineStr">
        <is>
          <t>Sunglasses</t>
        </is>
      </c>
      <c r="E438" s="3" t="inlineStr">
        <is>
          <t>Greater Accra</t>
        </is>
      </c>
      <c r="F438" s="3" t="inlineStr">
        <is>
          <t>Online</t>
        </is>
      </c>
      <c r="G438" s="3" t="inlineStr">
        <is>
          <t>New</t>
        </is>
      </c>
      <c r="H438" s="3" t="n">
        <v>3</v>
      </c>
      <c r="I438" s="3" t="n">
        <v>95</v>
      </c>
      <c r="J438" s="3" t="n">
        <v>47.41</v>
      </c>
      <c r="K438" s="3" t="n">
        <v>0.1</v>
      </c>
      <c r="L438" s="3" t="n">
        <v>39.39</v>
      </c>
    </row>
    <row r="439">
      <c r="A439" s="3" t="inlineStr">
        <is>
          <t>ORD-10438</t>
        </is>
      </c>
      <c r="B439" s="6" t="n">
        <v>45690</v>
      </c>
      <c r="C439" s="3" t="inlineStr">
        <is>
          <t>Clothing</t>
        </is>
      </c>
      <c r="D439" s="3" t="inlineStr">
        <is>
          <t>Trousers</t>
        </is>
      </c>
      <c r="E439" s="3" t="inlineStr">
        <is>
          <t>Ashanti</t>
        </is>
      </c>
      <c r="F439" s="3" t="inlineStr">
        <is>
          <t>Online</t>
        </is>
      </c>
      <c r="G439" s="3" t="inlineStr">
        <is>
          <t>Returning</t>
        </is>
      </c>
      <c r="H439" s="3" t="n">
        <v>1</v>
      </c>
      <c r="I439" s="3" t="n">
        <v>110</v>
      </c>
      <c r="J439" s="3" t="n">
        <v>57.86</v>
      </c>
      <c r="K439" s="3" t="n">
        <v>0.1</v>
      </c>
      <c r="L439" s="3" t="n">
        <v>20.23</v>
      </c>
    </row>
    <row r="440">
      <c r="A440" s="3" t="inlineStr">
        <is>
          <t>ORD-10439</t>
        </is>
      </c>
      <c r="B440" s="6" t="n">
        <v>45962</v>
      </c>
      <c r="C440" s="3" t="inlineStr">
        <is>
          <t>Accessories</t>
        </is>
      </c>
      <c r="D440" s="3" t="inlineStr">
        <is>
          <t>Belts</t>
        </is>
      </c>
      <c r="E440" s="3" t="inlineStr">
        <is>
          <t>Greater Accra</t>
        </is>
      </c>
      <c r="F440" s="3" t="inlineStr">
        <is>
          <t>Retail Shop</t>
        </is>
      </c>
      <c r="G440" s="3" t="inlineStr">
        <is>
          <t>Returning</t>
        </is>
      </c>
      <c r="H440" s="3" t="n">
        <v>1</v>
      </c>
      <c r="I440" s="3" t="n">
        <v>80</v>
      </c>
      <c r="J440" s="3" t="n">
        <v>38.12</v>
      </c>
      <c r="K440" s="3" t="n">
        <v>0.05</v>
      </c>
      <c r="L440" s="3" t="n">
        <v>5.89</v>
      </c>
    </row>
    <row r="441">
      <c r="A441" s="3" t="inlineStr">
        <is>
          <t>ORD-10440</t>
        </is>
      </c>
      <c r="B441" s="6" t="n">
        <v>45802</v>
      </c>
      <c r="C441" s="3" t="inlineStr">
        <is>
          <t>Footwear</t>
        </is>
      </c>
      <c r="D441" s="3" t="inlineStr">
        <is>
          <t>Boots</t>
        </is>
      </c>
      <c r="E441" s="3" t="inlineStr">
        <is>
          <t>Ashanti</t>
        </is>
      </c>
      <c r="F441" s="3" t="inlineStr">
        <is>
          <t>Retail Shop</t>
        </is>
      </c>
      <c r="G441" s="3" t="inlineStr">
        <is>
          <t>Returning</t>
        </is>
      </c>
      <c r="H441" s="3" t="n">
        <v>2</v>
      </c>
      <c r="I441" s="3" t="n">
        <v>380</v>
      </c>
      <c r="J441" s="3" t="n">
        <v>206.24</v>
      </c>
      <c r="K441" s="3" t="n">
        <v>0.1</v>
      </c>
      <c r="L441" s="3" t="n">
        <v>5.41</v>
      </c>
    </row>
    <row r="442">
      <c r="A442" s="3" t="inlineStr">
        <is>
          <t>ORD-10441</t>
        </is>
      </c>
      <c r="B442" s="6" t="n">
        <v>45916</v>
      </c>
      <c r="C442" s="3" t="inlineStr">
        <is>
          <t>Footwear</t>
        </is>
      </c>
      <c r="D442" s="3" t="inlineStr">
        <is>
          <t>Sneakers</t>
        </is>
      </c>
      <c r="E442" s="3" t="inlineStr">
        <is>
          <t>Western</t>
        </is>
      </c>
      <c r="F442" s="3" t="inlineStr">
        <is>
          <t>Online</t>
        </is>
      </c>
      <c r="G442" s="3" t="inlineStr">
        <is>
          <t>Returning</t>
        </is>
      </c>
      <c r="H442" s="3" t="n">
        <v>2</v>
      </c>
      <c r="I442" s="3" t="n">
        <v>550</v>
      </c>
      <c r="J442" s="3" t="n">
        <v>286.6</v>
      </c>
      <c r="K442" s="3" t="n">
        <v>0</v>
      </c>
      <c r="L442" s="3" t="n">
        <v>18.56</v>
      </c>
    </row>
    <row r="443">
      <c r="A443" s="3" t="inlineStr">
        <is>
          <t>ORD-10442</t>
        </is>
      </c>
      <c r="B443" s="6" t="n">
        <v>45981</v>
      </c>
      <c r="C443" s="3" t="inlineStr">
        <is>
          <t>Footwear</t>
        </is>
      </c>
      <c r="D443" s="3" t="inlineStr">
        <is>
          <t>Sneakers</t>
        </is>
      </c>
      <c r="E443" s="3" t="inlineStr">
        <is>
          <t>Central</t>
        </is>
      </c>
      <c r="F443" s="3" t="inlineStr">
        <is>
          <t>Phone/WhatsApp</t>
        </is>
      </c>
      <c r="G443" s="3" t="inlineStr">
        <is>
          <t>Returning</t>
        </is>
      </c>
      <c r="H443" s="3" t="n">
        <v>2</v>
      </c>
      <c r="I443" s="3" t="n">
        <v>385</v>
      </c>
      <c r="J443" s="3" t="n">
        <v>239.54</v>
      </c>
      <c r="K443" s="3" t="n">
        <v>0.05</v>
      </c>
      <c r="L443" s="3" t="n">
        <v>30.39</v>
      </c>
    </row>
    <row r="444">
      <c r="A444" s="3" t="inlineStr">
        <is>
          <t>ORD-10443</t>
        </is>
      </c>
      <c r="B444" s="6" t="n">
        <v>45669</v>
      </c>
      <c r="C444" s="3" t="inlineStr">
        <is>
          <t>Clothing</t>
        </is>
      </c>
      <c r="D444" s="3" t="inlineStr">
        <is>
          <t>Shirts</t>
        </is>
      </c>
      <c r="E444" s="3" t="inlineStr">
        <is>
          <t>Greater Accra</t>
        </is>
      </c>
      <c r="F444" s="3" t="inlineStr">
        <is>
          <t>Phone/WhatsApp</t>
        </is>
      </c>
      <c r="G444" s="3" t="inlineStr">
        <is>
          <t>Returning</t>
        </is>
      </c>
      <c r="H444" s="3" t="n">
        <v>2</v>
      </c>
      <c r="I444" s="3" t="n">
        <v>175</v>
      </c>
      <c r="J444" s="3" t="n">
        <v>85.87</v>
      </c>
      <c r="K444" s="3" t="n">
        <v>0.1</v>
      </c>
      <c r="L444" s="3" t="n">
        <v>30.07</v>
      </c>
    </row>
    <row r="445">
      <c r="A445" s="3" t="inlineStr">
        <is>
          <t>ORD-10444</t>
        </is>
      </c>
      <c r="B445" s="6" t="n">
        <v>46008</v>
      </c>
      <c r="C445" s="3" t="inlineStr">
        <is>
          <t>Footwear</t>
        </is>
      </c>
      <c r="D445" s="3" t="inlineStr">
        <is>
          <t>Formal Shoes</t>
        </is>
      </c>
      <c r="E445" s="3" t="inlineStr">
        <is>
          <t>Western</t>
        </is>
      </c>
      <c r="F445" s="3" t="inlineStr">
        <is>
          <t>Online</t>
        </is>
      </c>
      <c r="G445" s="3" t="inlineStr">
        <is>
          <t>Returning</t>
        </is>
      </c>
      <c r="H445" s="3" t="n">
        <v>7</v>
      </c>
      <c r="I445" s="3" t="n">
        <v>735</v>
      </c>
      <c r="J445" s="3" t="n">
        <v>420.31</v>
      </c>
      <c r="K445" s="3" t="n">
        <v>0</v>
      </c>
      <c r="L445" s="3" t="n">
        <v>38.32</v>
      </c>
    </row>
    <row r="446">
      <c r="A446" s="3" t="inlineStr">
        <is>
          <t>ORD-10445</t>
        </is>
      </c>
      <c r="B446" s="6" t="n">
        <v>45749</v>
      </c>
      <c r="C446" s="3" t="inlineStr">
        <is>
          <t>Home &amp; Lifestyle</t>
        </is>
      </c>
      <c r="D446" s="3" t="inlineStr">
        <is>
          <t>Travel Mugs</t>
        </is>
      </c>
      <c r="E446" s="3" t="inlineStr">
        <is>
          <t>Ashanti</t>
        </is>
      </c>
      <c r="F446" s="3" t="inlineStr">
        <is>
          <t>Retail Shop</t>
        </is>
      </c>
      <c r="G446" s="3" t="inlineStr">
        <is>
          <t>New</t>
        </is>
      </c>
      <c r="H446" s="3" t="n">
        <v>3</v>
      </c>
      <c r="I446" s="3" t="n">
        <v>115</v>
      </c>
      <c r="J446" s="3" t="n">
        <v>70.78</v>
      </c>
      <c r="K446" s="3" t="n">
        <v>0.1</v>
      </c>
      <c r="L446" s="3" t="n">
        <v>11.73</v>
      </c>
    </row>
    <row r="447">
      <c r="A447" s="3" t="inlineStr">
        <is>
          <t>ORD-10446</t>
        </is>
      </c>
      <c r="B447" s="6" t="n">
        <v>45731</v>
      </c>
      <c r="C447" s="3" t="inlineStr">
        <is>
          <t>Accessories</t>
        </is>
      </c>
      <c r="D447" s="3" t="inlineStr">
        <is>
          <t>Watches</t>
        </is>
      </c>
      <c r="E447" s="3" t="inlineStr">
        <is>
          <t>Greater Accra</t>
        </is>
      </c>
      <c r="F447" s="3" t="inlineStr">
        <is>
          <t>Phone/WhatsApp</t>
        </is>
      </c>
      <c r="G447" s="3" t="inlineStr">
        <is>
          <t>New</t>
        </is>
      </c>
      <c r="H447" s="3" t="n">
        <v>1</v>
      </c>
      <c r="I447" s="3" t="n">
        <v>95</v>
      </c>
      <c r="J447" s="3" t="n">
        <v>48.65</v>
      </c>
      <c r="K447" s="3" t="n">
        <v>0</v>
      </c>
      <c r="L447" s="3" t="n">
        <v>33.39</v>
      </c>
    </row>
    <row r="448">
      <c r="A448" s="3" t="inlineStr">
        <is>
          <t>ORD-10447</t>
        </is>
      </c>
      <c r="B448" s="6" t="n">
        <v>45937</v>
      </c>
      <c r="C448" s="3" t="inlineStr">
        <is>
          <t>Footwear</t>
        </is>
      </c>
      <c r="D448" s="3" t="inlineStr">
        <is>
          <t>Formal Shoes</t>
        </is>
      </c>
      <c r="E448" s="3" t="inlineStr">
        <is>
          <t>Greater Accra</t>
        </is>
      </c>
      <c r="F448" s="3" t="inlineStr">
        <is>
          <t>Retail Shop</t>
        </is>
      </c>
      <c r="G448" s="3" t="inlineStr">
        <is>
          <t>Returning</t>
        </is>
      </c>
      <c r="H448" s="3" t="n">
        <v>2</v>
      </c>
      <c r="I448" s="3" t="n">
        <v>205</v>
      </c>
      <c r="J448" s="3" t="n">
        <v>113.55</v>
      </c>
      <c r="K448" s="3" t="n">
        <v>0</v>
      </c>
      <c r="L448" s="3" t="n">
        <v>11.74</v>
      </c>
    </row>
    <row r="449">
      <c r="A449" s="3" t="inlineStr">
        <is>
          <t>ORD-10448</t>
        </is>
      </c>
      <c r="B449" s="6" t="n">
        <v>45687</v>
      </c>
      <c r="C449" s="3" t="inlineStr">
        <is>
          <t>Clothing</t>
        </is>
      </c>
      <c r="D449" s="3" t="inlineStr">
        <is>
          <t>Trousers</t>
        </is>
      </c>
      <c r="E449" s="3" t="inlineStr">
        <is>
          <t>Ashanti</t>
        </is>
      </c>
      <c r="F449" s="3" t="inlineStr">
        <is>
          <t>Online</t>
        </is>
      </c>
      <c r="G449" s="3" t="inlineStr">
        <is>
          <t>Returning</t>
        </is>
      </c>
      <c r="H449" s="3" t="n">
        <v>1</v>
      </c>
      <c r="I449" s="3" t="n">
        <v>155</v>
      </c>
      <c r="J449" s="3" t="n">
        <v>86.5</v>
      </c>
      <c r="K449" s="3" t="n">
        <v>0</v>
      </c>
      <c r="L449" s="3" t="n">
        <v>30.68</v>
      </c>
    </row>
    <row r="450">
      <c r="A450" s="3" t="inlineStr">
        <is>
          <t>ORD-10449</t>
        </is>
      </c>
      <c r="B450" s="6" t="n">
        <v>45707</v>
      </c>
      <c r="C450" s="3" t="inlineStr">
        <is>
          <t>Clothing</t>
        </is>
      </c>
      <c r="D450" s="3" t="inlineStr">
        <is>
          <t>Shirts</t>
        </is>
      </c>
      <c r="E450" s="3" t="inlineStr">
        <is>
          <t>Central</t>
        </is>
      </c>
      <c r="F450" s="3" t="inlineStr">
        <is>
          <t>Phone/WhatsApp</t>
        </is>
      </c>
      <c r="G450" s="3" t="inlineStr">
        <is>
          <t>New</t>
        </is>
      </c>
      <c r="H450" s="3" t="n">
        <v>6</v>
      </c>
      <c r="I450" s="3" t="n">
        <v>95</v>
      </c>
      <c r="J450" s="3" t="n">
        <v>48.25</v>
      </c>
      <c r="K450" s="3" t="n">
        <v>0.05</v>
      </c>
      <c r="L450" s="3" t="n">
        <v>42.28</v>
      </c>
    </row>
    <row r="451">
      <c r="A451" s="3" t="inlineStr">
        <is>
          <t>ORD-10450</t>
        </is>
      </c>
      <c r="B451" s="6" t="n">
        <v>45955</v>
      </c>
      <c r="C451" s="3" t="inlineStr">
        <is>
          <t>Home &amp; Lifestyle</t>
        </is>
      </c>
      <c r="D451" s="3" t="inlineStr">
        <is>
          <t>Travel Mugs</t>
        </is>
      </c>
      <c r="E451" s="3" t="inlineStr">
        <is>
          <t>Greater Accra</t>
        </is>
      </c>
      <c r="F451" s="3" t="inlineStr">
        <is>
          <t>Retail Shop</t>
        </is>
      </c>
      <c r="G451" s="3" t="inlineStr">
        <is>
          <t>New</t>
        </is>
      </c>
      <c r="H451" s="3" t="n">
        <v>1</v>
      </c>
      <c r="I451" s="3" t="n">
        <v>65</v>
      </c>
      <c r="J451" s="3" t="n">
        <v>33.17</v>
      </c>
      <c r="K451" s="3" t="n">
        <v>0.1</v>
      </c>
      <c r="L451" s="3" t="n">
        <v>11.16</v>
      </c>
    </row>
    <row r="452">
      <c r="A452" s="3" t="inlineStr">
        <is>
          <t>ORD-10451</t>
        </is>
      </c>
      <c r="B452" s="6" t="n">
        <v>45863</v>
      </c>
      <c r="C452" s="3" t="inlineStr">
        <is>
          <t>Accessories</t>
        </is>
      </c>
      <c r="D452" s="3" t="inlineStr">
        <is>
          <t>Sunglasses</t>
        </is>
      </c>
      <c r="E452" s="3" t="inlineStr">
        <is>
          <t>Ashanti</t>
        </is>
      </c>
      <c r="F452" s="3" t="inlineStr">
        <is>
          <t>Online</t>
        </is>
      </c>
      <c r="G452" s="3" t="inlineStr">
        <is>
          <t>New</t>
        </is>
      </c>
      <c r="H452" s="3" t="n">
        <v>2</v>
      </c>
      <c r="I452" s="3" t="n">
        <v>95</v>
      </c>
      <c r="J452" s="3" t="n">
        <v>43.86</v>
      </c>
      <c r="K452" s="3" t="n">
        <v>0</v>
      </c>
      <c r="L452" s="3" t="n">
        <v>11.32</v>
      </c>
    </row>
    <row r="453">
      <c r="A453" s="3" t="inlineStr">
        <is>
          <t>ORD-10452</t>
        </is>
      </c>
      <c r="B453" s="6" t="n">
        <v>45755</v>
      </c>
      <c r="C453" s="3" t="inlineStr">
        <is>
          <t>Home &amp; Lifestyle</t>
        </is>
      </c>
      <c r="D453" s="3" t="inlineStr">
        <is>
          <t>Backpacks</t>
        </is>
      </c>
      <c r="E453" s="3" t="inlineStr">
        <is>
          <t>Greater Accra</t>
        </is>
      </c>
      <c r="F453" s="3" t="inlineStr">
        <is>
          <t>Retail Shop</t>
        </is>
      </c>
      <c r="G453" s="3" t="inlineStr">
        <is>
          <t>Returning</t>
        </is>
      </c>
      <c r="H453" s="3" t="n">
        <v>2</v>
      </c>
      <c r="I453" s="3" t="n">
        <v>105</v>
      </c>
      <c r="J453" s="3" t="n">
        <v>51.92</v>
      </c>
      <c r="K453" s="3" t="n">
        <v>0.1</v>
      </c>
      <c r="L453" s="3" t="n">
        <v>2.81</v>
      </c>
    </row>
    <row r="454">
      <c r="A454" s="3" t="inlineStr">
        <is>
          <t>ORD-10453</t>
        </is>
      </c>
      <c r="B454" s="6" t="n">
        <v>45812</v>
      </c>
      <c r="C454" s="3" t="inlineStr">
        <is>
          <t>Footwear</t>
        </is>
      </c>
      <c r="D454" s="3" t="inlineStr">
        <is>
          <t>Boots</t>
        </is>
      </c>
      <c r="E454" s="3" t="inlineStr">
        <is>
          <t>Western</t>
        </is>
      </c>
      <c r="F454" s="3" t="inlineStr">
        <is>
          <t>Retail Shop</t>
        </is>
      </c>
      <c r="G454" s="3" t="inlineStr">
        <is>
          <t>Returning</t>
        </is>
      </c>
      <c r="H454" s="3" t="n">
        <v>4</v>
      </c>
      <c r="I454" s="3" t="n">
        <v>340</v>
      </c>
      <c r="J454" s="3" t="n">
        <v>202.31</v>
      </c>
      <c r="K454" s="3" t="n">
        <v>0</v>
      </c>
      <c r="L454" s="3" t="n">
        <v>2.39</v>
      </c>
    </row>
    <row r="455">
      <c r="A455" s="3" t="inlineStr">
        <is>
          <t>ORD-10454</t>
        </is>
      </c>
      <c r="B455" s="6" t="n">
        <v>45767</v>
      </c>
      <c r="C455" s="3" t="inlineStr">
        <is>
          <t>Clothing</t>
        </is>
      </c>
      <c r="D455" s="3" t="inlineStr">
        <is>
          <t>Dresses</t>
        </is>
      </c>
      <c r="E455" s="3" t="inlineStr">
        <is>
          <t>Western</t>
        </is>
      </c>
      <c r="F455" s="3" t="inlineStr">
        <is>
          <t>Online</t>
        </is>
      </c>
      <c r="G455" s="3" t="inlineStr">
        <is>
          <t>Returning</t>
        </is>
      </c>
      <c r="H455" s="3" t="n">
        <v>1</v>
      </c>
      <c r="I455" s="3" t="n">
        <v>210</v>
      </c>
      <c r="J455" s="3" t="n">
        <v>111.71</v>
      </c>
      <c r="K455" s="3" t="n">
        <v>0.15</v>
      </c>
      <c r="L455" s="3" t="n">
        <v>25.32</v>
      </c>
    </row>
    <row r="456">
      <c r="A456" s="3" t="inlineStr">
        <is>
          <t>ORD-10455</t>
        </is>
      </c>
      <c r="B456" s="6" t="n">
        <v>45805</v>
      </c>
      <c r="C456" s="3" t="inlineStr">
        <is>
          <t>Footwear</t>
        </is>
      </c>
      <c r="D456" s="3" t="inlineStr">
        <is>
          <t>Sandals</t>
        </is>
      </c>
      <c r="E456" s="3" t="inlineStr">
        <is>
          <t>Greater Accra</t>
        </is>
      </c>
      <c r="F456" s="3" t="inlineStr">
        <is>
          <t>Phone/WhatsApp</t>
        </is>
      </c>
      <c r="G456" s="3" t="inlineStr">
        <is>
          <t>Returning</t>
        </is>
      </c>
      <c r="H456" s="3" t="n">
        <v>1</v>
      </c>
      <c r="I456" s="3" t="n">
        <v>225</v>
      </c>
      <c r="J456" s="3" t="n">
        <v>116.7</v>
      </c>
      <c r="K456" s="3" t="n">
        <v>0</v>
      </c>
      <c r="L456" s="3" t="n">
        <v>14.04</v>
      </c>
    </row>
    <row r="457">
      <c r="A457" s="3" t="inlineStr">
        <is>
          <t>ORD-10456</t>
        </is>
      </c>
      <c r="B457" s="6" t="n">
        <v>45836</v>
      </c>
      <c r="C457" s="3" t="inlineStr">
        <is>
          <t>Footwear</t>
        </is>
      </c>
      <c r="D457" s="3" t="inlineStr">
        <is>
          <t>Sandals</t>
        </is>
      </c>
      <c r="E457" s="3" t="inlineStr">
        <is>
          <t>Ashanti</t>
        </is>
      </c>
      <c r="F457" s="3" t="inlineStr">
        <is>
          <t>Online</t>
        </is>
      </c>
      <c r="G457" s="3" t="inlineStr">
        <is>
          <t>Returning</t>
        </is>
      </c>
      <c r="H457" s="3" t="n">
        <v>2</v>
      </c>
      <c r="I457" s="3" t="n">
        <v>235</v>
      </c>
      <c r="J457" s="3" t="n">
        <v>132.74</v>
      </c>
      <c r="K457" s="3" t="n">
        <v>0</v>
      </c>
      <c r="L457" s="3" t="n">
        <v>38.32</v>
      </c>
    </row>
    <row r="458">
      <c r="A458" s="3" t="inlineStr">
        <is>
          <t>ORD-10457</t>
        </is>
      </c>
      <c r="B458" s="6" t="n">
        <v>45697</v>
      </c>
      <c r="C458" s="3" t="inlineStr">
        <is>
          <t>Home &amp; Lifestyle</t>
        </is>
      </c>
      <c r="D458" s="3" t="inlineStr">
        <is>
          <t>Travel Mugs</t>
        </is>
      </c>
      <c r="E458" s="3" t="inlineStr">
        <is>
          <t>Western</t>
        </is>
      </c>
      <c r="F458" s="3" t="inlineStr">
        <is>
          <t>Retail Shop</t>
        </is>
      </c>
      <c r="G458" s="3" t="inlineStr">
        <is>
          <t>Returning</t>
        </is>
      </c>
      <c r="H458" s="3" t="n">
        <v>10</v>
      </c>
      <c r="I458" s="3" t="n">
        <v>205</v>
      </c>
      <c r="J458" s="3" t="n">
        <v>110.67</v>
      </c>
      <c r="K458" s="3" t="n">
        <v>0.05</v>
      </c>
      <c r="L458" s="3" t="n">
        <v>0.64</v>
      </c>
    </row>
    <row r="459">
      <c r="A459" s="3" t="inlineStr">
        <is>
          <t>ORD-10458</t>
        </is>
      </c>
      <c r="B459" s="6" t="n">
        <v>45971</v>
      </c>
      <c r="C459" s="3" t="inlineStr">
        <is>
          <t>Accessories</t>
        </is>
      </c>
      <c r="D459" s="3" t="inlineStr">
        <is>
          <t>Sunglasses</t>
        </is>
      </c>
      <c r="E459" s="3" t="inlineStr">
        <is>
          <t>Ashanti</t>
        </is>
      </c>
      <c r="F459" s="3" t="inlineStr">
        <is>
          <t>Retail Shop</t>
        </is>
      </c>
      <c r="G459" s="3" t="inlineStr">
        <is>
          <t>Returning</t>
        </is>
      </c>
      <c r="H459" s="3" t="n">
        <v>1</v>
      </c>
      <c r="I459" s="3" t="n">
        <v>105</v>
      </c>
      <c r="J459" s="3" t="n">
        <v>44.38</v>
      </c>
      <c r="K459" s="3" t="n">
        <v>0</v>
      </c>
      <c r="L459" s="3" t="n">
        <v>4.67</v>
      </c>
    </row>
    <row r="460">
      <c r="A460" s="3" t="inlineStr">
        <is>
          <t>ORD-10459</t>
        </is>
      </c>
      <c r="B460" s="6" t="n">
        <v>45937</v>
      </c>
      <c r="C460" s="3" t="inlineStr">
        <is>
          <t>Home &amp; Lifestyle</t>
        </is>
      </c>
      <c r="D460" s="3" t="inlineStr">
        <is>
          <t>Backpacks</t>
        </is>
      </c>
      <c r="E460" s="3" t="inlineStr">
        <is>
          <t>Greater Accra</t>
        </is>
      </c>
      <c r="F460" s="3" t="inlineStr">
        <is>
          <t>Retail Shop</t>
        </is>
      </c>
      <c r="G460" s="3" t="inlineStr">
        <is>
          <t>Returning</t>
        </is>
      </c>
      <c r="H460" s="3" t="n">
        <v>1</v>
      </c>
      <c r="I460" s="3" t="n">
        <v>180</v>
      </c>
      <c r="J460" s="3" t="n">
        <v>94.45</v>
      </c>
      <c r="K460" s="3" t="n">
        <v>0.05</v>
      </c>
      <c r="L460" s="3" t="n">
        <v>8.31</v>
      </c>
    </row>
    <row r="461">
      <c r="A461" s="3" t="inlineStr">
        <is>
          <t>ORD-10460</t>
        </is>
      </c>
      <c r="B461" s="6" t="n">
        <v>45671</v>
      </c>
      <c r="C461" s="3" t="inlineStr">
        <is>
          <t>Clothing</t>
        </is>
      </c>
      <c r="D461" s="3" t="inlineStr">
        <is>
          <t>Shirts</t>
        </is>
      </c>
      <c r="E461" s="3" t="inlineStr">
        <is>
          <t>Ashanti</t>
        </is>
      </c>
      <c r="F461" s="3" t="inlineStr">
        <is>
          <t>Retail Shop</t>
        </is>
      </c>
      <c r="G461" s="3" t="inlineStr">
        <is>
          <t>Returning</t>
        </is>
      </c>
      <c r="H461" s="3" t="n">
        <v>2</v>
      </c>
      <c r="I461" s="3" t="n">
        <v>175</v>
      </c>
      <c r="J461" s="3" t="n">
        <v>89.26000000000001</v>
      </c>
      <c r="K461" s="3" t="n">
        <v>0.05</v>
      </c>
      <c r="L461" s="3" t="n">
        <v>0.02</v>
      </c>
    </row>
    <row r="462">
      <c r="A462" s="3" t="inlineStr">
        <is>
          <t>ORD-10461</t>
        </is>
      </c>
      <c r="B462" s="6" t="n">
        <v>45877</v>
      </c>
      <c r="C462" s="3" t="inlineStr">
        <is>
          <t>Footwear</t>
        </is>
      </c>
      <c r="D462" s="3" t="inlineStr">
        <is>
          <t>Sneakers</t>
        </is>
      </c>
      <c r="E462" s="3" t="inlineStr">
        <is>
          <t>Ashanti</t>
        </is>
      </c>
      <c r="F462" s="3" t="inlineStr">
        <is>
          <t>Online</t>
        </is>
      </c>
      <c r="G462" s="3" t="inlineStr">
        <is>
          <t>New</t>
        </is>
      </c>
      <c r="H462" s="3" t="n">
        <v>5</v>
      </c>
      <c r="I462" s="3" t="n">
        <v>335</v>
      </c>
      <c r="J462" s="3" t="n">
        <v>181.31</v>
      </c>
      <c r="K462" s="3" t="n">
        <v>0.05</v>
      </c>
      <c r="L462" s="3" t="n">
        <v>12.87</v>
      </c>
    </row>
    <row r="463">
      <c r="A463" s="3" t="inlineStr">
        <is>
          <t>ORD-10462</t>
        </is>
      </c>
      <c r="B463" s="6" t="n">
        <v>45964</v>
      </c>
      <c r="C463" s="3" t="inlineStr">
        <is>
          <t>Footwear</t>
        </is>
      </c>
      <c r="D463" s="3" t="inlineStr">
        <is>
          <t>Sandals</t>
        </is>
      </c>
      <c r="E463" s="3" t="inlineStr">
        <is>
          <t>Western</t>
        </is>
      </c>
      <c r="F463" s="3" t="inlineStr">
        <is>
          <t>Online</t>
        </is>
      </c>
      <c r="G463" s="3" t="inlineStr">
        <is>
          <t>New</t>
        </is>
      </c>
      <c r="H463" s="3" t="n">
        <v>2</v>
      </c>
      <c r="I463" s="3" t="n">
        <v>365</v>
      </c>
      <c r="J463" s="3" t="n">
        <v>220.05</v>
      </c>
      <c r="K463" s="3" t="n">
        <v>0.1</v>
      </c>
      <c r="L463" s="3" t="n">
        <v>26.68</v>
      </c>
    </row>
    <row r="464">
      <c r="A464" s="3" t="inlineStr">
        <is>
          <t>ORD-10463</t>
        </is>
      </c>
      <c r="B464" s="6" t="n">
        <v>45759</v>
      </c>
      <c r="C464" s="3" t="inlineStr">
        <is>
          <t>Footwear</t>
        </is>
      </c>
      <c r="D464" s="3" t="inlineStr">
        <is>
          <t>Sneakers</t>
        </is>
      </c>
      <c r="E464" s="3" t="inlineStr">
        <is>
          <t>Central</t>
        </is>
      </c>
      <c r="F464" s="3" t="inlineStr">
        <is>
          <t>Online</t>
        </is>
      </c>
      <c r="G464" s="3" t="inlineStr">
        <is>
          <t>Returning</t>
        </is>
      </c>
      <c r="H464" s="3" t="n">
        <v>1</v>
      </c>
      <c r="I464" s="3" t="n">
        <v>310</v>
      </c>
      <c r="J464" s="3" t="n">
        <v>185.02</v>
      </c>
      <c r="K464" s="3" t="n">
        <v>0</v>
      </c>
      <c r="L464" s="3" t="n">
        <v>15.66</v>
      </c>
    </row>
    <row r="465">
      <c r="A465" s="3" t="inlineStr">
        <is>
          <t>ORD-10464</t>
        </is>
      </c>
      <c r="B465" s="6" t="n">
        <v>45841</v>
      </c>
      <c r="C465" s="3" t="inlineStr">
        <is>
          <t>Clothing</t>
        </is>
      </c>
      <c r="D465" s="3" t="inlineStr">
        <is>
          <t>Shirts</t>
        </is>
      </c>
      <c r="E465" s="3" t="inlineStr">
        <is>
          <t>Greater Accra</t>
        </is>
      </c>
      <c r="F465" s="3" t="inlineStr">
        <is>
          <t>Retail Shop</t>
        </is>
      </c>
      <c r="G465" s="3" t="inlineStr">
        <is>
          <t>New</t>
        </is>
      </c>
      <c r="H465" s="3" t="n">
        <v>5</v>
      </c>
      <c r="I465" s="3" t="n">
        <v>245</v>
      </c>
      <c r="J465" s="3" t="n">
        <v>125.87</v>
      </c>
      <c r="K465" s="3" t="n">
        <v>0.05</v>
      </c>
      <c r="L465" s="3" t="n">
        <v>1.89</v>
      </c>
    </row>
    <row r="466">
      <c r="A466" s="3" t="inlineStr">
        <is>
          <t>ORD-10465</t>
        </is>
      </c>
      <c r="B466" s="6" t="n">
        <v>45806</v>
      </c>
      <c r="C466" s="3" t="inlineStr">
        <is>
          <t>Footwear</t>
        </is>
      </c>
      <c r="D466" s="3" t="inlineStr">
        <is>
          <t>Boots</t>
        </is>
      </c>
      <c r="E466" s="3" t="inlineStr">
        <is>
          <t>Greater Accra</t>
        </is>
      </c>
      <c r="F466" s="3" t="inlineStr">
        <is>
          <t>Retail Shop</t>
        </is>
      </c>
      <c r="G466" s="3" t="inlineStr">
        <is>
          <t>Returning</t>
        </is>
      </c>
      <c r="H466" s="3" t="n">
        <v>7</v>
      </c>
      <c r="I466" s="3" t="n">
        <v>170</v>
      </c>
      <c r="J466" s="3" t="n">
        <v>95.54000000000001</v>
      </c>
      <c r="K466" s="3" t="n">
        <v>0.05</v>
      </c>
      <c r="L466" s="3" t="n">
        <v>6.7</v>
      </c>
    </row>
    <row r="467">
      <c r="A467" s="3" t="inlineStr">
        <is>
          <t>ORD-10466</t>
        </is>
      </c>
      <c r="B467" s="6" t="n">
        <v>45784</v>
      </c>
      <c r="C467" s="3" t="inlineStr">
        <is>
          <t>Accessories</t>
        </is>
      </c>
      <c r="D467" s="3" t="inlineStr">
        <is>
          <t>Bags</t>
        </is>
      </c>
      <c r="E467" s="3" t="inlineStr">
        <is>
          <t>Ashanti</t>
        </is>
      </c>
      <c r="F467" s="3" t="inlineStr">
        <is>
          <t>Phone/WhatsApp</t>
        </is>
      </c>
      <c r="G467" s="3" t="inlineStr">
        <is>
          <t>Returning</t>
        </is>
      </c>
      <c r="H467" s="3" t="n">
        <v>5</v>
      </c>
      <c r="I467" s="3" t="n">
        <v>70</v>
      </c>
      <c r="J467" s="3" t="n">
        <v>32.54</v>
      </c>
      <c r="K467" s="3" t="n">
        <v>0</v>
      </c>
      <c r="L467" s="3" t="n">
        <v>13.54</v>
      </c>
    </row>
    <row r="468">
      <c r="A468" s="3" t="inlineStr">
        <is>
          <t>ORD-10467</t>
        </is>
      </c>
      <c r="B468" s="6" t="n">
        <v>45821</v>
      </c>
      <c r="C468" s="3" t="inlineStr">
        <is>
          <t>Accessories</t>
        </is>
      </c>
      <c r="D468" s="3" t="inlineStr">
        <is>
          <t>Belts</t>
        </is>
      </c>
      <c r="E468" s="3" t="inlineStr">
        <is>
          <t>Ashanti</t>
        </is>
      </c>
      <c r="F468" s="3" t="inlineStr">
        <is>
          <t>Phone/WhatsApp</t>
        </is>
      </c>
      <c r="G468" s="3" t="inlineStr">
        <is>
          <t>Returning</t>
        </is>
      </c>
      <c r="H468" s="3" t="n">
        <v>2</v>
      </c>
      <c r="I468" s="3" t="n">
        <v>100</v>
      </c>
      <c r="J468" s="3" t="n">
        <v>45.88</v>
      </c>
      <c r="K468" s="3" t="n">
        <v>0.1</v>
      </c>
      <c r="L468" s="3" t="n">
        <v>28.55</v>
      </c>
    </row>
    <row r="469">
      <c r="A469" s="3" t="inlineStr">
        <is>
          <t>ORD-10468</t>
        </is>
      </c>
      <c r="B469" s="6" t="n">
        <v>46018</v>
      </c>
      <c r="C469" s="3" t="inlineStr">
        <is>
          <t>Accessories</t>
        </is>
      </c>
      <c r="D469" s="3" t="inlineStr">
        <is>
          <t>Watches</t>
        </is>
      </c>
      <c r="E469" s="3" t="inlineStr">
        <is>
          <t>Central</t>
        </is>
      </c>
      <c r="F469" s="3" t="inlineStr">
        <is>
          <t>Online</t>
        </is>
      </c>
      <c r="G469" s="3" t="inlineStr">
        <is>
          <t>Returning</t>
        </is>
      </c>
      <c r="H469" s="3" t="n">
        <v>1</v>
      </c>
      <c r="I469" s="3" t="n">
        <v>85</v>
      </c>
      <c r="J469" s="3" t="n">
        <v>41.46</v>
      </c>
      <c r="K469" s="3" t="n">
        <v>0.05</v>
      </c>
      <c r="L469" s="3" t="n">
        <v>34.94</v>
      </c>
    </row>
    <row r="470">
      <c r="A470" s="3" t="inlineStr">
        <is>
          <t>ORD-10469</t>
        </is>
      </c>
      <c r="B470" s="6" t="n">
        <v>45835</v>
      </c>
      <c r="C470" s="3" t="inlineStr">
        <is>
          <t>Accessories</t>
        </is>
      </c>
      <c r="D470" s="3" t="inlineStr">
        <is>
          <t>Sunglasses</t>
        </is>
      </c>
      <c r="E470" s="3" t="inlineStr">
        <is>
          <t>Western</t>
        </is>
      </c>
      <c r="F470" s="3" t="inlineStr">
        <is>
          <t>Online</t>
        </is>
      </c>
      <c r="G470" s="3" t="inlineStr">
        <is>
          <t>Returning</t>
        </is>
      </c>
      <c r="H470" s="3" t="n">
        <v>1</v>
      </c>
      <c r="I470" s="3" t="n">
        <v>90</v>
      </c>
      <c r="J470" s="3" t="n">
        <v>39.82</v>
      </c>
      <c r="K470" s="3" t="n">
        <v>0.2</v>
      </c>
      <c r="L470" s="3" t="n">
        <v>32.61</v>
      </c>
    </row>
    <row r="471">
      <c r="A471" s="3" t="inlineStr">
        <is>
          <t>ORD-10470</t>
        </is>
      </c>
      <c r="B471" s="6" t="n">
        <v>45741</v>
      </c>
      <c r="C471" s="3" t="inlineStr">
        <is>
          <t>Footwear</t>
        </is>
      </c>
      <c r="D471" s="3" t="inlineStr">
        <is>
          <t>Formal Shoes</t>
        </is>
      </c>
      <c r="E471" s="3" t="inlineStr">
        <is>
          <t>Greater Accra</t>
        </is>
      </c>
      <c r="F471" s="3" t="inlineStr">
        <is>
          <t>Retail Shop</t>
        </is>
      </c>
      <c r="G471" s="3" t="inlineStr">
        <is>
          <t>Returning</t>
        </is>
      </c>
      <c r="H471" s="3" t="n">
        <v>2</v>
      </c>
      <c r="I471" s="3" t="n">
        <v>270</v>
      </c>
      <c r="J471" s="3" t="n">
        <v>141.1</v>
      </c>
      <c r="K471" s="3" t="n">
        <v>0</v>
      </c>
      <c r="L471" s="3" t="n">
        <v>8.050000000000001</v>
      </c>
    </row>
    <row r="472">
      <c r="A472" s="3" t="inlineStr">
        <is>
          <t>ORD-10471</t>
        </is>
      </c>
      <c r="B472" s="6" t="n">
        <v>45717</v>
      </c>
      <c r="C472" s="3" t="inlineStr">
        <is>
          <t>Clothing</t>
        </is>
      </c>
      <c r="D472" s="3" t="inlineStr">
        <is>
          <t>Trousers</t>
        </is>
      </c>
      <c r="E472" s="3" t="inlineStr">
        <is>
          <t>Central</t>
        </is>
      </c>
      <c r="F472" s="3" t="inlineStr">
        <is>
          <t>Retail Shop</t>
        </is>
      </c>
      <c r="G472" s="3" t="inlineStr">
        <is>
          <t>Returning</t>
        </is>
      </c>
      <c r="H472" s="3" t="n">
        <v>1</v>
      </c>
      <c r="I472" s="3" t="n">
        <v>175</v>
      </c>
      <c r="J472" s="3" t="n">
        <v>95.38</v>
      </c>
      <c r="K472" s="3" t="n">
        <v>0</v>
      </c>
      <c r="L472" s="3" t="n">
        <v>9.44</v>
      </c>
    </row>
    <row r="473">
      <c r="A473" s="3" t="inlineStr">
        <is>
          <t>ORD-10472</t>
        </is>
      </c>
      <c r="B473" s="6" t="n">
        <v>45731</v>
      </c>
      <c r="C473" s="3" t="inlineStr">
        <is>
          <t>Home &amp; Lifestyle</t>
        </is>
      </c>
      <c r="D473" s="3" t="inlineStr">
        <is>
          <t>Wallets</t>
        </is>
      </c>
      <c r="E473" s="3" t="inlineStr">
        <is>
          <t>Ashanti</t>
        </is>
      </c>
      <c r="F473" s="3" t="inlineStr">
        <is>
          <t>Online</t>
        </is>
      </c>
      <c r="G473" s="3" t="inlineStr">
        <is>
          <t>Returning</t>
        </is>
      </c>
      <c r="H473" s="3" t="n">
        <v>3</v>
      </c>
      <c r="I473" s="3" t="n">
        <v>90</v>
      </c>
      <c r="J473" s="3" t="n">
        <v>49.67</v>
      </c>
      <c r="K473" s="3" t="n">
        <v>0</v>
      </c>
      <c r="L473" s="3" t="n">
        <v>22.97</v>
      </c>
    </row>
    <row r="474">
      <c r="A474" s="3" t="inlineStr">
        <is>
          <t>ORD-10473</t>
        </is>
      </c>
      <c r="B474" s="6" t="n">
        <v>45989</v>
      </c>
      <c r="C474" s="3" t="inlineStr">
        <is>
          <t>Clothing</t>
        </is>
      </c>
      <c r="D474" s="3" t="inlineStr">
        <is>
          <t>Trousers</t>
        </is>
      </c>
      <c r="E474" s="3" t="inlineStr">
        <is>
          <t>Ashanti</t>
        </is>
      </c>
      <c r="F474" s="3" t="inlineStr">
        <is>
          <t>Phone/WhatsApp</t>
        </is>
      </c>
      <c r="G474" s="3" t="inlineStr">
        <is>
          <t>New</t>
        </is>
      </c>
      <c r="H474" s="3" t="n">
        <v>1</v>
      </c>
      <c r="I474" s="3" t="n">
        <v>170</v>
      </c>
      <c r="J474" s="3" t="n">
        <v>82.44</v>
      </c>
      <c r="K474" s="3" t="n">
        <v>0.15</v>
      </c>
      <c r="L474" s="3" t="n">
        <v>12.86</v>
      </c>
    </row>
    <row r="475">
      <c r="A475" s="3" t="inlineStr">
        <is>
          <t>ORD-10474</t>
        </is>
      </c>
      <c r="B475" s="6" t="n">
        <v>45807</v>
      </c>
      <c r="C475" s="3" t="inlineStr">
        <is>
          <t>Footwear</t>
        </is>
      </c>
      <c r="D475" s="3" t="inlineStr">
        <is>
          <t>Boots</t>
        </is>
      </c>
      <c r="E475" s="3" t="inlineStr">
        <is>
          <t>Greater Accra</t>
        </is>
      </c>
      <c r="F475" s="3" t="inlineStr">
        <is>
          <t>Phone/WhatsApp</t>
        </is>
      </c>
      <c r="G475" s="3" t="inlineStr">
        <is>
          <t>Returning</t>
        </is>
      </c>
      <c r="H475" s="3" t="n">
        <v>5</v>
      </c>
      <c r="I475" s="3" t="n">
        <v>230</v>
      </c>
      <c r="J475" s="3" t="n">
        <v>143.6</v>
      </c>
      <c r="K475" s="3" t="n">
        <v>0</v>
      </c>
      <c r="L475" s="3" t="n">
        <v>17.85</v>
      </c>
    </row>
    <row r="476">
      <c r="A476" s="3" t="inlineStr">
        <is>
          <t>ORD-10475</t>
        </is>
      </c>
      <c r="B476" s="6" t="n">
        <v>45682</v>
      </c>
      <c r="C476" s="3" t="inlineStr">
        <is>
          <t>Home &amp; Lifestyle</t>
        </is>
      </c>
      <c r="D476" s="3" t="inlineStr">
        <is>
          <t>Small Home Goods</t>
        </is>
      </c>
      <c r="E476" s="3" t="inlineStr">
        <is>
          <t>Northern</t>
        </is>
      </c>
      <c r="F476" s="3" t="inlineStr">
        <is>
          <t>Retail Shop</t>
        </is>
      </c>
      <c r="G476" s="3" t="inlineStr">
        <is>
          <t>New</t>
        </is>
      </c>
      <c r="H476" s="3" t="n">
        <v>2</v>
      </c>
      <c r="I476" s="3" t="n">
        <v>140</v>
      </c>
      <c r="J476" s="3" t="n">
        <v>74.22</v>
      </c>
      <c r="K476" s="3" t="n">
        <v>0</v>
      </c>
      <c r="L476" s="3" t="n">
        <v>5.08</v>
      </c>
    </row>
    <row r="477">
      <c r="A477" s="3" t="inlineStr">
        <is>
          <t>ORD-10476</t>
        </is>
      </c>
      <c r="B477" s="6" t="n">
        <v>45898</v>
      </c>
      <c r="C477" s="3" t="inlineStr">
        <is>
          <t>Footwear</t>
        </is>
      </c>
      <c r="D477" s="3" t="inlineStr">
        <is>
          <t>Boots</t>
        </is>
      </c>
      <c r="E477" s="3" t="inlineStr">
        <is>
          <t>Greater Accra</t>
        </is>
      </c>
      <c r="F477" s="3" t="inlineStr">
        <is>
          <t>Online</t>
        </is>
      </c>
      <c r="G477" s="3" t="inlineStr">
        <is>
          <t>New</t>
        </is>
      </c>
      <c r="H477" s="3" t="n">
        <v>4</v>
      </c>
      <c r="I477" s="3" t="n">
        <v>295</v>
      </c>
      <c r="J477" s="3" t="n">
        <v>156.55</v>
      </c>
      <c r="K477" s="3" t="n">
        <v>0</v>
      </c>
      <c r="L477" s="3" t="n">
        <v>8.43</v>
      </c>
    </row>
    <row r="478">
      <c r="A478" s="3" t="inlineStr">
        <is>
          <t>ORD-10477</t>
        </is>
      </c>
      <c r="B478" s="6" t="n">
        <v>45848</v>
      </c>
      <c r="C478" s="3" t="inlineStr">
        <is>
          <t>Accessories</t>
        </is>
      </c>
      <c r="D478" s="3" t="inlineStr">
        <is>
          <t>Bags</t>
        </is>
      </c>
      <c r="E478" s="3" t="inlineStr">
        <is>
          <t>Ashanti</t>
        </is>
      </c>
      <c r="F478" s="3" t="inlineStr">
        <is>
          <t>Phone/WhatsApp</t>
        </is>
      </c>
      <c r="G478" s="3" t="inlineStr">
        <is>
          <t>Returning</t>
        </is>
      </c>
      <c r="H478" s="3" t="n">
        <v>1</v>
      </c>
      <c r="I478" s="3" t="n">
        <v>100</v>
      </c>
      <c r="J478" s="3" t="n">
        <v>48.18</v>
      </c>
      <c r="K478" s="3" t="n">
        <v>0.05</v>
      </c>
      <c r="L478" s="3" t="n">
        <v>9.56</v>
      </c>
    </row>
    <row r="479">
      <c r="A479" s="3" t="inlineStr">
        <is>
          <t>ORD-10478</t>
        </is>
      </c>
      <c r="B479" s="6" t="n">
        <v>45745</v>
      </c>
      <c r="C479" s="3" t="inlineStr">
        <is>
          <t>Footwear</t>
        </is>
      </c>
      <c r="D479" s="3" t="inlineStr">
        <is>
          <t>Formal Shoes</t>
        </is>
      </c>
      <c r="E479" s="3" t="inlineStr">
        <is>
          <t>Northern</t>
        </is>
      </c>
      <c r="F479" s="3" t="inlineStr">
        <is>
          <t>Online</t>
        </is>
      </c>
      <c r="G479" s="3" t="inlineStr">
        <is>
          <t>Returning</t>
        </is>
      </c>
      <c r="H479" s="3" t="n">
        <v>1</v>
      </c>
      <c r="I479" s="3" t="n">
        <v>300</v>
      </c>
      <c r="J479" s="3" t="n">
        <v>177.86</v>
      </c>
      <c r="K479" s="3" t="n">
        <v>0.05</v>
      </c>
      <c r="L479" s="3" t="n">
        <v>17.54</v>
      </c>
    </row>
    <row r="480">
      <c r="A480" s="3" t="inlineStr">
        <is>
          <t>ORD-10479</t>
        </is>
      </c>
      <c r="B480" s="6" t="n">
        <v>45835</v>
      </c>
      <c r="C480" s="3" t="inlineStr">
        <is>
          <t>Accessories</t>
        </is>
      </c>
      <c r="D480" s="3" t="inlineStr">
        <is>
          <t>Watches</t>
        </is>
      </c>
      <c r="E480" s="3" t="inlineStr">
        <is>
          <t>Ashanti</t>
        </is>
      </c>
      <c r="F480" s="3" t="inlineStr">
        <is>
          <t>Online</t>
        </is>
      </c>
      <c r="G480" s="3" t="inlineStr">
        <is>
          <t>Returning</t>
        </is>
      </c>
      <c r="H480" s="3" t="n">
        <v>1</v>
      </c>
      <c r="I480" s="3" t="n">
        <v>180</v>
      </c>
      <c r="J480" s="3" t="n">
        <v>94.41</v>
      </c>
      <c r="K480" s="3" t="n">
        <v>0.1</v>
      </c>
      <c r="L480" s="3" t="n">
        <v>39.05</v>
      </c>
    </row>
    <row r="481">
      <c r="A481" s="3" t="inlineStr">
        <is>
          <t>ORD-10480</t>
        </is>
      </c>
      <c r="B481" s="6" t="n">
        <v>45950</v>
      </c>
      <c r="C481" s="3" t="inlineStr">
        <is>
          <t>Footwear</t>
        </is>
      </c>
      <c r="D481" s="3" t="inlineStr">
        <is>
          <t>Boots</t>
        </is>
      </c>
      <c r="E481" s="3" t="inlineStr">
        <is>
          <t>Northern</t>
        </is>
      </c>
      <c r="F481" s="3" t="inlineStr">
        <is>
          <t>Retail Shop</t>
        </is>
      </c>
      <c r="G481" s="3" t="inlineStr">
        <is>
          <t>Returning</t>
        </is>
      </c>
      <c r="H481" s="3" t="n">
        <v>2</v>
      </c>
      <c r="I481" s="3" t="n">
        <v>320</v>
      </c>
      <c r="J481" s="3" t="n">
        <v>173.25</v>
      </c>
      <c r="K481" s="3" t="n">
        <v>0</v>
      </c>
      <c r="L481" s="3" t="n">
        <v>0.53</v>
      </c>
    </row>
    <row r="482">
      <c r="A482" s="3" t="inlineStr">
        <is>
          <t>ORD-10481</t>
        </is>
      </c>
      <c r="B482" s="6" t="n">
        <v>45957</v>
      </c>
      <c r="C482" s="3" t="inlineStr">
        <is>
          <t>Clothing</t>
        </is>
      </c>
      <c r="D482" s="3" t="inlineStr">
        <is>
          <t>Jackets</t>
        </is>
      </c>
      <c r="E482" s="3" t="inlineStr">
        <is>
          <t>Greater Accra</t>
        </is>
      </c>
      <c r="F482" s="3" t="inlineStr">
        <is>
          <t>Online</t>
        </is>
      </c>
      <c r="G482" s="3" t="inlineStr">
        <is>
          <t>New</t>
        </is>
      </c>
      <c r="H482" s="3" t="n">
        <v>1</v>
      </c>
      <c r="I482" s="3" t="n">
        <v>135</v>
      </c>
      <c r="J482" s="3" t="n">
        <v>70.48999999999999</v>
      </c>
      <c r="K482" s="3" t="n">
        <v>0.15</v>
      </c>
      <c r="L482" s="3" t="n">
        <v>21.64</v>
      </c>
    </row>
    <row r="483">
      <c r="A483" s="3" t="inlineStr">
        <is>
          <t>ORD-10482</t>
        </is>
      </c>
      <c r="B483" s="6" t="n">
        <v>45886</v>
      </c>
      <c r="C483" s="3" t="inlineStr">
        <is>
          <t>Footwear</t>
        </is>
      </c>
      <c r="D483" s="3" t="inlineStr">
        <is>
          <t>Boots</t>
        </is>
      </c>
      <c r="E483" s="3" t="inlineStr">
        <is>
          <t>Greater Accra</t>
        </is>
      </c>
      <c r="F483" s="3" t="inlineStr">
        <is>
          <t>Retail Shop</t>
        </is>
      </c>
      <c r="G483" s="3" t="inlineStr">
        <is>
          <t>Returning</t>
        </is>
      </c>
      <c r="H483" s="3" t="n">
        <v>3</v>
      </c>
      <c r="I483" s="3" t="n">
        <v>235</v>
      </c>
      <c r="J483" s="3" t="n">
        <v>120.57</v>
      </c>
      <c r="K483" s="3" t="n">
        <v>0.2</v>
      </c>
      <c r="L483" s="3" t="n">
        <v>8.380000000000001</v>
      </c>
    </row>
    <row r="484">
      <c r="A484" s="3" t="inlineStr">
        <is>
          <t>ORD-10483</t>
        </is>
      </c>
      <c r="B484" s="6" t="n">
        <v>45959</v>
      </c>
      <c r="C484" s="3" t="inlineStr">
        <is>
          <t>Footwear</t>
        </is>
      </c>
      <c r="D484" s="3" t="inlineStr">
        <is>
          <t>Formal Shoes</t>
        </is>
      </c>
      <c r="E484" s="3" t="inlineStr">
        <is>
          <t>Greater Accra</t>
        </is>
      </c>
      <c r="F484" s="3" t="inlineStr">
        <is>
          <t>Retail Shop</t>
        </is>
      </c>
      <c r="G484" s="3" t="inlineStr">
        <is>
          <t>Returning</t>
        </is>
      </c>
      <c r="H484" s="3" t="n">
        <v>1</v>
      </c>
      <c r="I484" s="3" t="n">
        <v>175</v>
      </c>
      <c r="J484" s="3" t="n">
        <v>102.78</v>
      </c>
      <c r="K484" s="3" t="n">
        <v>0</v>
      </c>
      <c r="L484" s="3" t="n">
        <v>8.07</v>
      </c>
    </row>
    <row r="485">
      <c r="A485" s="3" t="inlineStr">
        <is>
          <t>ORD-10484</t>
        </is>
      </c>
      <c r="B485" s="6" t="n">
        <v>45924</v>
      </c>
      <c r="C485" s="3" t="inlineStr">
        <is>
          <t>Footwear</t>
        </is>
      </c>
      <c r="D485" s="3" t="inlineStr">
        <is>
          <t>Sneakers</t>
        </is>
      </c>
      <c r="E485" s="3" t="inlineStr">
        <is>
          <t>Ashanti</t>
        </is>
      </c>
      <c r="F485" s="3" t="inlineStr">
        <is>
          <t>Retail Shop</t>
        </is>
      </c>
      <c r="G485" s="3" t="inlineStr">
        <is>
          <t>Returning</t>
        </is>
      </c>
      <c r="H485" s="3" t="n">
        <v>1</v>
      </c>
      <c r="I485" s="3" t="n">
        <v>345</v>
      </c>
      <c r="J485" s="3" t="n">
        <v>185.78</v>
      </c>
      <c r="K485" s="3" t="n">
        <v>0</v>
      </c>
      <c r="L485" s="3" t="n">
        <v>11.44</v>
      </c>
    </row>
    <row r="486">
      <c r="A486" s="3" t="inlineStr">
        <is>
          <t>ORD-10485</t>
        </is>
      </c>
      <c r="B486" s="6" t="n">
        <v>45754</v>
      </c>
      <c r="C486" s="3" t="inlineStr">
        <is>
          <t>Clothing</t>
        </is>
      </c>
      <c r="D486" s="3" t="inlineStr">
        <is>
          <t>Dresses</t>
        </is>
      </c>
      <c r="E486" s="3" t="inlineStr">
        <is>
          <t>Central</t>
        </is>
      </c>
      <c r="F486" s="3" t="inlineStr">
        <is>
          <t>Retail Shop</t>
        </is>
      </c>
      <c r="G486" s="3" t="inlineStr">
        <is>
          <t>New</t>
        </is>
      </c>
      <c r="H486" s="3" t="n">
        <v>1</v>
      </c>
      <c r="I486" s="3" t="n">
        <v>175</v>
      </c>
      <c r="J486" s="3" t="n">
        <v>101.91</v>
      </c>
      <c r="K486" s="3" t="n">
        <v>0</v>
      </c>
      <c r="L486" s="3" t="n">
        <v>1.52</v>
      </c>
    </row>
    <row r="487">
      <c r="A487" s="3" t="inlineStr">
        <is>
          <t>ORD-10486</t>
        </is>
      </c>
      <c r="B487" s="6" t="n">
        <v>45864</v>
      </c>
      <c r="C487" s="3" t="inlineStr">
        <is>
          <t>Footwear</t>
        </is>
      </c>
      <c r="D487" s="3" t="inlineStr">
        <is>
          <t>Sandals</t>
        </is>
      </c>
      <c r="E487" s="3" t="inlineStr">
        <is>
          <t>Ashanti</t>
        </is>
      </c>
      <c r="F487" s="3" t="inlineStr">
        <is>
          <t>Phone/WhatsApp</t>
        </is>
      </c>
      <c r="G487" s="3" t="inlineStr">
        <is>
          <t>New</t>
        </is>
      </c>
      <c r="H487" s="3" t="n">
        <v>4</v>
      </c>
      <c r="I487" s="3" t="n">
        <v>175</v>
      </c>
      <c r="J487" s="3" t="n">
        <v>95.79000000000001</v>
      </c>
      <c r="K487" s="3" t="n">
        <v>0.05</v>
      </c>
      <c r="L487" s="3" t="n">
        <v>10.65</v>
      </c>
    </row>
    <row r="488">
      <c r="A488" s="3" t="inlineStr">
        <is>
          <t>ORD-10487</t>
        </is>
      </c>
      <c r="B488" s="6" t="n">
        <v>45722</v>
      </c>
      <c r="C488" s="3" t="inlineStr">
        <is>
          <t>Clothing</t>
        </is>
      </c>
      <c r="D488" s="3" t="inlineStr">
        <is>
          <t>Jackets</t>
        </is>
      </c>
      <c r="E488" s="3" t="inlineStr">
        <is>
          <t>Northern</t>
        </is>
      </c>
      <c r="F488" s="3" t="inlineStr">
        <is>
          <t>Online</t>
        </is>
      </c>
      <c r="G488" s="3" t="inlineStr">
        <is>
          <t>Returning</t>
        </is>
      </c>
      <c r="H488" s="3" t="n">
        <v>6</v>
      </c>
      <c r="I488" s="3" t="n">
        <v>215</v>
      </c>
      <c r="J488" s="3" t="n">
        <v>109.51</v>
      </c>
      <c r="K488" s="3" t="n">
        <v>0</v>
      </c>
      <c r="L488" s="3" t="n">
        <v>14.75</v>
      </c>
    </row>
    <row r="489">
      <c r="A489" s="3" t="inlineStr">
        <is>
          <t>ORD-10488</t>
        </is>
      </c>
      <c r="B489" s="6" t="n">
        <v>45699</v>
      </c>
      <c r="C489" s="3" t="inlineStr">
        <is>
          <t>Clothing</t>
        </is>
      </c>
      <c r="D489" s="3" t="inlineStr">
        <is>
          <t>Trousers</t>
        </is>
      </c>
      <c r="E489" s="3" t="inlineStr">
        <is>
          <t>Northern</t>
        </is>
      </c>
      <c r="F489" s="3" t="inlineStr">
        <is>
          <t>Online</t>
        </is>
      </c>
      <c r="G489" s="3" t="inlineStr">
        <is>
          <t>Returning</t>
        </is>
      </c>
      <c r="H489" s="3" t="n">
        <v>1</v>
      </c>
      <c r="I489" s="3" t="n">
        <v>215</v>
      </c>
      <c r="J489" s="3" t="n">
        <v>106.98</v>
      </c>
      <c r="K489" s="3" t="n">
        <v>0</v>
      </c>
      <c r="L489" s="3" t="n">
        <v>23.23</v>
      </c>
    </row>
    <row r="490">
      <c r="A490" s="3" t="inlineStr">
        <is>
          <t>ORD-10489</t>
        </is>
      </c>
      <c r="B490" s="6" t="n">
        <v>45707</v>
      </c>
      <c r="C490" s="3" t="inlineStr">
        <is>
          <t>Footwear</t>
        </is>
      </c>
      <c r="D490" s="3" t="inlineStr">
        <is>
          <t>Sneakers</t>
        </is>
      </c>
      <c r="E490" s="3" t="inlineStr">
        <is>
          <t>Greater Accra</t>
        </is>
      </c>
      <c r="F490" s="3" t="inlineStr">
        <is>
          <t>Retail Shop</t>
        </is>
      </c>
      <c r="G490" s="3" t="inlineStr">
        <is>
          <t>New</t>
        </is>
      </c>
      <c r="H490" s="3" t="n">
        <v>4</v>
      </c>
      <c r="I490" s="3" t="n">
        <v>335</v>
      </c>
      <c r="J490" s="3" t="n">
        <v>192.83</v>
      </c>
      <c r="K490" s="3" t="n">
        <v>0.05</v>
      </c>
      <c r="L490" s="3" t="n">
        <v>7.94</v>
      </c>
    </row>
    <row r="491">
      <c r="A491" s="3" t="inlineStr">
        <is>
          <t>ORD-10490</t>
        </is>
      </c>
      <c r="B491" s="6" t="n">
        <v>45807</v>
      </c>
      <c r="C491" s="3" t="inlineStr">
        <is>
          <t>Clothing</t>
        </is>
      </c>
      <c r="D491" s="3" t="inlineStr">
        <is>
          <t>Trousers</t>
        </is>
      </c>
      <c r="E491" s="3" t="inlineStr">
        <is>
          <t>Greater Accra</t>
        </is>
      </c>
      <c r="F491" s="3" t="inlineStr">
        <is>
          <t>Retail Shop</t>
        </is>
      </c>
      <c r="G491" s="3" t="inlineStr">
        <is>
          <t>Returning</t>
        </is>
      </c>
      <c r="H491" s="3" t="n">
        <v>1</v>
      </c>
      <c r="I491" s="3" t="n">
        <v>100</v>
      </c>
      <c r="J491" s="3" t="n">
        <v>50.82</v>
      </c>
      <c r="K491" s="3" t="n">
        <v>0</v>
      </c>
      <c r="L491" s="3" t="n">
        <v>3.97</v>
      </c>
    </row>
    <row r="492">
      <c r="A492" s="3" t="inlineStr">
        <is>
          <t>ORD-10491</t>
        </is>
      </c>
      <c r="B492" s="6" t="n">
        <v>45707</v>
      </c>
      <c r="C492" s="3" t="inlineStr">
        <is>
          <t>Accessories</t>
        </is>
      </c>
      <c r="D492" s="3" t="inlineStr">
        <is>
          <t>Watches</t>
        </is>
      </c>
      <c r="E492" s="3" t="inlineStr">
        <is>
          <t>Central</t>
        </is>
      </c>
      <c r="F492" s="3" t="inlineStr">
        <is>
          <t>Online</t>
        </is>
      </c>
      <c r="G492" s="3" t="inlineStr">
        <is>
          <t>New</t>
        </is>
      </c>
      <c r="H492" s="3" t="n">
        <v>5</v>
      </c>
      <c r="I492" s="3" t="n">
        <v>55</v>
      </c>
      <c r="J492" s="3" t="n">
        <v>23.25</v>
      </c>
      <c r="K492" s="3" t="n">
        <v>0.05</v>
      </c>
      <c r="L492" s="3" t="n">
        <v>10.83</v>
      </c>
    </row>
    <row r="493">
      <c r="A493" s="3" t="inlineStr">
        <is>
          <t>ORD-10492</t>
        </is>
      </c>
      <c r="B493" s="6" t="n">
        <v>45723</v>
      </c>
      <c r="C493" s="3" t="inlineStr">
        <is>
          <t>Accessories</t>
        </is>
      </c>
      <c r="D493" s="3" t="inlineStr">
        <is>
          <t>Sunglasses</t>
        </is>
      </c>
      <c r="E493" s="3" t="inlineStr">
        <is>
          <t>Greater Accra</t>
        </is>
      </c>
      <c r="F493" s="3" t="inlineStr">
        <is>
          <t>Retail Shop</t>
        </is>
      </c>
      <c r="G493" s="3" t="inlineStr">
        <is>
          <t>Returning</t>
        </is>
      </c>
      <c r="H493" s="3" t="n">
        <v>1</v>
      </c>
      <c r="I493" s="3" t="n">
        <v>80</v>
      </c>
      <c r="J493" s="3" t="n">
        <v>41.24</v>
      </c>
      <c r="K493" s="3" t="n">
        <v>0.05</v>
      </c>
      <c r="L493" s="3" t="n">
        <v>11.19</v>
      </c>
    </row>
    <row r="494">
      <c r="A494" s="3" t="inlineStr">
        <is>
          <t>ORD-10493</t>
        </is>
      </c>
      <c r="B494" s="6" t="n">
        <v>45750</v>
      </c>
      <c r="C494" s="3" t="inlineStr">
        <is>
          <t>Home &amp; Lifestyle</t>
        </is>
      </c>
      <c r="D494" s="3" t="inlineStr">
        <is>
          <t>Travel Mugs</t>
        </is>
      </c>
      <c r="E494" s="3" t="inlineStr">
        <is>
          <t>Ashanti</t>
        </is>
      </c>
      <c r="F494" s="3" t="inlineStr">
        <is>
          <t>Online</t>
        </is>
      </c>
      <c r="G494" s="3" t="inlineStr">
        <is>
          <t>Returning</t>
        </is>
      </c>
      <c r="H494" s="3" t="n">
        <v>6</v>
      </c>
      <c r="I494" s="3" t="n">
        <v>75</v>
      </c>
      <c r="J494" s="3" t="n">
        <v>43.17</v>
      </c>
      <c r="K494" s="3" t="n">
        <v>0</v>
      </c>
      <c r="L494" s="3" t="n">
        <v>17.28</v>
      </c>
    </row>
    <row r="495">
      <c r="A495" s="3" t="inlineStr">
        <is>
          <t>ORD-10494</t>
        </is>
      </c>
      <c r="B495" s="6" t="n">
        <v>45824</v>
      </c>
      <c r="C495" s="3" t="inlineStr">
        <is>
          <t>Clothing</t>
        </is>
      </c>
      <c r="D495" s="3" t="inlineStr">
        <is>
          <t>Dresses</t>
        </is>
      </c>
      <c r="E495" s="3" t="inlineStr">
        <is>
          <t>Greater Accra</t>
        </is>
      </c>
      <c r="F495" s="3" t="inlineStr">
        <is>
          <t>Online</t>
        </is>
      </c>
      <c r="G495" s="3" t="inlineStr">
        <is>
          <t>Returning</t>
        </is>
      </c>
      <c r="H495" s="3" t="n">
        <v>1</v>
      </c>
      <c r="I495" s="3" t="n">
        <v>205</v>
      </c>
      <c r="J495" s="3" t="n">
        <v>99.09999999999999</v>
      </c>
      <c r="K495" s="3" t="n">
        <v>0</v>
      </c>
      <c r="L495" s="3" t="n">
        <v>33.76</v>
      </c>
    </row>
    <row r="496">
      <c r="A496" s="3" t="inlineStr">
        <is>
          <t>ORD-10495</t>
        </is>
      </c>
      <c r="B496" s="6" t="n">
        <v>45933</v>
      </c>
      <c r="C496" s="3" t="inlineStr">
        <is>
          <t>Home &amp; Lifestyle</t>
        </is>
      </c>
      <c r="D496" s="3" t="inlineStr">
        <is>
          <t>Travel Mugs</t>
        </is>
      </c>
      <c r="E496" s="3" t="inlineStr">
        <is>
          <t>Greater Accra</t>
        </is>
      </c>
      <c r="F496" s="3" t="inlineStr">
        <is>
          <t>Phone/WhatsApp</t>
        </is>
      </c>
      <c r="G496" s="3" t="inlineStr">
        <is>
          <t>Returning</t>
        </is>
      </c>
      <c r="H496" s="3" t="n">
        <v>1</v>
      </c>
      <c r="I496" s="3" t="n">
        <v>95</v>
      </c>
      <c r="J496" s="3" t="n">
        <v>46.47</v>
      </c>
      <c r="K496" s="3" t="n">
        <v>0</v>
      </c>
      <c r="L496" s="3" t="n">
        <v>33.33</v>
      </c>
    </row>
    <row r="497">
      <c r="A497" s="3" t="inlineStr">
        <is>
          <t>ORD-10496</t>
        </is>
      </c>
      <c r="B497" s="6" t="n">
        <v>45708</v>
      </c>
      <c r="C497" s="3" t="inlineStr">
        <is>
          <t>Home &amp; Lifestyle</t>
        </is>
      </c>
      <c r="D497" s="3" t="inlineStr">
        <is>
          <t>Small Home Goods</t>
        </is>
      </c>
      <c r="E497" s="3" t="inlineStr">
        <is>
          <t>Ashanti</t>
        </is>
      </c>
      <c r="F497" s="3" t="inlineStr">
        <is>
          <t>Online</t>
        </is>
      </c>
      <c r="G497" s="3" t="inlineStr">
        <is>
          <t>New</t>
        </is>
      </c>
      <c r="H497" s="3" t="n">
        <v>2</v>
      </c>
      <c r="I497" s="3" t="n">
        <v>165</v>
      </c>
      <c r="J497" s="3" t="n">
        <v>80.79000000000001</v>
      </c>
      <c r="K497" s="3" t="n">
        <v>0.05</v>
      </c>
      <c r="L497" s="3" t="n">
        <v>26.6</v>
      </c>
    </row>
    <row r="498">
      <c r="A498" s="3" t="inlineStr">
        <is>
          <t>ORD-10497</t>
        </is>
      </c>
      <c r="B498" s="6" t="n">
        <v>46005</v>
      </c>
      <c r="C498" s="3" t="inlineStr">
        <is>
          <t>Footwear</t>
        </is>
      </c>
      <c r="D498" s="3" t="inlineStr">
        <is>
          <t>Boots</t>
        </is>
      </c>
      <c r="E498" s="3" t="inlineStr">
        <is>
          <t>Ashanti</t>
        </is>
      </c>
      <c r="F498" s="3" t="inlineStr">
        <is>
          <t>Retail Shop</t>
        </is>
      </c>
      <c r="G498" s="3" t="inlineStr">
        <is>
          <t>New</t>
        </is>
      </c>
      <c r="H498" s="3" t="n">
        <v>5</v>
      </c>
      <c r="I498" s="3" t="n">
        <v>490</v>
      </c>
      <c r="J498" s="3" t="n">
        <v>295.73</v>
      </c>
      <c r="K498" s="3" t="n">
        <v>0</v>
      </c>
      <c r="L498" s="3" t="n">
        <v>3.24</v>
      </c>
    </row>
    <row r="499">
      <c r="A499" s="3" t="inlineStr">
        <is>
          <t>ORD-10498</t>
        </is>
      </c>
      <c r="B499" s="6" t="n">
        <v>45720</v>
      </c>
      <c r="C499" s="3" t="inlineStr">
        <is>
          <t>Accessories</t>
        </is>
      </c>
      <c r="D499" s="3" t="inlineStr">
        <is>
          <t>Watches</t>
        </is>
      </c>
      <c r="E499" s="3" t="inlineStr">
        <is>
          <t>Central</t>
        </is>
      </c>
      <c r="F499" s="3" t="inlineStr">
        <is>
          <t>Phone/WhatsApp</t>
        </is>
      </c>
      <c r="G499" s="3" t="inlineStr">
        <is>
          <t>Returning</t>
        </is>
      </c>
      <c r="H499" s="3" t="n">
        <v>8</v>
      </c>
      <c r="I499" s="3" t="n">
        <v>125</v>
      </c>
      <c r="J499" s="3" t="n">
        <v>60.89</v>
      </c>
      <c r="K499" s="3" t="n">
        <v>0</v>
      </c>
      <c r="L499" s="3" t="n">
        <v>36.74</v>
      </c>
    </row>
    <row r="500">
      <c r="A500" s="3" t="inlineStr">
        <is>
          <t>ORD-10499</t>
        </is>
      </c>
      <c r="B500" s="6" t="n">
        <v>45939</v>
      </c>
      <c r="C500" s="3" t="inlineStr">
        <is>
          <t>Home &amp; Lifestyle</t>
        </is>
      </c>
      <c r="D500" s="3" t="inlineStr">
        <is>
          <t>Travel Mugs</t>
        </is>
      </c>
      <c r="E500" s="3" t="inlineStr">
        <is>
          <t>Ashanti</t>
        </is>
      </c>
      <c r="F500" s="3" t="inlineStr">
        <is>
          <t>Retail Shop</t>
        </is>
      </c>
      <c r="G500" s="3" t="inlineStr">
        <is>
          <t>Returning</t>
        </is>
      </c>
      <c r="H500" s="3" t="n">
        <v>2</v>
      </c>
      <c r="I500" s="3" t="n">
        <v>120</v>
      </c>
      <c r="J500" s="3" t="n">
        <v>71.78</v>
      </c>
      <c r="K500" s="3" t="n">
        <v>0.2</v>
      </c>
      <c r="L500" s="3" t="n">
        <v>7.31</v>
      </c>
    </row>
    <row r="501">
      <c r="A501" s="3" t="inlineStr">
        <is>
          <t>ORD-10500</t>
        </is>
      </c>
      <c r="B501" s="6" t="n">
        <v>45822</v>
      </c>
      <c r="C501" s="3" t="inlineStr">
        <is>
          <t>Footwear</t>
        </is>
      </c>
      <c r="D501" s="3" t="inlineStr">
        <is>
          <t>Boots</t>
        </is>
      </c>
      <c r="E501" s="3" t="inlineStr">
        <is>
          <t>Greater Accra</t>
        </is>
      </c>
      <c r="F501" s="3" t="inlineStr">
        <is>
          <t>Phone/WhatsApp</t>
        </is>
      </c>
      <c r="G501" s="3" t="inlineStr">
        <is>
          <t>New</t>
        </is>
      </c>
      <c r="H501" s="3" t="n">
        <v>1</v>
      </c>
      <c r="I501" s="3" t="n">
        <v>350</v>
      </c>
      <c r="J501" s="3" t="n">
        <v>189.95</v>
      </c>
      <c r="K501" s="3" t="n">
        <v>0.05</v>
      </c>
      <c r="L501" s="3" t="n">
        <v>40.97</v>
      </c>
    </row>
    <row r="502">
      <c r="A502" s="3" t="inlineStr">
        <is>
          <t>ORD-10501</t>
        </is>
      </c>
      <c r="B502" s="6" t="n">
        <v>45903</v>
      </c>
      <c r="C502" s="3" t="inlineStr">
        <is>
          <t>Clothing</t>
        </is>
      </c>
      <c r="D502" s="3" t="inlineStr">
        <is>
          <t>Shirts</t>
        </is>
      </c>
      <c r="E502" s="3" t="inlineStr">
        <is>
          <t>Ashanti</t>
        </is>
      </c>
      <c r="F502" s="3" t="inlineStr">
        <is>
          <t>Retail Shop</t>
        </is>
      </c>
      <c r="G502" s="3" t="inlineStr">
        <is>
          <t>New</t>
        </is>
      </c>
      <c r="H502" s="3" t="n">
        <v>2</v>
      </c>
      <c r="I502" s="3" t="n">
        <v>100</v>
      </c>
      <c r="J502" s="3" t="n">
        <v>54.55</v>
      </c>
      <c r="K502" s="3" t="n">
        <v>0</v>
      </c>
      <c r="L502" s="3" t="n">
        <v>6.23</v>
      </c>
    </row>
    <row r="503">
      <c r="A503" s="3" t="inlineStr">
        <is>
          <t>ORD-10502</t>
        </is>
      </c>
      <c r="B503" s="6" t="n">
        <v>45811</v>
      </c>
      <c r="C503" s="3" t="inlineStr">
        <is>
          <t>Clothing</t>
        </is>
      </c>
      <c r="D503" s="3" t="inlineStr">
        <is>
          <t>Jackets</t>
        </is>
      </c>
      <c r="E503" s="3" t="inlineStr">
        <is>
          <t>Greater Accra</t>
        </is>
      </c>
      <c r="F503" s="3" t="inlineStr">
        <is>
          <t>Online</t>
        </is>
      </c>
      <c r="G503" s="3" t="inlineStr">
        <is>
          <t>Returning</t>
        </is>
      </c>
      <c r="H503" s="3" t="n">
        <v>1</v>
      </c>
      <c r="I503" s="3" t="n">
        <v>110</v>
      </c>
      <c r="J503" s="3" t="n">
        <v>57.65</v>
      </c>
      <c r="K503" s="3" t="n">
        <v>0.05</v>
      </c>
      <c r="L503" s="3" t="n">
        <v>17.82</v>
      </c>
    </row>
    <row r="504">
      <c r="A504" s="3" t="inlineStr">
        <is>
          <t>ORD-10503</t>
        </is>
      </c>
      <c r="B504" s="6" t="n">
        <v>45885</v>
      </c>
      <c r="C504" s="3" t="inlineStr">
        <is>
          <t>Footwear</t>
        </is>
      </c>
      <c r="D504" s="3" t="inlineStr">
        <is>
          <t>Boots</t>
        </is>
      </c>
      <c r="E504" s="3" t="inlineStr">
        <is>
          <t>Western</t>
        </is>
      </c>
      <c r="F504" s="3" t="inlineStr">
        <is>
          <t>Online</t>
        </is>
      </c>
      <c r="G504" s="3" t="inlineStr">
        <is>
          <t>Returning</t>
        </is>
      </c>
      <c r="H504" s="3" t="n">
        <v>2</v>
      </c>
      <c r="I504" s="3" t="n">
        <v>350</v>
      </c>
      <c r="J504" s="3" t="n">
        <v>217.55</v>
      </c>
      <c r="K504" s="3" t="n">
        <v>0</v>
      </c>
      <c r="L504" s="3" t="n">
        <v>22.66</v>
      </c>
    </row>
    <row r="505">
      <c r="A505" s="3" t="inlineStr">
        <is>
          <t>ORD-10504</t>
        </is>
      </c>
      <c r="B505" s="6" t="n">
        <v>45901</v>
      </c>
      <c r="C505" s="3" t="inlineStr">
        <is>
          <t>Footwear</t>
        </is>
      </c>
      <c r="D505" s="3" t="inlineStr">
        <is>
          <t>Sandals</t>
        </is>
      </c>
      <c r="E505" s="3" t="inlineStr">
        <is>
          <t>Greater Accra</t>
        </is>
      </c>
      <c r="F505" s="3" t="inlineStr">
        <is>
          <t>Retail Shop</t>
        </is>
      </c>
      <c r="G505" s="3" t="inlineStr">
        <is>
          <t>Returning</t>
        </is>
      </c>
      <c r="H505" s="3" t="n">
        <v>2</v>
      </c>
      <c r="I505" s="3" t="n">
        <v>160</v>
      </c>
      <c r="J505" s="3" t="n">
        <v>88.90000000000001</v>
      </c>
      <c r="K505" s="3" t="n">
        <v>0</v>
      </c>
      <c r="L505" s="3" t="n">
        <v>1.32</v>
      </c>
    </row>
    <row r="506">
      <c r="A506" s="3" t="inlineStr">
        <is>
          <t>ORD-10505</t>
        </is>
      </c>
      <c r="B506" s="6" t="n">
        <v>45831</v>
      </c>
      <c r="C506" s="3" t="inlineStr">
        <is>
          <t>Clothing</t>
        </is>
      </c>
      <c r="D506" s="3" t="inlineStr">
        <is>
          <t>Dresses</t>
        </is>
      </c>
      <c r="E506" s="3" t="inlineStr">
        <is>
          <t>Western</t>
        </is>
      </c>
      <c r="F506" s="3" t="inlineStr">
        <is>
          <t>Retail Shop</t>
        </is>
      </c>
      <c r="G506" s="3" t="inlineStr">
        <is>
          <t>Returning</t>
        </is>
      </c>
      <c r="H506" s="3" t="n">
        <v>1</v>
      </c>
      <c r="I506" s="3" t="n">
        <v>170</v>
      </c>
      <c r="J506" s="3" t="n">
        <v>84.97</v>
      </c>
      <c r="K506" s="3" t="n">
        <v>0.15</v>
      </c>
      <c r="L506" s="3" t="n">
        <v>6.85</v>
      </c>
    </row>
    <row r="507">
      <c r="A507" s="3" t="inlineStr">
        <is>
          <t>ORD-10506</t>
        </is>
      </c>
      <c r="B507" s="6" t="n">
        <v>45681</v>
      </c>
      <c r="C507" s="3" t="inlineStr">
        <is>
          <t>Clothing</t>
        </is>
      </c>
      <c r="D507" s="3" t="inlineStr">
        <is>
          <t>Shirts</t>
        </is>
      </c>
      <c r="E507" s="3" t="inlineStr">
        <is>
          <t>Northern</t>
        </is>
      </c>
      <c r="F507" s="3" t="inlineStr">
        <is>
          <t>Retail Shop</t>
        </is>
      </c>
      <c r="G507" s="3" t="inlineStr">
        <is>
          <t>Returning</t>
        </is>
      </c>
      <c r="H507" s="3" t="n">
        <v>1</v>
      </c>
      <c r="I507" s="3" t="n">
        <v>165</v>
      </c>
      <c r="J507" s="3" t="n">
        <v>87.47</v>
      </c>
      <c r="K507" s="3" t="n">
        <v>0</v>
      </c>
      <c r="L507" s="3" t="n">
        <v>0.79</v>
      </c>
    </row>
    <row r="508">
      <c r="A508" s="3" t="inlineStr">
        <is>
          <t>ORD-10507</t>
        </is>
      </c>
      <c r="B508" s="6" t="n">
        <v>45939</v>
      </c>
      <c r="C508" s="3" t="inlineStr">
        <is>
          <t>Accessories</t>
        </is>
      </c>
      <c r="D508" s="3" t="inlineStr">
        <is>
          <t>Bags</t>
        </is>
      </c>
      <c r="E508" s="3" t="inlineStr">
        <is>
          <t>Greater Accra</t>
        </is>
      </c>
      <c r="F508" s="3" t="inlineStr">
        <is>
          <t>Online</t>
        </is>
      </c>
      <c r="G508" s="3" t="inlineStr">
        <is>
          <t>New</t>
        </is>
      </c>
      <c r="H508" s="3" t="n">
        <v>4</v>
      </c>
      <c r="I508" s="3" t="n">
        <v>80</v>
      </c>
      <c r="J508" s="3" t="n">
        <v>37.15</v>
      </c>
      <c r="K508" s="3" t="n">
        <v>0</v>
      </c>
      <c r="L508" s="3" t="n">
        <v>42.19</v>
      </c>
    </row>
    <row r="509">
      <c r="A509" s="3" t="inlineStr">
        <is>
          <t>ORD-10508</t>
        </is>
      </c>
      <c r="B509" s="6" t="n">
        <v>45922</v>
      </c>
      <c r="C509" s="3" t="inlineStr">
        <is>
          <t>Clothing</t>
        </is>
      </c>
      <c r="D509" s="3" t="inlineStr">
        <is>
          <t>Trousers</t>
        </is>
      </c>
      <c r="E509" s="3" t="inlineStr">
        <is>
          <t>Western</t>
        </is>
      </c>
      <c r="F509" s="3" t="inlineStr">
        <is>
          <t>Retail Shop</t>
        </is>
      </c>
      <c r="G509" s="3" t="inlineStr">
        <is>
          <t>Returning</t>
        </is>
      </c>
      <c r="H509" s="3" t="n">
        <v>4</v>
      </c>
      <c r="I509" s="3" t="n">
        <v>160</v>
      </c>
      <c r="J509" s="3" t="n">
        <v>84.34</v>
      </c>
      <c r="K509" s="3" t="n">
        <v>0.05</v>
      </c>
      <c r="L509" s="3" t="n">
        <v>0.7</v>
      </c>
    </row>
    <row r="510">
      <c r="A510" s="3" t="inlineStr">
        <is>
          <t>ORD-10509</t>
        </is>
      </c>
      <c r="B510" s="6" t="n">
        <v>45852</v>
      </c>
      <c r="C510" s="3" t="inlineStr">
        <is>
          <t>Footwear</t>
        </is>
      </c>
      <c r="D510" s="3" t="inlineStr">
        <is>
          <t>Sneakers</t>
        </is>
      </c>
      <c r="E510" s="3" t="inlineStr">
        <is>
          <t>Greater Accra</t>
        </is>
      </c>
      <c r="F510" s="3" t="inlineStr">
        <is>
          <t>Online</t>
        </is>
      </c>
      <c r="G510" s="3" t="inlineStr">
        <is>
          <t>New</t>
        </is>
      </c>
      <c r="H510" s="3" t="n">
        <v>2</v>
      </c>
      <c r="I510" s="3" t="n">
        <v>300</v>
      </c>
      <c r="J510" s="3" t="n">
        <v>171.92</v>
      </c>
      <c r="K510" s="3" t="n">
        <v>0</v>
      </c>
      <c r="L510" s="3" t="n">
        <v>21.48</v>
      </c>
    </row>
    <row r="511">
      <c r="A511" s="3" t="inlineStr">
        <is>
          <t>ORD-10510</t>
        </is>
      </c>
      <c r="B511" s="6" t="n">
        <v>45971</v>
      </c>
      <c r="C511" s="3" t="inlineStr">
        <is>
          <t>Footwear</t>
        </is>
      </c>
      <c r="D511" s="3" t="inlineStr">
        <is>
          <t>Boots</t>
        </is>
      </c>
      <c r="E511" s="3" t="inlineStr">
        <is>
          <t>Greater Accra</t>
        </is>
      </c>
      <c r="F511" s="3" t="inlineStr">
        <is>
          <t>Retail Shop</t>
        </is>
      </c>
      <c r="G511" s="3" t="inlineStr">
        <is>
          <t>Returning</t>
        </is>
      </c>
      <c r="H511" s="3" t="n">
        <v>3</v>
      </c>
      <c r="I511" s="3" t="n">
        <v>355</v>
      </c>
      <c r="J511" s="3" t="n">
        <v>184.76</v>
      </c>
      <c r="K511" s="3" t="n">
        <v>0.35</v>
      </c>
      <c r="L511" s="3" t="n">
        <v>3.17</v>
      </c>
    </row>
    <row r="512">
      <c r="A512" s="3" t="inlineStr">
        <is>
          <t>ORD-10511</t>
        </is>
      </c>
      <c r="B512" s="6" t="n">
        <v>45676</v>
      </c>
      <c r="C512" s="3" t="inlineStr">
        <is>
          <t>Footwear</t>
        </is>
      </c>
      <c r="D512" s="3" t="inlineStr">
        <is>
          <t>Formal Shoes</t>
        </is>
      </c>
      <c r="E512" s="3" t="inlineStr">
        <is>
          <t>Ashanti</t>
        </is>
      </c>
      <c r="F512" s="3" t="inlineStr">
        <is>
          <t>Phone/WhatsApp</t>
        </is>
      </c>
      <c r="G512" s="3" t="inlineStr">
        <is>
          <t>Returning</t>
        </is>
      </c>
      <c r="H512" s="3" t="n">
        <v>2</v>
      </c>
      <c r="I512" s="3" t="n">
        <v>345</v>
      </c>
      <c r="J512" s="3" t="n">
        <v>177.98</v>
      </c>
      <c r="K512" s="3" t="n">
        <v>0</v>
      </c>
      <c r="L512" s="3" t="n">
        <v>15.27</v>
      </c>
    </row>
    <row r="513">
      <c r="A513" s="3" t="inlineStr">
        <is>
          <t>ORD-10512</t>
        </is>
      </c>
      <c r="B513" s="6" t="n">
        <v>45948</v>
      </c>
      <c r="C513" s="3" t="inlineStr">
        <is>
          <t>Clothing</t>
        </is>
      </c>
      <c r="D513" s="3" t="inlineStr">
        <is>
          <t>Jackets</t>
        </is>
      </c>
      <c r="E513" s="3" t="inlineStr">
        <is>
          <t>Western</t>
        </is>
      </c>
      <c r="F513" s="3" t="inlineStr">
        <is>
          <t>Phone/WhatsApp</t>
        </is>
      </c>
      <c r="G513" s="3" t="inlineStr">
        <is>
          <t>Returning</t>
        </is>
      </c>
      <c r="H513" s="3" t="n">
        <v>4</v>
      </c>
      <c r="I513" s="3" t="n">
        <v>110</v>
      </c>
      <c r="J513" s="3" t="n">
        <v>51.65</v>
      </c>
      <c r="K513" s="3" t="n">
        <v>0.15</v>
      </c>
      <c r="L513" s="3" t="n">
        <v>42.83</v>
      </c>
    </row>
    <row r="514">
      <c r="A514" s="3" t="inlineStr">
        <is>
          <t>ORD-10513</t>
        </is>
      </c>
      <c r="B514" s="6" t="n">
        <v>45835</v>
      </c>
      <c r="C514" s="3" t="inlineStr">
        <is>
          <t>Home &amp; Lifestyle</t>
        </is>
      </c>
      <c r="D514" s="3" t="inlineStr">
        <is>
          <t>Travel Mugs</t>
        </is>
      </c>
      <c r="E514" s="3" t="inlineStr">
        <is>
          <t>Western</t>
        </is>
      </c>
      <c r="F514" s="3" t="inlineStr">
        <is>
          <t>Retail Shop</t>
        </is>
      </c>
      <c r="G514" s="3" t="inlineStr">
        <is>
          <t>Returning</t>
        </is>
      </c>
      <c r="H514" s="3" t="n">
        <v>4</v>
      </c>
      <c r="I514" s="3" t="n">
        <v>165</v>
      </c>
      <c r="J514" s="3" t="n">
        <v>80.79000000000001</v>
      </c>
      <c r="K514" s="3" t="n">
        <v>0</v>
      </c>
      <c r="L514" s="3" t="n">
        <v>1.99</v>
      </c>
    </row>
    <row r="515">
      <c r="A515" s="3" t="inlineStr">
        <is>
          <t>ORD-10514</t>
        </is>
      </c>
      <c r="B515" s="6" t="n">
        <v>45663</v>
      </c>
      <c r="C515" s="3" t="inlineStr">
        <is>
          <t>Clothing</t>
        </is>
      </c>
      <c r="D515" s="3" t="inlineStr">
        <is>
          <t>Shirts</t>
        </is>
      </c>
      <c r="E515" s="3" t="inlineStr">
        <is>
          <t>Western</t>
        </is>
      </c>
      <c r="F515" s="3" t="inlineStr">
        <is>
          <t>Retail Shop</t>
        </is>
      </c>
      <c r="G515" s="3" t="inlineStr">
        <is>
          <t>Returning</t>
        </is>
      </c>
      <c r="H515" s="3" t="n">
        <v>4</v>
      </c>
      <c r="I515" s="3" t="n">
        <v>130</v>
      </c>
      <c r="J515" s="3" t="n">
        <v>65.62</v>
      </c>
      <c r="K515" s="3" t="n">
        <v>0.2</v>
      </c>
      <c r="L515" s="3" t="n">
        <v>4.28</v>
      </c>
    </row>
    <row r="516">
      <c r="A516" s="3" t="inlineStr">
        <is>
          <t>ORD-10515</t>
        </is>
      </c>
      <c r="B516" s="6" t="n">
        <v>45723</v>
      </c>
      <c r="C516" s="3" t="inlineStr">
        <is>
          <t>Accessories</t>
        </is>
      </c>
      <c r="D516" s="3" t="inlineStr">
        <is>
          <t>Watches</t>
        </is>
      </c>
      <c r="E516" s="3" t="inlineStr">
        <is>
          <t>Ashanti</t>
        </is>
      </c>
      <c r="F516" s="3" t="inlineStr">
        <is>
          <t>Online</t>
        </is>
      </c>
      <c r="G516" s="3" t="inlineStr">
        <is>
          <t>Returning</t>
        </is>
      </c>
      <c r="H516" s="3" t="n">
        <v>1</v>
      </c>
      <c r="I516" s="3" t="n">
        <v>70</v>
      </c>
      <c r="J516" s="3" t="n">
        <v>31.62</v>
      </c>
      <c r="K516" s="3" t="n">
        <v>0.2</v>
      </c>
      <c r="L516" s="3" t="n">
        <v>32.96</v>
      </c>
    </row>
    <row r="517">
      <c r="A517" s="3" t="inlineStr">
        <is>
          <t>ORD-10516</t>
        </is>
      </c>
      <c r="B517" s="6" t="n">
        <v>45853</v>
      </c>
      <c r="C517" s="3" t="inlineStr">
        <is>
          <t>Footwear</t>
        </is>
      </c>
      <c r="D517" s="3" t="inlineStr">
        <is>
          <t>Sneakers</t>
        </is>
      </c>
      <c r="E517" s="3" t="inlineStr">
        <is>
          <t>Western</t>
        </is>
      </c>
      <c r="F517" s="3" t="inlineStr">
        <is>
          <t>Retail Shop</t>
        </is>
      </c>
      <c r="G517" s="3" t="inlineStr">
        <is>
          <t>Returning</t>
        </is>
      </c>
      <c r="H517" s="3" t="n">
        <v>1</v>
      </c>
      <c r="I517" s="3" t="n">
        <v>185</v>
      </c>
      <c r="J517" s="3" t="n">
        <v>110.63</v>
      </c>
      <c r="K517" s="3" t="n">
        <v>0.2</v>
      </c>
      <c r="L517" s="3" t="n">
        <v>7.44</v>
      </c>
    </row>
    <row r="518">
      <c r="A518" s="3" t="inlineStr">
        <is>
          <t>ORD-10517</t>
        </is>
      </c>
      <c r="B518" s="6" t="n">
        <v>46014</v>
      </c>
      <c r="C518" s="3" t="inlineStr">
        <is>
          <t>Footwear</t>
        </is>
      </c>
      <c r="D518" s="3" t="inlineStr">
        <is>
          <t>Sandals</t>
        </is>
      </c>
      <c r="E518" s="3" t="inlineStr">
        <is>
          <t>Northern</t>
        </is>
      </c>
      <c r="F518" s="3" t="inlineStr">
        <is>
          <t>Online</t>
        </is>
      </c>
      <c r="G518" s="3" t="inlineStr">
        <is>
          <t>New</t>
        </is>
      </c>
      <c r="H518" s="3" t="n">
        <v>7</v>
      </c>
      <c r="I518" s="3" t="n">
        <v>235</v>
      </c>
      <c r="J518" s="3" t="n">
        <v>120.29</v>
      </c>
      <c r="K518" s="3" t="n">
        <v>0.1</v>
      </c>
      <c r="L518" s="3" t="n">
        <v>16.52</v>
      </c>
    </row>
    <row r="519">
      <c r="A519" s="3" t="inlineStr">
        <is>
          <t>ORD-10518</t>
        </is>
      </c>
      <c r="B519" s="6" t="n">
        <v>45918</v>
      </c>
      <c r="C519" s="3" t="inlineStr">
        <is>
          <t>Clothing</t>
        </is>
      </c>
      <c r="D519" s="3" t="inlineStr">
        <is>
          <t>Dresses</t>
        </is>
      </c>
      <c r="E519" s="3" t="inlineStr">
        <is>
          <t>Western</t>
        </is>
      </c>
      <c r="F519" s="3" t="inlineStr">
        <is>
          <t>Retail Shop</t>
        </is>
      </c>
      <c r="G519" s="3" t="inlineStr">
        <is>
          <t>Returning</t>
        </is>
      </c>
      <c r="H519" s="3" t="n">
        <v>3</v>
      </c>
      <c r="I519" s="3" t="n">
        <v>100</v>
      </c>
      <c r="J519" s="3" t="n">
        <v>45.91</v>
      </c>
      <c r="K519" s="3" t="n">
        <v>0.05</v>
      </c>
      <c r="L519" s="3" t="n">
        <v>4.48</v>
      </c>
    </row>
    <row r="520">
      <c r="A520" s="3" t="inlineStr">
        <is>
          <t>ORD-10519</t>
        </is>
      </c>
      <c r="B520" s="6" t="n">
        <v>45689</v>
      </c>
      <c r="C520" s="3" t="inlineStr">
        <is>
          <t>Footwear</t>
        </is>
      </c>
      <c r="D520" s="3" t="inlineStr">
        <is>
          <t>Formal Shoes</t>
        </is>
      </c>
      <c r="E520" s="3" t="inlineStr">
        <is>
          <t>Greater Accra</t>
        </is>
      </c>
      <c r="F520" s="3" t="inlineStr">
        <is>
          <t>Retail Shop</t>
        </is>
      </c>
      <c r="G520" s="3" t="inlineStr">
        <is>
          <t>Returning</t>
        </is>
      </c>
      <c r="H520" s="3" t="n">
        <v>3</v>
      </c>
      <c r="I520" s="3" t="n">
        <v>340</v>
      </c>
      <c r="J520" s="3" t="n">
        <v>181.73</v>
      </c>
      <c r="K520" s="3" t="n">
        <v>0</v>
      </c>
      <c r="L520" s="3" t="n">
        <v>11.44</v>
      </c>
    </row>
    <row r="521">
      <c r="A521" s="3" t="inlineStr">
        <is>
          <t>ORD-10520</t>
        </is>
      </c>
      <c r="B521" s="6" t="n">
        <v>46013</v>
      </c>
      <c r="C521" s="3" t="inlineStr">
        <is>
          <t>Home &amp; Lifestyle</t>
        </is>
      </c>
      <c r="D521" s="3" t="inlineStr">
        <is>
          <t>Backpacks</t>
        </is>
      </c>
      <c r="E521" s="3" t="inlineStr">
        <is>
          <t>Greater Accra</t>
        </is>
      </c>
      <c r="F521" s="3" t="inlineStr">
        <is>
          <t>Online</t>
        </is>
      </c>
      <c r="G521" s="3" t="inlineStr">
        <is>
          <t>New</t>
        </is>
      </c>
      <c r="H521" s="3" t="n">
        <v>2</v>
      </c>
      <c r="I521" s="3" t="n">
        <v>240</v>
      </c>
      <c r="J521" s="3" t="n">
        <v>134.81</v>
      </c>
      <c r="K521" s="3" t="n">
        <v>0.1</v>
      </c>
      <c r="L521" s="3" t="n">
        <v>40.82</v>
      </c>
    </row>
    <row r="522">
      <c r="A522" s="3" t="inlineStr">
        <is>
          <t>ORD-10521</t>
        </is>
      </c>
      <c r="B522" s="6" t="n">
        <v>45774</v>
      </c>
      <c r="C522" s="3" t="inlineStr">
        <is>
          <t>Home &amp; Lifestyle</t>
        </is>
      </c>
      <c r="D522" s="3" t="inlineStr">
        <is>
          <t>Travel Mugs</t>
        </is>
      </c>
      <c r="E522" s="3" t="inlineStr">
        <is>
          <t>Ashanti</t>
        </is>
      </c>
      <c r="F522" s="3" t="inlineStr">
        <is>
          <t>Phone/WhatsApp</t>
        </is>
      </c>
      <c r="G522" s="3" t="inlineStr">
        <is>
          <t>New</t>
        </is>
      </c>
      <c r="H522" s="3" t="n">
        <v>4</v>
      </c>
      <c r="I522" s="3" t="n">
        <v>175</v>
      </c>
      <c r="J522" s="3" t="n">
        <v>104.1</v>
      </c>
      <c r="K522" s="3" t="n">
        <v>0.05</v>
      </c>
      <c r="L522" s="3" t="n">
        <v>34.1</v>
      </c>
    </row>
    <row r="523">
      <c r="A523" s="3" t="inlineStr">
        <is>
          <t>ORD-10522</t>
        </is>
      </c>
      <c r="B523" s="6" t="n">
        <v>45803</v>
      </c>
      <c r="C523" s="3" t="inlineStr">
        <is>
          <t>Clothing</t>
        </is>
      </c>
      <c r="D523" s="3" t="inlineStr">
        <is>
          <t>Jackets</t>
        </is>
      </c>
      <c r="E523" s="3" t="inlineStr">
        <is>
          <t>Ashanti</t>
        </is>
      </c>
      <c r="F523" s="3" t="inlineStr">
        <is>
          <t>Online</t>
        </is>
      </c>
      <c r="G523" s="3" t="inlineStr">
        <is>
          <t>Returning</t>
        </is>
      </c>
      <c r="H523" s="3" t="n">
        <v>1</v>
      </c>
      <c r="I523" s="3" t="n">
        <v>110</v>
      </c>
      <c r="J523" s="3" t="n">
        <v>57.6</v>
      </c>
      <c r="K523" s="3" t="n">
        <v>0</v>
      </c>
      <c r="L523" s="3" t="n">
        <v>36.94</v>
      </c>
    </row>
    <row r="524">
      <c r="A524" s="3" t="inlineStr">
        <is>
          <t>ORD-10523</t>
        </is>
      </c>
      <c r="B524" s="6" t="n">
        <v>46019</v>
      </c>
      <c r="C524" s="3" t="inlineStr">
        <is>
          <t>Footwear</t>
        </is>
      </c>
      <c r="D524" s="3" t="inlineStr">
        <is>
          <t>Formal Shoes</t>
        </is>
      </c>
      <c r="E524" s="3" t="inlineStr">
        <is>
          <t>Greater Accra</t>
        </is>
      </c>
      <c r="F524" s="3" t="inlineStr">
        <is>
          <t>Online</t>
        </is>
      </c>
      <c r="G524" s="3" t="inlineStr">
        <is>
          <t>New</t>
        </is>
      </c>
      <c r="H524" s="3" t="n">
        <v>2</v>
      </c>
      <c r="I524" s="3" t="n">
        <v>205</v>
      </c>
      <c r="J524" s="3" t="n">
        <v>110.09</v>
      </c>
      <c r="K524" s="3" t="n">
        <v>0</v>
      </c>
      <c r="L524" s="3" t="n">
        <v>22.26</v>
      </c>
    </row>
    <row r="525">
      <c r="A525" s="3" t="inlineStr">
        <is>
          <t>ORD-10524</t>
        </is>
      </c>
      <c r="B525" s="6" t="n">
        <v>45693</v>
      </c>
      <c r="C525" s="3" t="inlineStr">
        <is>
          <t>Footwear</t>
        </is>
      </c>
      <c r="D525" s="3" t="inlineStr">
        <is>
          <t>Boots</t>
        </is>
      </c>
      <c r="E525" s="3" t="inlineStr">
        <is>
          <t>Greater Accra</t>
        </is>
      </c>
      <c r="F525" s="3" t="inlineStr">
        <is>
          <t>Retail Shop</t>
        </is>
      </c>
      <c r="G525" s="3" t="inlineStr">
        <is>
          <t>Returning</t>
        </is>
      </c>
      <c r="H525" s="3" t="n">
        <v>3</v>
      </c>
      <c r="I525" s="3" t="n">
        <v>310</v>
      </c>
      <c r="J525" s="3" t="n">
        <v>177.5</v>
      </c>
      <c r="K525" s="3" t="n">
        <v>0</v>
      </c>
      <c r="L525" s="3" t="n">
        <v>0.67</v>
      </c>
    </row>
    <row r="526">
      <c r="A526" s="3" t="inlineStr">
        <is>
          <t>ORD-10525</t>
        </is>
      </c>
      <c r="B526" s="6" t="n">
        <v>45969</v>
      </c>
      <c r="C526" s="3" t="inlineStr">
        <is>
          <t>Footwear</t>
        </is>
      </c>
      <c r="D526" s="3" t="inlineStr">
        <is>
          <t>Boots</t>
        </is>
      </c>
      <c r="E526" s="3" t="inlineStr">
        <is>
          <t>Greater Accra</t>
        </is>
      </c>
      <c r="F526" s="3" t="inlineStr">
        <is>
          <t>Retail Shop</t>
        </is>
      </c>
      <c r="G526" s="3" t="inlineStr">
        <is>
          <t>Returning</t>
        </is>
      </c>
      <c r="H526" s="3" t="n">
        <v>4</v>
      </c>
      <c r="I526" s="3" t="n">
        <v>630</v>
      </c>
      <c r="J526" s="3" t="n">
        <v>321.57</v>
      </c>
      <c r="K526" s="3" t="n">
        <v>0</v>
      </c>
      <c r="L526" s="3" t="n">
        <v>9.92</v>
      </c>
    </row>
    <row r="527">
      <c r="A527" s="3" t="inlineStr">
        <is>
          <t>ORD-10526</t>
        </is>
      </c>
      <c r="B527" s="6" t="n">
        <v>45670</v>
      </c>
      <c r="C527" s="3" t="inlineStr">
        <is>
          <t>Clothing</t>
        </is>
      </c>
      <c r="D527" s="3" t="inlineStr">
        <is>
          <t>Shirts</t>
        </is>
      </c>
      <c r="E527" s="3" t="inlineStr">
        <is>
          <t>Ashanti</t>
        </is>
      </c>
      <c r="F527" s="3" t="inlineStr">
        <is>
          <t>Phone/WhatsApp</t>
        </is>
      </c>
      <c r="G527" s="3" t="inlineStr">
        <is>
          <t>Returning</t>
        </is>
      </c>
      <c r="H527" s="3" t="n">
        <v>5</v>
      </c>
      <c r="I527" s="3" t="n">
        <v>230</v>
      </c>
      <c r="J527" s="3" t="n">
        <v>105.29</v>
      </c>
      <c r="K527" s="3" t="n">
        <v>0.05</v>
      </c>
      <c r="L527" s="3" t="n">
        <v>43.09</v>
      </c>
    </row>
    <row r="528">
      <c r="A528" s="3" t="inlineStr">
        <is>
          <t>ORD-10527</t>
        </is>
      </c>
      <c r="B528" s="6" t="n">
        <v>45965</v>
      </c>
      <c r="C528" s="3" t="inlineStr">
        <is>
          <t>Clothing</t>
        </is>
      </c>
      <c r="D528" s="3" t="inlineStr">
        <is>
          <t>Jackets</t>
        </is>
      </c>
      <c r="E528" s="3" t="inlineStr">
        <is>
          <t>Ashanti</t>
        </is>
      </c>
      <c r="F528" s="3" t="inlineStr">
        <is>
          <t>Online</t>
        </is>
      </c>
      <c r="G528" s="3" t="inlineStr">
        <is>
          <t>Returning</t>
        </is>
      </c>
      <c r="H528" s="3" t="n">
        <v>2</v>
      </c>
      <c r="I528" s="3" t="n">
        <v>130</v>
      </c>
      <c r="J528" s="3" t="n">
        <v>67.63</v>
      </c>
      <c r="K528" s="3" t="n">
        <v>0</v>
      </c>
      <c r="L528" s="3" t="n">
        <v>14.13</v>
      </c>
    </row>
    <row r="529">
      <c r="A529" s="3" t="inlineStr">
        <is>
          <t>ORD-10528</t>
        </is>
      </c>
      <c r="B529" s="6" t="n">
        <v>45920</v>
      </c>
      <c r="C529" s="3" t="inlineStr">
        <is>
          <t>Accessories</t>
        </is>
      </c>
      <c r="D529" s="3" t="inlineStr">
        <is>
          <t>Sunglasses</t>
        </is>
      </c>
      <c r="E529" s="3" t="inlineStr">
        <is>
          <t>Greater Accra</t>
        </is>
      </c>
      <c r="F529" s="3" t="inlineStr">
        <is>
          <t>Retail Shop</t>
        </is>
      </c>
      <c r="G529" s="3" t="inlineStr">
        <is>
          <t>New</t>
        </is>
      </c>
      <c r="H529" s="3" t="n">
        <v>4</v>
      </c>
      <c r="I529" s="3" t="n">
        <v>140</v>
      </c>
      <c r="J529" s="3" t="n">
        <v>62.62</v>
      </c>
      <c r="K529" s="3" t="n">
        <v>0.1</v>
      </c>
      <c r="L529" s="3" t="n">
        <v>1.78</v>
      </c>
    </row>
    <row r="530">
      <c r="A530" s="3" t="inlineStr">
        <is>
          <t>ORD-10529</t>
        </is>
      </c>
      <c r="B530" s="6" t="n">
        <v>45988</v>
      </c>
      <c r="C530" s="3" t="inlineStr">
        <is>
          <t>Footwear</t>
        </is>
      </c>
      <c r="D530" s="3" t="inlineStr">
        <is>
          <t>Boots</t>
        </is>
      </c>
      <c r="E530" s="3" t="inlineStr">
        <is>
          <t>Western</t>
        </is>
      </c>
      <c r="F530" s="3" t="inlineStr">
        <is>
          <t>Retail Shop</t>
        </is>
      </c>
      <c r="G530" s="3" t="inlineStr">
        <is>
          <t>Returning</t>
        </is>
      </c>
      <c r="H530" s="3" t="n">
        <v>3</v>
      </c>
      <c r="I530" s="3" t="n">
        <v>255</v>
      </c>
      <c r="J530" s="3" t="n">
        <v>129.48</v>
      </c>
      <c r="K530" s="3" t="n">
        <v>0</v>
      </c>
      <c r="L530" s="3" t="n">
        <v>9.789999999999999</v>
      </c>
    </row>
    <row r="531">
      <c r="A531" s="3" t="inlineStr">
        <is>
          <t>ORD-10530</t>
        </is>
      </c>
      <c r="B531" s="6" t="n">
        <v>45820</v>
      </c>
      <c r="C531" s="3" t="inlineStr">
        <is>
          <t>Home &amp; Lifestyle</t>
        </is>
      </c>
      <c r="D531" s="3" t="inlineStr">
        <is>
          <t>Backpacks</t>
        </is>
      </c>
      <c r="E531" s="3" t="inlineStr">
        <is>
          <t>Greater Accra</t>
        </is>
      </c>
      <c r="F531" s="3" t="inlineStr">
        <is>
          <t>Phone/WhatsApp</t>
        </is>
      </c>
      <c r="G531" s="3" t="inlineStr">
        <is>
          <t>Returning</t>
        </is>
      </c>
      <c r="H531" s="3" t="n">
        <v>1</v>
      </c>
      <c r="I531" s="3" t="n">
        <v>90</v>
      </c>
      <c r="J531" s="3" t="n">
        <v>52.47</v>
      </c>
      <c r="K531" s="3" t="n">
        <v>0.1</v>
      </c>
      <c r="L531" s="3" t="n">
        <v>32.63</v>
      </c>
    </row>
    <row r="532">
      <c r="A532" s="3" t="inlineStr">
        <is>
          <t>ORD-10531</t>
        </is>
      </c>
      <c r="B532" s="6" t="n">
        <v>45952</v>
      </c>
      <c r="C532" s="3" t="inlineStr">
        <is>
          <t>Accessories</t>
        </is>
      </c>
      <c r="D532" s="3" t="inlineStr">
        <is>
          <t>Watches</t>
        </is>
      </c>
      <c r="E532" s="3" t="inlineStr">
        <is>
          <t>Ashanti</t>
        </is>
      </c>
      <c r="F532" s="3" t="inlineStr">
        <is>
          <t>Retail Shop</t>
        </is>
      </c>
      <c r="G532" s="3" t="inlineStr">
        <is>
          <t>New</t>
        </is>
      </c>
      <c r="H532" s="3" t="n">
        <v>2</v>
      </c>
      <c r="I532" s="3" t="n">
        <v>55</v>
      </c>
      <c r="J532" s="3" t="n">
        <v>25.69</v>
      </c>
      <c r="K532" s="3" t="n">
        <v>0.05</v>
      </c>
      <c r="L532" s="3" t="n">
        <v>5.52</v>
      </c>
    </row>
    <row r="533">
      <c r="A533" s="3" t="inlineStr">
        <is>
          <t>ORD-10532</t>
        </is>
      </c>
      <c r="B533" s="6" t="n">
        <v>45690</v>
      </c>
      <c r="C533" s="3" t="inlineStr">
        <is>
          <t>Footwear</t>
        </is>
      </c>
      <c r="D533" s="3" t="inlineStr">
        <is>
          <t>Formal Shoes</t>
        </is>
      </c>
      <c r="E533" s="3" t="inlineStr">
        <is>
          <t>Central</t>
        </is>
      </c>
      <c r="F533" s="3" t="inlineStr">
        <is>
          <t>Retail Shop</t>
        </is>
      </c>
      <c r="G533" s="3" t="inlineStr">
        <is>
          <t>Returning</t>
        </is>
      </c>
      <c r="H533" s="3" t="n">
        <v>3</v>
      </c>
      <c r="I533" s="3" t="n">
        <v>205</v>
      </c>
      <c r="J533" s="3" t="n">
        <v>125.46</v>
      </c>
      <c r="K533" s="3" t="n">
        <v>0.05</v>
      </c>
      <c r="L533" s="3" t="n">
        <v>0.79</v>
      </c>
    </row>
    <row r="534">
      <c r="A534" s="3" t="inlineStr">
        <is>
          <t>ORD-10533</t>
        </is>
      </c>
      <c r="B534" s="6" t="n">
        <v>45986</v>
      </c>
      <c r="C534" s="3" t="inlineStr">
        <is>
          <t>Clothing</t>
        </is>
      </c>
      <c r="D534" s="3" t="inlineStr">
        <is>
          <t>Shirts</t>
        </is>
      </c>
      <c r="E534" s="3" t="inlineStr">
        <is>
          <t>Ashanti</t>
        </is>
      </c>
      <c r="F534" s="3" t="inlineStr">
        <is>
          <t>Retail Shop</t>
        </is>
      </c>
      <c r="G534" s="3" t="inlineStr">
        <is>
          <t>Returning</t>
        </is>
      </c>
      <c r="H534" s="3" t="n">
        <v>2</v>
      </c>
      <c r="I534" s="3" t="n">
        <v>145</v>
      </c>
      <c r="J534" s="3" t="n">
        <v>67.65000000000001</v>
      </c>
      <c r="K534" s="3" t="n">
        <v>0</v>
      </c>
      <c r="L534" s="3" t="n">
        <v>0.07000000000000001</v>
      </c>
    </row>
    <row r="535">
      <c r="A535" s="3" t="inlineStr">
        <is>
          <t>ORD-10534</t>
        </is>
      </c>
      <c r="B535" s="6" t="n">
        <v>45718</v>
      </c>
      <c r="C535" s="3" t="inlineStr">
        <is>
          <t>Footwear</t>
        </is>
      </c>
      <c r="D535" s="3" t="inlineStr">
        <is>
          <t>Formal Shoes</t>
        </is>
      </c>
      <c r="E535" s="3" t="inlineStr">
        <is>
          <t>Greater Accra</t>
        </is>
      </c>
      <c r="F535" s="3" t="inlineStr">
        <is>
          <t>Online</t>
        </is>
      </c>
      <c r="G535" s="3" t="inlineStr">
        <is>
          <t>Returning</t>
        </is>
      </c>
      <c r="H535" s="3" t="n">
        <v>1</v>
      </c>
      <c r="I535" s="3" t="n">
        <v>270</v>
      </c>
      <c r="J535" s="3" t="n">
        <v>166.88</v>
      </c>
      <c r="K535" s="3" t="n">
        <v>0.15</v>
      </c>
      <c r="L535" s="3" t="n">
        <v>12.64</v>
      </c>
    </row>
    <row r="536">
      <c r="A536" s="3" t="inlineStr">
        <is>
          <t>ORD-10535</t>
        </is>
      </c>
      <c r="B536" s="6" t="n">
        <v>45791</v>
      </c>
      <c r="C536" s="3" t="inlineStr">
        <is>
          <t>Clothing</t>
        </is>
      </c>
      <c r="D536" s="3" t="inlineStr">
        <is>
          <t>Jackets</t>
        </is>
      </c>
      <c r="E536" s="3" t="inlineStr">
        <is>
          <t>Greater Accra</t>
        </is>
      </c>
      <c r="F536" s="3" t="inlineStr">
        <is>
          <t>Retail Shop</t>
        </is>
      </c>
      <c r="G536" s="3" t="inlineStr">
        <is>
          <t>Returning</t>
        </is>
      </c>
      <c r="H536" s="3" t="n">
        <v>2</v>
      </c>
      <c r="I536" s="3" t="n">
        <v>175</v>
      </c>
      <c r="J536" s="3" t="n">
        <v>92.04000000000001</v>
      </c>
      <c r="K536" s="3" t="n">
        <v>0.05</v>
      </c>
      <c r="L536" s="3" t="n">
        <v>7.87</v>
      </c>
    </row>
    <row r="537">
      <c r="A537" s="3" t="inlineStr">
        <is>
          <t>ORD-10536</t>
        </is>
      </c>
      <c r="B537" s="6" t="n">
        <v>45912</v>
      </c>
      <c r="C537" s="3" t="inlineStr">
        <is>
          <t>Home &amp; Lifestyle</t>
        </is>
      </c>
      <c r="D537" s="3" t="inlineStr">
        <is>
          <t>Travel Mugs</t>
        </is>
      </c>
      <c r="E537" s="3" t="inlineStr">
        <is>
          <t>Greater Accra</t>
        </is>
      </c>
      <c r="F537" s="3" t="inlineStr">
        <is>
          <t>Phone/WhatsApp</t>
        </is>
      </c>
      <c r="G537" s="3" t="inlineStr">
        <is>
          <t>Returning</t>
        </is>
      </c>
      <c r="H537" s="3" t="n">
        <v>2</v>
      </c>
      <c r="I537" s="3" t="n">
        <v>220</v>
      </c>
      <c r="J537" s="3" t="n">
        <v>124.06</v>
      </c>
      <c r="K537" s="3" t="n">
        <v>0.15</v>
      </c>
      <c r="L537" s="3" t="n">
        <v>43.44</v>
      </c>
    </row>
    <row r="538">
      <c r="A538" s="3" t="inlineStr">
        <is>
          <t>ORD-10537</t>
        </is>
      </c>
      <c r="B538" s="6" t="n">
        <v>45822</v>
      </c>
      <c r="C538" s="3" t="inlineStr">
        <is>
          <t>Clothing</t>
        </is>
      </c>
      <c r="D538" s="3" t="inlineStr">
        <is>
          <t>Shirts</t>
        </is>
      </c>
      <c r="E538" s="3" t="inlineStr">
        <is>
          <t>Greater Accra</t>
        </is>
      </c>
      <c r="F538" s="3" t="inlineStr">
        <is>
          <t>Retail Shop</t>
        </is>
      </c>
      <c r="G538" s="3" t="inlineStr">
        <is>
          <t>Returning</t>
        </is>
      </c>
      <c r="H538" s="3" t="n">
        <v>1</v>
      </c>
      <c r="I538" s="3" t="n">
        <v>145</v>
      </c>
      <c r="J538" s="3" t="n">
        <v>75.26000000000001</v>
      </c>
      <c r="K538" s="3" t="n">
        <v>0</v>
      </c>
      <c r="L538" s="3" t="n">
        <v>4.12</v>
      </c>
    </row>
    <row r="539">
      <c r="A539" s="3" t="inlineStr">
        <is>
          <t>ORD-10538</t>
        </is>
      </c>
      <c r="B539" s="6" t="n">
        <v>45817</v>
      </c>
      <c r="C539" s="3" t="inlineStr">
        <is>
          <t>Clothing</t>
        </is>
      </c>
      <c r="D539" s="3" t="inlineStr">
        <is>
          <t>Dresses</t>
        </is>
      </c>
      <c r="E539" s="3" t="inlineStr">
        <is>
          <t>Ashanti</t>
        </is>
      </c>
      <c r="F539" s="3" t="inlineStr">
        <is>
          <t>Retail Shop</t>
        </is>
      </c>
      <c r="G539" s="3" t="inlineStr">
        <is>
          <t>Returning</t>
        </is>
      </c>
      <c r="H539" s="3" t="n">
        <v>2</v>
      </c>
      <c r="I539" s="3" t="n">
        <v>150</v>
      </c>
      <c r="J539" s="3" t="n">
        <v>73.34</v>
      </c>
      <c r="K539" s="3" t="n">
        <v>0</v>
      </c>
      <c r="L539" s="3" t="n">
        <v>4.53</v>
      </c>
    </row>
    <row r="540">
      <c r="A540" s="3" t="inlineStr">
        <is>
          <t>ORD-10539</t>
        </is>
      </c>
      <c r="B540" s="6" t="n">
        <v>45990</v>
      </c>
      <c r="C540" s="3" t="inlineStr">
        <is>
          <t>Accessories</t>
        </is>
      </c>
      <c r="D540" s="3" t="inlineStr">
        <is>
          <t>Bags</t>
        </is>
      </c>
      <c r="E540" s="3" t="inlineStr">
        <is>
          <t>Western</t>
        </is>
      </c>
      <c r="F540" s="3" t="inlineStr">
        <is>
          <t>Retail Shop</t>
        </is>
      </c>
      <c r="G540" s="3" t="inlineStr">
        <is>
          <t>Returning</t>
        </is>
      </c>
      <c r="H540" s="3" t="n">
        <v>3</v>
      </c>
      <c r="I540" s="3" t="n">
        <v>75</v>
      </c>
      <c r="J540" s="3" t="n">
        <v>32.51</v>
      </c>
      <c r="K540" s="3" t="n">
        <v>0</v>
      </c>
      <c r="L540" s="3" t="n">
        <v>7.63</v>
      </c>
    </row>
    <row r="541">
      <c r="A541" s="3" t="inlineStr">
        <is>
          <t>ORD-10540</t>
        </is>
      </c>
      <c r="B541" s="6" t="n">
        <v>45986</v>
      </c>
      <c r="C541" s="3" t="inlineStr">
        <is>
          <t>Footwear</t>
        </is>
      </c>
      <c r="D541" s="3" t="inlineStr">
        <is>
          <t>Boots</t>
        </is>
      </c>
      <c r="E541" s="3" t="inlineStr">
        <is>
          <t>Greater Accra</t>
        </is>
      </c>
      <c r="F541" s="3" t="inlineStr">
        <is>
          <t>Retail Shop</t>
        </is>
      </c>
      <c r="G541" s="3" t="inlineStr">
        <is>
          <t>Returning</t>
        </is>
      </c>
      <c r="H541" s="3" t="n">
        <v>1</v>
      </c>
      <c r="I541" s="3" t="n">
        <v>190</v>
      </c>
      <c r="J541" s="3" t="n">
        <v>119.76</v>
      </c>
      <c r="K541" s="3" t="n">
        <v>0.2</v>
      </c>
      <c r="L541" s="3" t="n">
        <v>1.55</v>
      </c>
    </row>
    <row r="542">
      <c r="A542" s="3" t="inlineStr">
        <is>
          <t>ORD-10541</t>
        </is>
      </c>
      <c r="B542" s="6" t="n">
        <v>45796</v>
      </c>
      <c r="C542" s="3" t="inlineStr">
        <is>
          <t>Accessories</t>
        </is>
      </c>
      <c r="D542" s="3" t="inlineStr">
        <is>
          <t>Bags</t>
        </is>
      </c>
      <c r="E542" s="3" t="inlineStr">
        <is>
          <t>Greater Accra</t>
        </is>
      </c>
      <c r="F542" s="3" t="inlineStr">
        <is>
          <t>Retail Shop</t>
        </is>
      </c>
      <c r="G542" s="3" t="inlineStr">
        <is>
          <t>Returning</t>
        </is>
      </c>
      <c r="H542" s="3" t="n">
        <v>2</v>
      </c>
      <c r="I542" s="3" t="n">
        <v>120</v>
      </c>
      <c r="J542" s="3" t="n">
        <v>51.07</v>
      </c>
      <c r="K542" s="3" t="n">
        <v>0</v>
      </c>
      <c r="L542" s="3" t="n">
        <v>8.789999999999999</v>
      </c>
    </row>
    <row r="543">
      <c r="A543" s="3" t="inlineStr">
        <is>
          <t>ORD-10542</t>
        </is>
      </c>
      <c r="B543" s="6" t="n">
        <v>45897</v>
      </c>
      <c r="C543" s="3" t="inlineStr">
        <is>
          <t>Home &amp; Lifestyle</t>
        </is>
      </c>
      <c r="D543" s="3" t="inlineStr">
        <is>
          <t>Wallets</t>
        </is>
      </c>
      <c r="E543" s="3" t="inlineStr">
        <is>
          <t>Ashanti</t>
        </is>
      </c>
      <c r="F543" s="3" t="inlineStr">
        <is>
          <t>Retail Shop</t>
        </is>
      </c>
      <c r="G543" s="3" t="inlineStr">
        <is>
          <t>New</t>
        </is>
      </c>
      <c r="H543" s="3" t="n">
        <v>3</v>
      </c>
      <c r="I543" s="3" t="n">
        <v>165</v>
      </c>
      <c r="J543" s="3" t="n">
        <v>83.63</v>
      </c>
      <c r="K543" s="3" t="n">
        <v>0.05</v>
      </c>
      <c r="L543" s="3" t="n">
        <v>4.47</v>
      </c>
    </row>
    <row r="544">
      <c r="A544" s="3" t="inlineStr">
        <is>
          <t>ORD-10543</t>
        </is>
      </c>
      <c r="B544" s="6" t="n">
        <v>45914</v>
      </c>
      <c r="C544" s="3" t="inlineStr">
        <is>
          <t>Clothing</t>
        </is>
      </c>
      <c r="D544" s="3" t="inlineStr">
        <is>
          <t>Shirts</t>
        </is>
      </c>
      <c r="E544" s="3" t="inlineStr">
        <is>
          <t>Greater Accra</t>
        </is>
      </c>
      <c r="F544" s="3" t="inlineStr">
        <is>
          <t>Retail Shop</t>
        </is>
      </c>
      <c r="G544" s="3" t="inlineStr">
        <is>
          <t>Returning</t>
        </is>
      </c>
      <c r="H544" s="3" t="n">
        <v>4</v>
      </c>
      <c r="I544" s="3" t="n">
        <v>145</v>
      </c>
      <c r="J544" s="3" t="n">
        <v>78.61</v>
      </c>
      <c r="K544" s="3" t="n">
        <v>0.1</v>
      </c>
      <c r="L544" s="3" t="n">
        <v>0.7</v>
      </c>
    </row>
    <row r="545">
      <c r="A545" s="3" t="inlineStr">
        <is>
          <t>ORD-10544</t>
        </is>
      </c>
      <c r="B545" s="6" t="n">
        <v>46002</v>
      </c>
      <c r="C545" s="3" t="inlineStr">
        <is>
          <t>Clothing</t>
        </is>
      </c>
      <c r="D545" s="3" t="inlineStr">
        <is>
          <t>Shirts</t>
        </is>
      </c>
      <c r="E545" s="3" t="inlineStr">
        <is>
          <t>Ashanti</t>
        </is>
      </c>
      <c r="F545" s="3" t="inlineStr">
        <is>
          <t>Online</t>
        </is>
      </c>
      <c r="G545" s="3" t="inlineStr">
        <is>
          <t>Returning</t>
        </is>
      </c>
      <c r="H545" s="3" t="n">
        <v>2</v>
      </c>
      <c r="I545" s="3" t="n">
        <v>130</v>
      </c>
      <c r="J545" s="3" t="n">
        <v>62.15</v>
      </c>
      <c r="K545" s="3" t="n">
        <v>0.2</v>
      </c>
      <c r="L545" s="3" t="n">
        <v>26.4</v>
      </c>
    </row>
    <row r="546">
      <c r="A546" s="3" t="inlineStr">
        <is>
          <t>ORD-10545</t>
        </is>
      </c>
      <c r="B546" s="6" t="n">
        <v>45920</v>
      </c>
      <c r="C546" s="3" t="inlineStr">
        <is>
          <t>Accessories</t>
        </is>
      </c>
      <c r="D546" s="3" t="inlineStr">
        <is>
          <t>Belts</t>
        </is>
      </c>
      <c r="E546" s="3" t="inlineStr">
        <is>
          <t>Greater Accra</t>
        </is>
      </c>
      <c r="F546" s="3" t="inlineStr">
        <is>
          <t>Online</t>
        </is>
      </c>
      <c r="G546" s="3" t="inlineStr">
        <is>
          <t>Returning</t>
        </is>
      </c>
      <c r="H546" s="3" t="n">
        <v>1</v>
      </c>
      <c r="I546" s="3" t="n">
        <v>115</v>
      </c>
      <c r="J546" s="3" t="n">
        <v>56.19</v>
      </c>
      <c r="K546" s="3" t="n">
        <v>0.05</v>
      </c>
      <c r="L546" s="3" t="n">
        <v>39.79</v>
      </c>
    </row>
    <row r="547">
      <c r="A547" s="3" t="inlineStr">
        <is>
          <t>ORD-10546</t>
        </is>
      </c>
      <c r="B547" s="6" t="n">
        <v>45996</v>
      </c>
      <c r="C547" s="3" t="inlineStr">
        <is>
          <t>Home &amp; Lifestyle</t>
        </is>
      </c>
      <c r="D547" s="3" t="inlineStr">
        <is>
          <t>Wallets</t>
        </is>
      </c>
      <c r="E547" s="3" t="inlineStr">
        <is>
          <t>Greater Accra</t>
        </is>
      </c>
      <c r="F547" s="3" t="inlineStr">
        <is>
          <t>Online</t>
        </is>
      </c>
      <c r="G547" s="3" t="inlineStr">
        <is>
          <t>Returning</t>
        </is>
      </c>
      <c r="H547" s="3" t="n">
        <v>1</v>
      </c>
      <c r="I547" s="3" t="n">
        <v>125</v>
      </c>
      <c r="J547" s="3" t="n">
        <v>71.09</v>
      </c>
      <c r="K547" s="3" t="n">
        <v>0.05</v>
      </c>
      <c r="L547" s="3" t="n">
        <v>23.93</v>
      </c>
    </row>
    <row r="548">
      <c r="A548" s="3" t="inlineStr">
        <is>
          <t>ORD-10547</t>
        </is>
      </c>
      <c r="B548" s="6" t="n">
        <v>45977</v>
      </c>
      <c r="C548" s="3" t="inlineStr">
        <is>
          <t>Footwear</t>
        </is>
      </c>
      <c r="D548" s="3" t="inlineStr">
        <is>
          <t>Sandals</t>
        </is>
      </c>
      <c r="E548" s="3" t="inlineStr">
        <is>
          <t>Central</t>
        </is>
      </c>
      <c r="F548" s="3" t="inlineStr">
        <is>
          <t>Retail Shop</t>
        </is>
      </c>
      <c r="G548" s="3" t="inlineStr">
        <is>
          <t>Returning</t>
        </is>
      </c>
      <c r="H548" s="3" t="n">
        <v>4</v>
      </c>
      <c r="I548" s="3" t="n">
        <v>190</v>
      </c>
      <c r="J548" s="3" t="n">
        <v>99.19</v>
      </c>
      <c r="K548" s="3" t="n">
        <v>0.05</v>
      </c>
      <c r="L548" s="3" t="n">
        <v>11.57</v>
      </c>
    </row>
    <row r="549">
      <c r="A549" s="3" t="inlineStr">
        <is>
          <t>ORD-10548</t>
        </is>
      </c>
      <c r="B549" s="6" t="n">
        <v>45755</v>
      </c>
      <c r="C549" s="3" t="inlineStr">
        <is>
          <t>Accessories</t>
        </is>
      </c>
      <c r="D549" s="3" t="inlineStr">
        <is>
          <t>Bags</t>
        </is>
      </c>
      <c r="E549" s="3" t="inlineStr">
        <is>
          <t>Greater Accra</t>
        </is>
      </c>
      <c r="F549" s="3" t="inlineStr">
        <is>
          <t>Retail Shop</t>
        </is>
      </c>
      <c r="G549" s="3" t="inlineStr">
        <is>
          <t>New</t>
        </is>
      </c>
      <c r="H549" s="3" t="n">
        <v>2</v>
      </c>
      <c r="I549" s="3" t="n">
        <v>65</v>
      </c>
      <c r="J549" s="3" t="n">
        <v>33.07</v>
      </c>
      <c r="K549" s="3" t="n">
        <v>0</v>
      </c>
      <c r="L549" s="3" t="n">
        <v>7.49</v>
      </c>
    </row>
    <row r="550">
      <c r="A550" s="3" t="inlineStr">
        <is>
          <t>ORD-10549</t>
        </is>
      </c>
      <c r="B550" s="6" t="n">
        <v>45786</v>
      </c>
      <c r="C550" s="3" t="inlineStr">
        <is>
          <t>Home &amp; Lifestyle</t>
        </is>
      </c>
      <c r="D550" s="3" t="inlineStr">
        <is>
          <t>Small Home Goods</t>
        </is>
      </c>
      <c r="E550" s="3" t="inlineStr">
        <is>
          <t>Ashanti</t>
        </is>
      </c>
      <c r="F550" s="3" t="inlineStr">
        <is>
          <t>Retail Shop</t>
        </is>
      </c>
      <c r="G550" s="3" t="inlineStr">
        <is>
          <t>New</t>
        </is>
      </c>
      <c r="H550" s="3" t="n">
        <v>2</v>
      </c>
      <c r="I550" s="3" t="n">
        <v>120</v>
      </c>
      <c r="J550" s="3" t="n">
        <v>66.77</v>
      </c>
      <c r="K550" s="3" t="n">
        <v>0</v>
      </c>
      <c r="L550" s="3" t="n">
        <v>1.09</v>
      </c>
    </row>
    <row r="551">
      <c r="A551" s="3" t="inlineStr">
        <is>
          <t>ORD-10550</t>
        </is>
      </c>
      <c r="B551" s="6" t="n">
        <v>45777</v>
      </c>
      <c r="C551" s="3" t="inlineStr">
        <is>
          <t>Clothing</t>
        </is>
      </c>
      <c r="D551" s="3" t="inlineStr">
        <is>
          <t>Trousers</t>
        </is>
      </c>
      <c r="E551" s="3" t="inlineStr">
        <is>
          <t>Ashanti</t>
        </is>
      </c>
      <c r="F551" s="3" t="inlineStr">
        <is>
          <t>Online</t>
        </is>
      </c>
      <c r="G551" s="3" t="inlineStr">
        <is>
          <t>Returning</t>
        </is>
      </c>
      <c r="H551" s="3" t="n">
        <v>2</v>
      </c>
      <c r="I551" s="3" t="n">
        <v>285</v>
      </c>
      <c r="J551" s="3" t="n">
        <v>164.84</v>
      </c>
      <c r="K551" s="3" t="n">
        <v>0.05</v>
      </c>
      <c r="L551" s="3" t="n">
        <v>8.59</v>
      </c>
    </row>
    <row r="552">
      <c r="A552" s="3" t="inlineStr">
        <is>
          <t>ORD-10551</t>
        </is>
      </c>
      <c r="B552" s="6" t="n">
        <v>45943</v>
      </c>
      <c r="C552" s="3" t="inlineStr">
        <is>
          <t>Clothing</t>
        </is>
      </c>
      <c r="D552" s="3" t="inlineStr">
        <is>
          <t>Dresses</t>
        </is>
      </c>
      <c r="E552" s="3" t="inlineStr">
        <is>
          <t>Greater Accra</t>
        </is>
      </c>
      <c r="F552" s="3" t="inlineStr">
        <is>
          <t>Online</t>
        </is>
      </c>
      <c r="G552" s="3" t="inlineStr">
        <is>
          <t>Returning</t>
        </is>
      </c>
      <c r="H552" s="3" t="n">
        <v>2</v>
      </c>
      <c r="I552" s="3" t="n">
        <v>190</v>
      </c>
      <c r="J552" s="3" t="n">
        <v>102.97</v>
      </c>
      <c r="K552" s="3" t="n">
        <v>0</v>
      </c>
      <c r="L552" s="3" t="n">
        <v>41.15</v>
      </c>
    </row>
    <row r="553">
      <c r="A553" s="3" t="inlineStr">
        <is>
          <t>ORD-10552</t>
        </is>
      </c>
      <c r="B553" s="6" t="n">
        <v>45741</v>
      </c>
      <c r="C553" s="3" t="inlineStr">
        <is>
          <t>Footwear</t>
        </is>
      </c>
      <c r="D553" s="3" t="inlineStr">
        <is>
          <t>Sneakers</t>
        </is>
      </c>
      <c r="E553" s="3" t="inlineStr">
        <is>
          <t>Northern</t>
        </is>
      </c>
      <c r="F553" s="3" t="inlineStr">
        <is>
          <t>Online</t>
        </is>
      </c>
      <c r="G553" s="3" t="inlineStr">
        <is>
          <t>Returning</t>
        </is>
      </c>
      <c r="H553" s="3" t="n">
        <v>1</v>
      </c>
      <c r="I553" s="3" t="n">
        <v>180</v>
      </c>
      <c r="J553" s="3" t="n">
        <v>112.12</v>
      </c>
      <c r="K553" s="3" t="n">
        <v>0.1</v>
      </c>
      <c r="L553" s="3" t="n">
        <v>18.36</v>
      </c>
    </row>
    <row r="554">
      <c r="A554" s="3" t="inlineStr">
        <is>
          <t>ORD-10553</t>
        </is>
      </c>
      <c r="B554" s="6" t="n">
        <v>46000</v>
      </c>
      <c r="C554" s="3" t="inlineStr">
        <is>
          <t>Footwear</t>
        </is>
      </c>
      <c r="D554" s="3" t="inlineStr">
        <is>
          <t>Formal Shoes</t>
        </is>
      </c>
      <c r="E554" s="3" t="inlineStr">
        <is>
          <t>Greater Accra</t>
        </is>
      </c>
      <c r="F554" s="3" t="inlineStr">
        <is>
          <t>Retail Shop</t>
        </is>
      </c>
      <c r="G554" s="3" t="inlineStr">
        <is>
          <t>New</t>
        </is>
      </c>
      <c r="H554" s="3" t="n">
        <v>2</v>
      </c>
      <c r="I554" s="3" t="n">
        <v>305</v>
      </c>
      <c r="J554" s="3" t="n">
        <v>181.61</v>
      </c>
      <c r="K554" s="3" t="n">
        <v>0</v>
      </c>
      <c r="L554" s="3" t="n">
        <v>5.92</v>
      </c>
    </row>
    <row r="555">
      <c r="A555" s="3" t="inlineStr">
        <is>
          <t>ORD-10554</t>
        </is>
      </c>
      <c r="B555" s="6" t="n">
        <v>45929</v>
      </c>
      <c r="C555" s="3" t="inlineStr">
        <is>
          <t>Clothing</t>
        </is>
      </c>
      <c r="D555" s="3" t="inlineStr">
        <is>
          <t>Jackets</t>
        </is>
      </c>
      <c r="E555" s="3" t="inlineStr">
        <is>
          <t>Greater Accra</t>
        </is>
      </c>
      <c r="F555" s="3" t="inlineStr">
        <is>
          <t>Retail Shop</t>
        </is>
      </c>
      <c r="G555" s="3" t="inlineStr">
        <is>
          <t>New</t>
        </is>
      </c>
      <c r="H555" s="3" t="n">
        <v>3</v>
      </c>
      <c r="I555" s="3" t="n">
        <v>185</v>
      </c>
      <c r="J555" s="3" t="n">
        <v>90.72</v>
      </c>
      <c r="K555" s="3" t="n">
        <v>0</v>
      </c>
      <c r="L555" s="3" t="n">
        <v>5.01</v>
      </c>
    </row>
    <row r="556">
      <c r="A556" s="3" t="inlineStr">
        <is>
          <t>ORD-10555</t>
        </is>
      </c>
      <c r="B556" s="6" t="n">
        <v>45997</v>
      </c>
      <c r="C556" s="3" t="inlineStr">
        <is>
          <t>Clothing</t>
        </is>
      </c>
      <c r="D556" s="3" t="inlineStr">
        <is>
          <t>Jackets</t>
        </is>
      </c>
      <c r="E556" s="3" t="inlineStr">
        <is>
          <t>Greater Accra</t>
        </is>
      </c>
      <c r="F556" s="3" t="inlineStr">
        <is>
          <t>Retail Shop</t>
        </is>
      </c>
      <c r="G556" s="3" t="inlineStr">
        <is>
          <t>New</t>
        </is>
      </c>
      <c r="H556" s="3" t="n">
        <v>6</v>
      </c>
      <c r="I556" s="3" t="n">
        <v>270</v>
      </c>
      <c r="J556" s="3" t="n">
        <v>151.74</v>
      </c>
      <c r="K556" s="3" t="n">
        <v>0</v>
      </c>
      <c r="L556" s="3" t="n">
        <v>10.94</v>
      </c>
    </row>
    <row r="557">
      <c r="A557" s="3" t="inlineStr">
        <is>
          <t>ORD-10556</t>
        </is>
      </c>
      <c r="B557" s="6" t="n">
        <v>45675</v>
      </c>
      <c r="C557" s="3" t="inlineStr">
        <is>
          <t>Home &amp; Lifestyle</t>
        </is>
      </c>
      <c r="D557" s="3" t="inlineStr">
        <is>
          <t>Small Home Goods</t>
        </is>
      </c>
      <c r="E557" s="3" t="inlineStr">
        <is>
          <t>Western</t>
        </is>
      </c>
      <c r="F557" s="3" t="inlineStr">
        <is>
          <t>Online</t>
        </is>
      </c>
      <c r="G557" s="3" t="inlineStr">
        <is>
          <t>Returning</t>
        </is>
      </c>
      <c r="H557" s="3" t="n">
        <v>2</v>
      </c>
      <c r="I557" s="3" t="n">
        <v>135</v>
      </c>
      <c r="J557" s="3" t="n">
        <v>75.59999999999999</v>
      </c>
      <c r="K557" s="3" t="n">
        <v>0</v>
      </c>
      <c r="L557" s="3" t="n">
        <v>33.31</v>
      </c>
    </row>
    <row r="558">
      <c r="A558" s="3" t="inlineStr">
        <is>
          <t>ORD-10557</t>
        </is>
      </c>
      <c r="B558" s="6" t="n">
        <v>45685</v>
      </c>
      <c r="C558" s="3" t="inlineStr">
        <is>
          <t>Accessories</t>
        </is>
      </c>
      <c r="D558" s="3" t="inlineStr">
        <is>
          <t>Watches</t>
        </is>
      </c>
      <c r="E558" s="3" t="inlineStr">
        <is>
          <t>Greater Accra</t>
        </is>
      </c>
      <c r="F558" s="3" t="inlineStr">
        <is>
          <t>Phone/WhatsApp</t>
        </is>
      </c>
      <c r="G558" s="3" t="inlineStr">
        <is>
          <t>New</t>
        </is>
      </c>
      <c r="H558" s="3" t="n">
        <v>2</v>
      </c>
      <c r="I558" s="3" t="n">
        <v>85</v>
      </c>
      <c r="J558" s="3" t="n">
        <v>37.85</v>
      </c>
      <c r="K558" s="3" t="n">
        <v>0.15</v>
      </c>
      <c r="L558" s="3" t="n">
        <v>35.85</v>
      </c>
    </row>
    <row r="559">
      <c r="A559" s="3" t="inlineStr">
        <is>
          <t>ORD-10558</t>
        </is>
      </c>
      <c r="B559" s="6" t="n">
        <v>45752</v>
      </c>
      <c r="C559" s="3" t="inlineStr">
        <is>
          <t>Clothing</t>
        </is>
      </c>
      <c r="D559" s="3" t="inlineStr">
        <is>
          <t>Trousers</t>
        </is>
      </c>
      <c r="E559" s="3" t="inlineStr">
        <is>
          <t>Central</t>
        </is>
      </c>
      <c r="F559" s="3" t="inlineStr">
        <is>
          <t>Online</t>
        </is>
      </c>
      <c r="G559" s="3" t="inlineStr">
        <is>
          <t>Returning</t>
        </is>
      </c>
      <c r="H559" s="3" t="n">
        <v>1</v>
      </c>
      <c r="I559" s="3" t="n">
        <v>115</v>
      </c>
      <c r="J559" s="3" t="n">
        <v>63.69</v>
      </c>
      <c r="K559" s="3" t="n">
        <v>0</v>
      </c>
      <c r="L559" s="3" t="n">
        <v>32.5</v>
      </c>
    </row>
    <row r="560">
      <c r="A560" s="3" t="inlineStr">
        <is>
          <t>ORD-10559</t>
        </is>
      </c>
      <c r="B560" s="6" t="n">
        <v>45742</v>
      </c>
      <c r="C560" s="3" t="inlineStr">
        <is>
          <t>Accessories</t>
        </is>
      </c>
      <c r="D560" s="3" t="inlineStr">
        <is>
          <t>Bags</t>
        </is>
      </c>
      <c r="E560" s="3" t="inlineStr">
        <is>
          <t>Northern</t>
        </is>
      </c>
      <c r="F560" s="3" t="inlineStr">
        <is>
          <t>Retail Shop</t>
        </is>
      </c>
      <c r="G560" s="3" t="inlineStr">
        <is>
          <t>Returning</t>
        </is>
      </c>
      <c r="H560" s="3" t="n">
        <v>2</v>
      </c>
      <c r="I560" s="3" t="n">
        <v>175</v>
      </c>
      <c r="J560" s="3" t="n">
        <v>92.43000000000001</v>
      </c>
      <c r="K560" s="3" t="n">
        <v>0.2</v>
      </c>
      <c r="L560" s="3" t="n">
        <v>2.9</v>
      </c>
    </row>
    <row r="561">
      <c r="A561" s="3" t="inlineStr">
        <is>
          <t>ORD-10560</t>
        </is>
      </c>
      <c r="B561" s="6" t="n">
        <v>45723</v>
      </c>
      <c r="C561" s="3" t="inlineStr">
        <is>
          <t>Accessories</t>
        </is>
      </c>
      <c r="D561" s="3" t="inlineStr">
        <is>
          <t>Watches</t>
        </is>
      </c>
      <c r="E561" s="3" t="inlineStr">
        <is>
          <t>Greater Accra</t>
        </is>
      </c>
      <c r="F561" s="3" t="inlineStr">
        <is>
          <t>Online</t>
        </is>
      </c>
      <c r="G561" s="3" t="inlineStr">
        <is>
          <t>New</t>
        </is>
      </c>
      <c r="H561" s="3" t="n">
        <v>1</v>
      </c>
      <c r="I561" s="3" t="n">
        <v>65</v>
      </c>
      <c r="J561" s="3" t="n">
        <v>33.51</v>
      </c>
      <c r="K561" s="3" t="n">
        <v>0</v>
      </c>
      <c r="L561" s="3" t="n">
        <v>11.99</v>
      </c>
    </row>
    <row r="562">
      <c r="A562" s="3" t="inlineStr">
        <is>
          <t>ORD-10561</t>
        </is>
      </c>
      <c r="B562" s="6" t="n">
        <v>45789</v>
      </c>
      <c r="C562" s="3" t="inlineStr">
        <is>
          <t>Clothing</t>
        </is>
      </c>
      <c r="D562" s="3" t="inlineStr">
        <is>
          <t>Shirts</t>
        </is>
      </c>
      <c r="E562" s="3" t="inlineStr">
        <is>
          <t>Greater Accra</t>
        </is>
      </c>
      <c r="F562" s="3" t="inlineStr">
        <is>
          <t>Retail Shop</t>
        </is>
      </c>
      <c r="G562" s="3" t="inlineStr">
        <is>
          <t>New</t>
        </is>
      </c>
      <c r="H562" s="3" t="n">
        <v>2</v>
      </c>
      <c r="I562" s="3" t="n">
        <v>180</v>
      </c>
      <c r="J562" s="3" t="n">
        <v>88.26000000000001</v>
      </c>
      <c r="K562" s="3" t="n">
        <v>0</v>
      </c>
      <c r="L562" s="3" t="n">
        <v>8.130000000000001</v>
      </c>
    </row>
    <row r="563">
      <c r="A563" s="3" t="inlineStr">
        <is>
          <t>ORD-10562</t>
        </is>
      </c>
      <c r="B563" s="6" t="n">
        <v>45733</v>
      </c>
      <c r="C563" s="3" t="inlineStr">
        <is>
          <t>Accessories</t>
        </is>
      </c>
      <c r="D563" s="3" t="inlineStr">
        <is>
          <t>Sunglasses</t>
        </is>
      </c>
      <c r="E563" s="3" t="inlineStr">
        <is>
          <t>Greater Accra</t>
        </is>
      </c>
      <c r="F563" s="3" t="inlineStr">
        <is>
          <t>Phone/WhatsApp</t>
        </is>
      </c>
      <c r="G563" s="3" t="inlineStr">
        <is>
          <t>Returning</t>
        </is>
      </c>
      <c r="H563" s="3" t="n">
        <v>3</v>
      </c>
      <c r="I563" s="3" t="n">
        <v>125</v>
      </c>
      <c r="J563" s="3" t="n">
        <v>65.14</v>
      </c>
      <c r="K563" s="3" t="n">
        <v>0</v>
      </c>
      <c r="L563" s="3" t="n">
        <v>40.11</v>
      </c>
    </row>
    <row r="564">
      <c r="A564" s="3" t="inlineStr">
        <is>
          <t>ORD-10563</t>
        </is>
      </c>
      <c r="B564" s="6" t="n">
        <v>45860</v>
      </c>
      <c r="C564" s="3" t="inlineStr">
        <is>
          <t>Clothing</t>
        </is>
      </c>
      <c r="D564" s="3" t="inlineStr">
        <is>
          <t>Trousers</t>
        </is>
      </c>
      <c r="E564" s="3" t="inlineStr">
        <is>
          <t>Greater Accra</t>
        </is>
      </c>
      <c r="F564" s="3" t="inlineStr">
        <is>
          <t>Retail Shop</t>
        </is>
      </c>
      <c r="G564" s="3" t="inlineStr">
        <is>
          <t>Returning</t>
        </is>
      </c>
      <c r="H564" s="3" t="n">
        <v>1</v>
      </c>
      <c r="I564" s="3" t="n">
        <v>120</v>
      </c>
      <c r="J564" s="3" t="n">
        <v>56.33</v>
      </c>
      <c r="K564" s="3" t="n">
        <v>0</v>
      </c>
      <c r="L564" s="3" t="n">
        <v>0.21</v>
      </c>
    </row>
    <row r="565">
      <c r="A565" s="3" t="inlineStr">
        <is>
          <t>ORD-10564</t>
        </is>
      </c>
      <c r="B565" s="6" t="n">
        <v>45928</v>
      </c>
      <c r="C565" s="3" t="inlineStr">
        <is>
          <t>Footwear</t>
        </is>
      </c>
      <c r="D565" s="3" t="inlineStr">
        <is>
          <t>Sandals</t>
        </is>
      </c>
      <c r="E565" s="3" t="inlineStr">
        <is>
          <t>Ashanti</t>
        </is>
      </c>
      <c r="F565" s="3" t="inlineStr">
        <is>
          <t>Phone/WhatsApp</t>
        </is>
      </c>
      <c r="G565" s="3" t="inlineStr">
        <is>
          <t>Returning</t>
        </is>
      </c>
      <c r="H565" s="3" t="n">
        <v>1</v>
      </c>
      <c r="I565" s="3" t="n">
        <v>210</v>
      </c>
      <c r="J565" s="3" t="n">
        <v>125.14</v>
      </c>
      <c r="K565" s="3" t="n">
        <v>0.05</v>
      </c>
      <c r="L565" s="3" t="n">
        <v>30.13</v>
      </c>
    </row>
    <row r="566">
      <c r="A566" s="3" t="inlineStr">
        <is>
          <t>ORD-10565</t>
        </is>
      </c>
      <c r="B566" s="6" t="n">
        <v>45910</v>
      </c>
      <c r="C566" s="3" t="inlineStr">
        <is>
          <t>Footwear</t>
        </is>
      </c>
      <c r="D566" s="3" t="inlineStr">
        <is>
          <t>Formal Shoes</t>
        </is>
      </c>
      <c r="E566" s="3" t="inlineStr">
        <is>
          <t>Ashanti</t>
        </is>
      </c>
      <c r="F566" s="3" t="inlineStr">
        <is>
          <t>Retail Shop</t>
        </is>
      </c>
      <c r="G566" s="3" t="inlineStr">
        <is>
          <t>New</t>
        </is>
      </c>
      <c r="H566" s="3" t="n">
        <v>5</v>
      </c>
      <c r="I566" s="3" t="n">
        <v>275</v>
      </c>
      <c r="J566" s="3" t="n">
        <v>163.76</v>
      </c>
      <c r="K566" s="3" t="n">
        <v>0.05</v>
      </c>
      <c r="L566" s="3" t="n">
        <v>10.08</v>
      </c>
    </row>
    <row r="567">
      <c r="A567" s="3" t="inlineStr">
        <is>
          <t>ORD-10566</t>
        </is>
      </c>
      <c r="B567" s="6" t="n">
        <v>45905</v>
      </c>
      <c r="C567" s="3" t="inlineStr">
        <is>
          <t>Footwear</t>
        </is>
      </c>
      <c r="D567" s="3" t="inlineStr">
        <is>
          <t>Sandals</t>
        </is>
      </c>
      <c r="E567" s="3" t="inlineStr">
        <is>
          <t>Western</t>
        </is>
      </c>
      <c r="F567" s="3" t="inlineStr">
        <is>
          <t>Retail Shop</t>
        </is>
      </c>
      <c r="G567" s="3" t="inlineStr">
        <is>
          <t>Returning</t>
        </is>
      </c>
      <c r="H567" s="3" t="n">
        <v>2</v>
      </c>
      <c r="I567" s="3" t="n">
        <v>200</v>
      </c>
      <c r="J567" s="3" t="n">
        <v>121.59</v>
      </c>
      <c r="K567" s="3" t="n">
        <v>0</v>
      </c>
      <c r="L567" s="3" t="n">
        <v>0.2</v>
      </c>
    </row>
    <row r="568">
      <c r="A568" s="3" t="inlineStr">
        <is>
          <t>ORD-10567</t>
        </is>
      </c>
      <c r="B568" s="6" t="n">
        <v>45991</v>
      </c>
      <c r="C568" s="3" t="inlineStr">
        <is>
          <t>Footwear</t>
        </is>
      </c>
      <c r="D568" s="3" t="inlineStr">
        <is>
          <t>Boots</t>
        </is>
      </c>
      <c r="E568" s="3" t="inlineStr">
        <is>
          <t>Northern</t>
        </is>
      </c>
      <c r="F568" s="3" t="inlineStr">
        <is>
          <t>Phone/WhatsApp</t>
        </is>
      </c>
      <c r="G568" s="3" t="inlineStr">
        <is>
          <t>Returning</t>
        </is>
      </c>
      <c r="H568" s="3" t="n">
        <v>2</v>
      </c>
      <c r="I568" s="3" t="n">
        <v>280</v>
      </c>
      <c r="J568" s="3" t="n">
        <v>160.58</v>
      </c>
      <c r="K568" s="3" t="n">
        <v>0.1</v>
      </c>
      <c r="L568" s="3" t="n">
        <v>36.26</v>
      </c>
    </row>
    <row r="569">
      <c r="A569" s="3" t="inlineStr">
        <is>
          <t>ORD-10568</t>
        </is>
      </c>
      <c r="B569" s="6" t="n">
        <v>45957</v>
      </c>
      <c r="C569" s="3" t="inlineStr">
        <is>
          <t>Clothing</t>
        </is>
      </c>
      <c r="D569" s="3" t="inlineStr">
        <is>
          <t>Dresses</t>
        </is>
      </c>
      <c r="E569" s="3" t="inlineStr">
        <is>
          <t>Ashanti</t>
        </is>
      </c>
      <c r="F569" s="3" t="inlineStr">
        <is>
          <t>Retail Shop</t>
        </is>
      </c>
      <c r="G569" s="3" t="inlineStr">
        <is>
          <t>New</t>
        </is>
      </c>
      <c r="H569" s="3" t="n">
        <v>3</v>
      </c>
      <c r="I569" s="3" t="n">
        <v>225</v>
      </c>
      <c r="J569" s="3" t="n">
        <v>121.14</v>
      </c>
      <c r="K569" s="3" t="n">
        <v>0</v>
      </c>
      <c r="L569" s="3" t="n">
        <v>8.550000000000001</v>
      </c>
    </row>
    <row r="570">
      <c r="A570" s="3" t="inlineStr">
        <is>
          <t>ORD-10569</t>
        </is>
      </c>
      <c r="B570" s="6" t="n">
        <v>45732</v>
      </c>
      <c r="C570" s="3" t="inlineStr">
        <is>
          <t>Clothing</t>
        </is>
      </c>
      <c r="D570" s="3" t="inlineStr">
        <is>
          <t>Jackets</t>
        </is>
      </c>
      <c r="E570" s="3" t="inlineStr">
        <is>
          <t>Greater Accra</t>
        </is>
      </c>
      <c r="F570" s="3" t="inlineStr">
        <is>
          <t>Phone/WhatsApp</t>
        </is>
      </c>
      <c r="G570" s="3" t="inlineStr">
        <is>
          <t>Returning</t>
        </is>
      </c>
      <c r="H570" s="3" t="n">
        <v>1</v>
      </c>
      <c r="I570" s="3" t="n">
        <v>80</v>
      </c>
      <c r="J570" s="3" t="n">
        <v>45.14</v>
      </c>
      <c r="K570" s="3" t="n">
        <v>0</v>
      </c>
      <c r="L570" s="3" t="n">
        <v>40.16</v>
      </c>
    </row>
    <row r="571">
      <c r="A571" s="3" t="inlineStr">
        <is>
          <t>ORD-10570</t>
        </is>
      </c>
      <c r="B571" s="6" t="n">
        <v>45700</v>
      </c>
      <c r="C571" s="3" t="inlineStr">
        <is>
          <t>Clothing</t>
        </is>
      </c>
      <c r="D571" s="3" t="inlineStr">
        <is>
          <t>Jackets</t>
        </is>
      </c>
      <c r="E571" s="3" t="inlineStr">
        <is>
          <t>Greater Accra</t>
        </is>
      </c>
      <c r="F571" s="3" t="inlineStr">
        <is>
          <t>Online</t>
        </is>
      </c>
      <c r="G571" s="3" t="inlineStr">
        <is>
          <t>New</t>
        </is>
      </c>
      <c r="H571" s="3" t="n">
        <v>1</v>
      </c>
      <c r="I571" s="3" t="n">
        <v>170</v>
      </c>
      <c r="J571" s="3" t="n">
        <v>79.09999999999999</v>
      </c>
      <c r="K571" s="3" t="n">
        <v>0</v>
      </c>
      <c r="L571" s="3" t="n">
        <v>9.470000000000001</v>
      </c>
    </row>
    <row r="572">
      <c r="A572" s="3" t="inlineStr">
        <is>
          <t>ORD-10571</t>
        </is>
      </c>
      <c r="B572" s="6" t="n">
        <v>45738</v>
      </c>
      <c r="C572" s="3" t="inlineStr">
        <is>
          <t>Clothing</t>
        </is>
      </c>
      <c r="D572" s="3" t="inlineStr">
        <is>
          <t>Jackets</t>
        </is>
      </c>
      <c r="E572" s="3" t="inlineStr">
        <is>
          <t>Greater Accra</t>
        </is>
      </c>
      <c r="F572" s="3" t="inlineStr">
        <is>
          <t>Online</t>
        </is>
      </c>
      <c r="G572" s="3" t="inlineStr">
        <is>
          <t>Returning</t>
        </is>
      </c>
      <c r="H572" s="3" t="n">
        <v>2</v>
      </c>
      <c r="I572" s="3" t="n">
        <v>205</v>
      </c>
      <c r="J572" s="3" t="n">
        <v>94.45999999999999</v>
      </c>
      <c r="K572" s="3" t="n">
        <v>0.15</v>
      </c>
      <c r="L572" s="3" t="n">
        <v>33.36</v>
      </c>
    </row>
    <row r="573">
      <c r="A573" s="3" t="inlineStr">
        <is>
          <t>ORD-10572</t>
        </is>
      </c>
      <c r="B573" s="6" t="n">
        <v>45845</v>
      </c>
      <c r="C573" s="3" t="inlineStr">
        <is>
          <t>Clothing</t>
        </is>
      </c>
      <c r="D573" s="3" t="inlineStr">
        <is>
          <t>Trousers</t>
        </is>
      </c>
      <c r="E573" s="3" t="inlineStr">
        <is>
          <t>Greater Accra</t>
        </is>
      </c>
      <c r="F573" s="3" t="inlineStr">
        <is>
          <t>Online</t>
        </is>
      </c>
      <c r="G573" s="3" t="inlineStr">
        <is>
          <t>New</t>
        </is>
      </c>
      <c r="H573" s="3" t="n">
        <v>1</v>
      </c>
      <c r="I573" s="3" t="n">
        <v>105</v>
      </c>
      <c r="J573" s="3" t="n">
        <v>60.4</v>
      </c>
      <c r="K573" s="3" t="n">
        <v>0</v>
      </c>
      <c r="L573" s="3" t="n">
        <v>33.34</v>
      </c>
    </row>
    <row r="574">
      <c r="A574" s="3" t="inlineStr">
        <is>
          <t>ORD-10573</t>
        </is>
      </c>
      <c r="B574" s="6" t="n">
        <v>45783</v>
      </c>
      <c r="C574" s="3" t="inlineStr">
        <is>
          <t>Footwear</t>
        </is>
      </c>
      <c r="D574" s="3" t="inlineStr">
        <is>
          <t>Boots</t>
        </is>
      </c>
      <c r="E574" s="3" t="inlineStr">
        <is>
          <t>Central</t>
        </is>
      </c>
      <c r="F574" s="3" t="inlineStr">
        <is>
          <t>Retail Shop</t>
        </is>
      </c>
      <c r="G574" s="3" t="inlineStr">
        <is>
          <t>New</t>
        </is>
      </c>
      <c r="H574" s="3" t="n">
        <v>1</v>
      </c>
      <c r="I574" s="3" t="n">
        <v>310</v>
      </c>
      <c r="J574" s="3" t="n">
        <v>157.33</v>
      </c>
      <c r="K574" s="3" t="n">
        <v>0.05</v>
      </c>
      <c r="L574" s="3" t="n">
        <v>1.81</v>
      </c>
    </row>
    <row r="575">
      <c r="A575" s="3" t="inlineStr">
        <is>
          <t>ORD-10574</t>
        </is>
      </c>
      <c r="B575" s="6" t="n">
        <v>45908</v>
      </c>
      <c r="C575" s="3" t="inlineStr">
        <is>
          <t>Footwear</t>
        </is>
      </c>
      <c r="D575" s="3" t="inlineStr">
        <is>
          <t>Boots</t>
        </is>
      </c>
      <c r="E575" s="3" t="inlineStr">
        <is>
          <t>Central</t>
        </is>
      </c>
      <c r="F575" s="3" t="inlineStr">
        <is>
          <t>Phone/WhatsApp</t>
        </is>
      </c>
      <c r="G575" s="3" t="inlineStr">
        <is>
          <t>Returning</t>
        </is>
      </c>
      <c r="H575" s="3" t="n">
        <v>3</v>
      </c>
      <c r="I575" s="3" t="n">
        <v>155</v>
      </c>
      <c r="J575" s="3" t="n">
        <v>80.54000000000001</v>
      </c>
      <c r="K575" s="3" t="n">
        <v>0.05</v>
      </c>
      <c r="L575" s="3" t="n">
        <v>41.12</v>
      </c>
    </row>
    <row r="576">
      <c r="A576" s="3" t="inlineStr">
        <is>
          <t>ORD-10575</t>
        </is>
      </c>
      <c r="B576" s="6" t="n">
        <v>45839</v>
      </c>
      <c r="C576" s="3" t="inlineStr">
        <is>
          <t>Clothing</t>
        </is>
      </c>
      <c r="D576" s="3" t="inlineStr">
        <is>
          <t>Jackets</t>
        </is>
      </c>
      <c r="E576" s="3" t="inlineStr">
        <is>
          <t>Central</t>
        </is>
      </c>
      <c r="F576" s="3" t="inlineStr">
        <is>
          <t>Online</t>
        </is>
      </c>
      <c r="G576" s="3" t="inlineStr">
        <is>
          <t>Returning</t>
        </is>
      </c>
      <c r="H576" s="3" t="n">
        <v>5</v>
      </c>
      <c r="I576" s="3" t="n">
        <v>125</v>
      </c>
      <c r="J576" s="3" t="n">
        <v>69.2</v>
      </c>
      <c r="K576" s="3" t="n">
        <v>0</v>
      </c>
      <c r="L576" s="3" t="n">
        <v>38.33</v>
      </c>
    </row>
    <row r="577">
      <c r="A577" s="3" t="inlineStr">
        <is>
          <t>ORD-10576</t>
        </is>
      </c>
      <c r="B577" s="6" t="n">
        <v>45841</v>
      </c>
      <c r="C577" s="3" t="inlineStr">
        <is>
          <t>Clothing</t>
        </is>
      </c>
      <c r="D577" s="3" t="inlineStr">
        <is>
          <t>Trousers</t>
        </is>
      </c>
      <c r="E577" s="3" t="inlineStr">
        <is>
          <t>Greater Accra</t>
        </is>
      </c>
      <c r="F577" s="3" t="inlineStr">
        <is>
          <t>Phone/WhatsApp</t>
        </is>
      </c>
      <c r="G577" s="3" t="inlineStr">
        <is>
          <t>New</t>
        </is>
      </c>
      <c r="H577" s="3" t="n">
        <v>1</v>
      </c>
      <c r="I577" s="3" t="n">
        <v>95</v>
      </c>
      <c r="J577" s="3" t="n">
        <v>53.5</v>
      </c>
      <c r="K577" s="3" t="n">
        <v>0.1</v>
      </c>
      <c r="L577" s="3" t="n">
        <v>18.68</v>
      </c>
    </row>
    <row r="578">
      <c r="A578" s="3" t="inlineStr">
        <is>
          <t>ORD-10577</t>
        </is>
      </c>
      <c r="B578" s="6" t="n">
        <v>45667</v>
      </c>
      <c r="C578" s="3" t="inlineStr">
        <is>
          <t>Footwear</t>
        </is>
      </c>
      <c r="D578" s="3" t="inlineStr">
        <is>
          <t>Sandals</t>
        </is>
      </c>
      <c r="E578" s="3" t="inlineStr">
        <is>
          <t>Ashanti</t>
        </is>
      </c>
      <c r="F578" s="3" t="inlineStr">
        <is>
          <t>Phone/WhatsApp</t>
        </is>
      </c>
      <c r="G578" s="3" t="inlineStr">
        <is>
          <t>Returning</t>
        </is>
      </c>
      <c r="H578" s="3" t="n">
        <v>5</v>
      </c>
      <c r="I578" s="3" t="n">
        <v>355</v>
      </c>
      <c r="J578" s="3" t="n">
        <v>214.62</v>
      </c>
      <c r="K578" s="3" t="n">
        <v>0</v>
      </c>
      <c r="L578" s="3" t="n">
        <v>35.79</v>
      </c>
    </row>
    <row r="579">
      <c r="A579" s="3" t="inlineStr">
        <is>
          <t>ORD-10578</t>
        </is>
      </c>
      <c r="B579" s="6" t="n">
        <v>45930</v>
      </c>
      <c r="C579" s="3" t="inlineStr">
        <is>
          <t>Clothing</t>
        </is>
      </c>
      <c r="D579" s="3" t="inlineStr">
        <is>
          <t>Shirts</t>
        </is>
      </c>
      <c r="E579" s="3" t="inlineStr">
        <is>
          <t>Central</t>
        </is>
      </c>
      <c r="F579" s="3" t="inlineStr">
        <is>
          <t>Retail Shop</t>
        </is>
      </c>
      <c r="G579" s="3" t="inlineStr">
        <is>
          <t>Returning</t>
        </is>
      </c>
      <c r="H579" s="3" t="n">
        <v>3</v>
      </c>
      <c r="I579" s="3" t="n">
        <v>160</v>
      </c>
      <c r="J579" s="3" t="n">
        <v>84.66</v>
      </c>
      <c r="K579" s="3" t="n">
        <v>0</v>
      </c>
      <c r="L579" s="3" t="n">
        <v>9.48</v>
      </c>
    </row>
    <row r="580">
      <c r="A580" s="3" t="inlineStr">
        <is>
          <t>ORD-10579</t>
        </is>
      </c>
      <c r="B580" s="6" t="n">
        <v>45818</v>
      </c>
      <c r="C580" s="3" t="inlineStr">
        <is>
          <t>Accessories</t>
        </is>
      </c>
      <c r="D580" s="3" t="inlineStr">
        <is>
          <t>Sunglasses</t>
        </is>
      </c>
      <c r="E580" s="3" t="inlineStr">
        <is>
          <t>Greater Accra</t>
        </is>
      </c>
      <c r="F580" s="3" t="inlineStr">
        <is>
          <t>Phone/WhatsApp</t>
        </is>
      </c>
      <c r="G580" s="3" t="inlineStr">
        <is>
          <t>New</t>
        </is>
      </c>
      <c r="H580" s="3" t="n">
        <v>2</v>
      </c>
      <c r="I580" s="3" t="n">
        <v>95</v>
      </c>
      <c r="J580" s="3" t="n">
        <v>43.38</v>
      </c>
      <c r="K580" s="3" t="n">
        <v>0</v>
      </c>
      <c r="L580" s="3" t="n">
        <v>17.89</v>
      </c>
    </row>
    <row r="581">
      <c r="A581" s="3" t="inlineStr">
        <is>
          <t>ORD-10580</t>
        </is>
      </c>
      <c r="B581" s="6" t="n">
        <v>45886</v>
      </c>
      <c r="C581" s="3" t="inlineStr">
        <is>
          <t>Clothing</t>
        </is>
      </c>
      <c r="D581" s="3" t="inlineStr">
        <is>
          <t>Jackets</t>
        </is>
      </c>
      <c r="E581" s="3" t="inlineStr">
        <is>
          <t>Greater Accra</t>
        </is>
      </c>
      <c r="F581" s="3" t="inlineStr">
        <is>
          <t>Retail Shop</t>
        </is>
      </c>
      <c r="G581" s="3" t="inlineStr">
        <is>
          <t>Returning</t>
        </is>
      </c>
      <c r="H581" s="3" t="n">
        <v>2</v>
      </c>
      <c r="I581" s="3" t="n">
        <v>110</v>
      </c>
      <c r="J581" s="3" t="n">
        <v>56.45</v>
      </c>
      <c r="K581" s="3" t="n">
        <v>0.15</v>
      </c>
      <c r="L581" s="3" t="n">
        <v>3.58</v>
      </c>
    </row>
    <row r="582">
      <c r="A582" s="3" t="inlineStr">
        <is>
          <t>ORD-10581</t>
        </is>
      </c>
      <c r="B582" s="6" t="n">
        <v>45679</v>
      </c>
      <c r="C582" s="3" t="inlineStr">
        <is>
          <t>Clothing</t>
        </is>
      </c>
      <c r="D582" s="3" t="inlineStr">
        <is>
          <t>Shirts</t>
        </is>
      </c>
      <c r="E582" s="3" t="inlineStr">
        <is>
          <t>Western</t>
        </is>
      </c>
      <c r="F582" s="3" t="inlineStr">
        <is>
          <t>Retail Shop</t>
        </is>
      </c>
      <c r="G582" s="3" t="inlineStr">
        <is>
          <t>New</t>
        </is>
      </c>
      <c r="H582" s="3" t="n">
        <v>1</v>
      </c>
      <c r="I582" s="3" t="n">
        <v>175</v>
      </c>
      <c r="J582" s="3" t="n">
        <v>83.84</v>
      </c>
      <c r="K582" s="3" t="n">
        <v>0</v>
      </c>
      <c r="L582" s="3" t="n">
        <v>4.17</v>
      </c>
    </row>
    <row r="583">
      <c r="A583" s="3" t="inlineStr">
        <is>
          <t>ORD-10582</t>
        </is>
      </c>
      <c r="B583" s="6" t="n">
        <v>45855</v>
      </c>
      <c r="C583" s="3" t="inlineStr">
        <is>
          <t>Footwear</t>
        </is>
      </c>
      <c r="D583" s="3" t="inlineStr">
        <is>
          <t>Formal Shoes</t>
        </is>
      </c>
      <c r="E583" s="3" t="inlineStr">
        <is>
          <t>Ashanti</t>
        </is>
      </c>
      <c r="F583" s="3" t="inlineStr">
        <is>
          <t>Online</t>
        </is>
      </c>
      <c r="G583" s="3" t="inlineStr">
        <is>
          <t>Returning</t>
        </is>
      </c>
      <c r="H583" s="3" t="n">
        <v>1</v>
      </c>
      <c r="I583" s="3" t="n">
        <v>345</v>
      </c>
      <c r="J583" s="3" t="n">
        <v>207.1</v>
      </c>
      <c r="K583" s="3" t="n">
        <v>0.1</v>
      </c>
      <c r="L583" s="3" t="n">
        <v>43.4</v>
      </c>
    </row>
    <row r="584">
      <c r="A584" s="3" t="inlineStr">
        <is>
          <t>ORD-10583</t>
        </is>
      </c>
      <c r="B584" s="6" t="n">
        <v>45804</v>
      </c>
      <c r="C584" s="3" t="inlineStr">
        <is>
          <t>Accessories</t>
        </is>
      </c>
      <c r="D584" s="3" t="inlineStr">
        <is>
          <t>Sunglasses</t>
        </is>
      </c>
      <c r="E584" s="3" t="inlineStr">
        <is>
          <t>Greater Accra</t>
        </is>
      </c>
      <c r="F584" s="3" t="inlineStr">
        <is>
          <t>Retail Shop</t>
        </is>
      </c>
      <c r="G584" s="3" t="inlineStr">
        <is>
          <t>Returning</t>
        </is>
      </c>
      <c r="H584" s="3" t="n">
        <v>5</v>
      </c>
      <c r="I584" s="3" t="n">
        <v>170</v>
      </c>
      <c r="J584" s="3" t="n">
        <v>86.06999999999999</v>
      </c>
      <c r="K584" s="3" t="n">
        <v>0.1</v>
      </c>
      <c r="L584" s="3" t="n">
        <v>6.42</v>
      </c>
    </row>
    <row r="585">
      <c r="A585" s="3" t="inlineStr">
        <is>
          <t>ORD-10584</t>
        </is>
      </c>
      <c r="B585" s="6" t="n">
        <v>45950</v>
      </c>
      <c r="C585" s="3" t="inlineStr">
        <is>
          <t>Accessories</t>
        </is>
      </c>
      <c r="D585" s="3" t="inlineStr">
        <is>
          <t>Watches</t>
        </is>
      </c>
      <c r="E585" s="3" t="inlineStr">
        <is>
          <t>Ashanti</t>
        </is>
      </c>
      <c r="F585" s="3" t="inlineStr">
        <is>
          <t>Phone/WhatsApp</t>
        </is>
      </c>
      <c r="G585" s="3" t="inlineStr">
        <is>
          <t>New</t>
        </is>
      </c>
      <c r="H585" s="3" t="n">
        <v>1</v>
      </c>
      <c r="I585" s="3" t="n">
        <v>175</v>
      </c>
      <c r="J585" s="3" t="n">
        <v>82.88</v>
      </c>
      <c r="K585" s="3" t="n">
        <v>0</v>
      </c>
      <c r="L585" s="3" t="n">
        <v>33.16</v>
      </c>
    </row>
    <row r="586">
      <c r="A586" s="3" t="inlineStr">
        <is>
          <t>ORD-10585</t>
        </is>
      </c>
      <c r="B586" s="6" t="n">
        <v>45821</v>
      </c>
      <c r="C586" s="3" t="inlineStr">
        <is>
          <t>Clothing</t>
        </is>
      </c>
      <c r="D586" s="3" t="inlineStr">
        <is>
          <t>Jackets</t>
        </is>
      </c>
      <c r="E586" s="3" t="inlineStr">
        <is>
          <t>Greater Accra</t>
        </is>
      </c>
      <c r="F586" s="3" t="inlineStr">
        <is>
          <t>Retail Shop</t>
        </is>
      </c>
      <c r="G586" s="3" t="inlineStr">
        <is>
          <t>Returning</t>
        </is>
      </c>
      <c r="H586" s="3" t="n">
        <v>4</v>
      </c>
      <c r="I586" s="3" t="n">
        <v>140</v>
      </c>
      <c r="J586" s="3" t="n">
        <v>75.73999999999999</v>
      </c>
      <c r="K586" s="3" t="n">
        <v>0.05</v>
      </c>
      <c r="L586" s="3" t="n">
        <v>7.28</v>
      </c>
    </row>
    <row r="587">
      <c r="A587" s="3" t="inlineStr">
        <is>
          <t>ORD-10586</t>
        </is>
      </c>
      <c r="B587" s="6" t="n">
        <v>45671</v>
      </c>
      <c r="C587" s="3" t="inlineStr">
        <is>
          <t>Clothing</t>
        </is>
      </c>
      <c r="D587" s="3" t="inlineStr">
        <is>
          <t>Shirts</t>
        </is>
      </c>
      <c r="E587" s="3" t="inlineStr">
        <is>
          <t>Greater Accra</t>
        </is>
      </c>
      <c r="F587" s="3" t="inlineStr">
        <is>
          <t>Retail Shop</t>
        </is>
      </c>
      <c r="G587" s="3" t="inlineStr">
        <is>
          <t>Returning</t>
        </is>
      </c>
      <c r="H587" s="3" t="n">
        <v>2</v>
      </c>
      <c r="I587" s="3" t="n">
        <v>110</v>
      </c>
      <c r="J587" s="3" t="n">
        <v>59.5</v>
      </c>
      <c r="K587" s="3" t="n">
        <v>0.1</v>
      </c>
      <c r="L587" s="3" t="n">
        <v>10.85</v>
      </c>
    </row>
    <row r="588">
      <c r="A588" s="3" t="inlineStr">
        <is>
          <t>ORD-10587</t>
        </is>
      </c>
      <c r="B588" s="6" t="n">
        <v>45751</v>
      </c>
      <c r="C588" s="3" t="inlineStr">
        <is>
          <t>Clothing</t>
        </is>
      </c>
      <c r="D588" s="3" t="inlineStr">
        <is>
          <t>Shirts</t>
        </is>
      </c>
      <c r="E588" s="3" t="inlineStr">
        <is>
          <t>Greater Accra</t>
        </is>
      </c>
      <c r="F588" s="3" t="inlineStr">
        <is>
          <t>Online</t>
        </is>
      </c>
      <c r="G588" s="3" t="inlineStr">
        <is>
          <t>New</t>
        </is>
      </c>
      <c r="H588" s="3" t="n">
        <v>2</v>
      </c>
      <c r="I588" s="3" t="n">
        <v>145</v>
      </c>
      <c r="J588" s="3" t="n">
        <v>81.65000000000001</v>
      </c>
      <c r="K588" s="3" t="n">
        <v>0</v>
      </c>
      <c r="L588" s="3" t="n">
        <v>9.93</v>
      </c>
    </row>
    <row r="589">
      <c r="A589" s="3" t="inlineStr">
        <is>
          <t>ORD-10588</t>
        </is>
      </c>
      <c r="B589" s="6" t="n">
        <v>45695</v>
      </c>
      <c r="C589" s="3" t="inlineStr">
        <is>
          <t>Accessories</t>
        </is>
      </c>
      <c r="D589" s="3" t="inlineStr">
        <is>
          <t>Sunglasses</t>
        </is>
      </c>
      <c r="E589" s="3" t="inlineStr">
        <is>
          <t>Greater Accra</t>
        </is>
      </c>
      <c r="F589" s="3" t="inlineStr">
        <is>
          <t>Online</t>
        </is>
      </c>
      <c r="G589" s="3" t="inlineStr">
        <is>
          <t>New</t>
        </is>
      </c>
      <c r="H589" s="3" t="n">
        <v>3</v>
      </c>
      <c r="I589" s="3" t="n">
        <v>130</v>
      </c>
      <c r="J589" s="3" t="n">
        <v>57.87</v>
      </c>
      <c r="K589" s="3" t="n">
        <v>0</v>
      </c>
      <c r="L589" s="3" t="n">
        <v>17.69</v>
      </c>
    </row>
    <row r="590">
      <c r="A590" s="3" t="inlineStr">
        <is>
          <t>ORD-10589</t>
        </is>
      </c>
      <c r="B590" s="6" t="n">
        <v>45871</v>
      </c>
      <c r="C590" s="3" t="inlineStr">
        <is>
          <t>Clothing</t>
        </is>
      </c>
      <c r="D590" s="3" t="inlineStr">
        <is>
          <t>Trousers</t>
        </is>
      </c>
      <c r="E590" s="3" t="inlineStr">
        <is>
          <t>Greater Accra</t>
        </is>
      </c>
      <c r="F590" s="3" t="inlineStr">
        <is>
          <t>Retail Shop</t>
        </is>
      </c>
      <c r="G590" s="3" t="inlineStr">
        <is>
          <t>Returning</t>
        </is>
      </c>
      <c r="H590" s="3" t="n">
        <v>1</v>
      </c>
      <c r="I590" s="3" t="n">
        <v>160</v>
      </c>
      <c r="J590" s="3" t="n">
        <v>85.59999999999999</v>
      </c>
      <c r="K590" s="3" t="n">
        <v>0</v>
      </c>
      <c r="L590" s="3" t="n">
        <v>5.18</v>
      </c>
    </row>
    <row r="591">
      <c r="A591" s="3" t="inlineStr">
        <is>
          <t>ORD-10590</t>
        </is>
      </c>
      <c r="B591" s="6" t="n">
        <v>45851</v>
      </c>
      <c r="C591" s="3" t="inlineStr">
        <is>
          <t>Footwear</t>
        </is>
      </c>
      <c r="D591" s="3" t="inlineStr">
        <is>
          <t>Formal Shoes</t>
        </is>
      </c>
      <c r="E591" s="3" t="inlineStr">
        <is>
          <t>Ashanti</t>
        </is>
      </c>
      <c r="F591" s="3" t="inlineStr">
        <is>
          <t>Retail Shop</t>
        </is>
      </c>
      <c r="G591" s="3" t="inlineStr">
        <is>
          <t>New</t>
        </is>
      </c>
      <c r="H591" s="3" t="n">
        <v>2</v>
      </c>
      <c r="I591" s="3" t="n">
        <v>165</v>
      </c>
      <c r="J591" s="3" t="n">
        <v>87.18000000000001</v>
      </c>
      <c r="K591" s="3" t="n">
        <v>0</v>
      </c>
      <c r="L591" s="3" t="n">
        <v>5.87</v>
      </c>
    </row>
    <row r="592">
      <c r="A592" s="3" t="inlineStr">
        <is>
          <t>ORD-10591</t>
        </is>
      </c>
      <c r="B592" s="6" t="n">
        <v>45871</v>
      </c>
      <c r="C592" s="3" t="inlineStr">
        <is>
          <t>Accessories</t>
        </is>
      </c>
      <c r="D592" s="3" t="inlineStr">
        <is>
          <t>Belts</t>
        </is>
      </c>
      <c r="E592" s="3" t="inlineStr">
        <is>
          <t>Western</t>
        </is>
      </c>
      <c r="F592" s="3" t="inlineStr">
        <is>
          <t>Retail Shop</t>
        </is>
      </c>
      <c r="G592" s="3" t="inlineStr">
        <is>
          <t>Returning</t>
        </is>
      </c>
      <c r="H592" s="3" t="n">
        <v>2</v>
      </c>
      <c r="I592" s="3" t="n">
        <v>90</v>
      </c>
      <c r="J592" s="3" t="n">
        <v>44.65</v>
      </c>
      <c r="K592" s="3" t="n">
        <v>0.1</v>
      </c>
      <c r="L592" s="3" t="n">
        <v>8.43</v>
      </c>
    </row>
    <row r="593">
      <c r="A593" s="3" t="inlineStr">
        <is>
          <t>ORD-10592</t>
        </is>
      </c>
      <c r="B593" s="6" t="n">
        <v>45897</v>
      </c>
      <c r="C593" s="3" t="inlineStr">
        <is>
          <t>Clothing</t>
        </is>
      </c>
      <c r="D593" s="3" t="inlineStr">
        <is>
          <t>Jackets</t>
        </is>
      </c>
      <c r="E593" s="3" t="inlineStr">
        <is>
          <t>Greater Accra</t>
        </is>
      </c>
      <c r="F593" s="3" t="inlineStr">
        <is>
          <t>Phone/WhatsApp</t>
        </is>
      </c>
      <c r="G593" s="3" t="inlineStr">
        <is>
          <t>New</t>
        </is>
      </c>
      <c r="H593" s="3" t="n">
        <v>2</v>
      </c>
      <c r="I593" s="3" t="n">
        <v>185</v>
      </c>
      <c r="J593" s="3" t="n">
        <v>100.22</v>
      </c>
      <c r="K593" s="3" t="n">
        <v>0</v>
      </c>
      <c r="L593" s="3" t="n">
        <v>37.27</v>
      </c>
    </row>
    <row r="594">
      <c r="A594" s="3" t="inlineStr">
        <is>
          <t>ORD-10593</t>
        </is>
      </c>
      <c r="B594" s="6" t="n">
        <v>45820</v>
      </c>
      <c r="C594" s="3" t="inlineStr">
        <is>
          <t>Footwear</t>
        </is>
      </c>
      <c r="D594" s="3" t="inlineStr">
        <is>
          <t>Boots</t>
        </is>
      </c>
      <c r="E594" s="3" t="inlineStr">
        <is>
          <t>Central</t>
        </is>
      </c>
      <c r="F594" s="3" t="inlineStr">
        <is>
          <t>Retail Shop</t>
        </is>
      </c>
      <c r="G594" s="3" t="inlineStr">
        <is>
          <t>Returning</t>
        </is>
      </c>
      <c r="H594" s="3" t="n">
        <v>6</v>
      </c>
      <c r="I594" s="3" t="n">
        <v>295</v>
      </c>
      <c r="J594" s="3" t="n">
        <v>164.74</v>
      </c>
      <c r="K594" s="3" t="n">
        <v>0.15</v>
      </c>
      <c r="L594" s="3" t="n">
        <v>3.83</v>
      </c>
    </row>
    <row r="595">
      <c r="A595" s="3" t="inlineStr">
        <is>
          <t>ORD-10594</t>
        </is>
      </c>
      <c r="B595" s="6" t="n">
        <v>45815</v>
      </c>
      <c r="C595" s="3" t="inlineStr">
        <is>
          <t>Clothing</t>
        </is>
      </c>
      <c r="D595" s="3" t="inlineStr">
        <is>
          <t>Dresses</t>
        </is>
      </c>
      <c r="E595" s="3" t="inlineStr">
        <is>
          <t>Central</t>
        </is>
      </c>
      <c r="F595" s="3" t="inlineStr">
        <is>
          <t>Phone/WhatsApp</t>
        </is>
      </c>
      <c r="G595" s="3" t="inlineStr">
        <is>
          <t>Returning</t>
        </is>
      </c>
      <c r="H595" s="3" t="n">
        <v>7</v>
      </c>
      <c r="I595" s="3" t="n">
        <v>170</v>
      </c>
      <c r="J595" s="3" t="n">
        <v>94.18000000000001</v>
      </c>
      <c r="K595" s="3" t="n">
        <v>0.15</v>
      </c>
      <c r="L595" s="3" t="n">
        <v>40.28</v>
      </c>
    </row>
    <row r="596">
      <c r="A596" s="3" t="inlineStr">
        <is>
          <t>ORD-10595</t>
        </is>
      </c>
      <c r="B596" s="6" t="n">
        <v>45742</v>
      </c>
      <c r="C596" s="3" t="inlineStr">
        <is>
          <t>Clothing</t>
        </is>
      </c>
      <c r="D596" s="3" t="inlineStr">
        <is>
          <t>Dresses</t>
        </is>
      </c>
      <c r="E596" s="3" t="inlineStr">
        <is>
          <t>Northern</t>
        </is>
      </c>
      <c r="F596" s="3" t="inlineStr">
        <is>
          <t>Retail Shop</t>
        </is>
      </c>
      <c r="G596" s="3" t="inlineStr">
        <is>
          <t>Returning</t>
        </is>
      </c>
      <c r="H596" s="3" t="n">
        <v>1</v>
      </c>
      <c r="I596" s="3" t="n">
        <v>245</v>
      </c>
      <c r="J596" s="3" t="n">
        <v>125.86</v>
      </c>
      <c r="K596" s="3" t="n">
        <v>0.05</v>
      </c>
      <c r="L596" s="3" t="n">
        <v>0.09</v>
      </c>
    </row>
    <row r="597">
      <c r="A597" s="3" t="inlineStr">
        <is>
          <t>ORD-10596</t>
        </is>
      </c>
      <c r="B597" s="6" t="n">
        <v>45779</v>
      </c>
      <c r="C597" s="3" t="inlineStr">
        <is>
          <t>Home &amp; Lifestyle</t>
        </is>
      </c>
      <c r="D597" s="3" t="inlineStr">
        <is>
          <t>Backpacks</t>
        </is>
      </c>
      <c r="E597" s="3" t="inlineStr">
        <is>
          <t>Greater Accra</t>
        </is>
      </c>
      <c r="F597" s="3" t="inlineStr">
        <is>
          <t>Retail Shop</t>
        </is>
      </c>
      <c r="G597" s="3" t="inlineStr">
        <is>
          <t>New</t>
        </is>
      </c>
      <c r="H597" s="3" t="n">
        <v>2</v>
      </c>
      <c r="I597" s="3" t="n">
        <v>70</v>
      </c>
      <c r="J597" s="3" t="n">
        <v>37.82</v>
      </c>
      <c r="K597" s="3" t="n">
        <v>0.15</v>
      </c>
      <c r="L597" s="3" t="n">
        <v>9.68</v>
      </c>
    </row>
    <row r="598">
      <c r="A598" s="3" t="inlineStr">
        <is>
          <t>ORD-10597</t>
        </is>
      </c>
      <c r="B598" s="6" t="n">
        <v>45980</v>
      </c>
      <c r="C598" s="3" t="inlineStr">
        <is>
          <t>Accessories</t>
        </is>
      </c>
      <c r="D598" s="3" t="inlineStr">
        <is>
          <t>Bags</t>
        </is>
      </c>
      <c r="E598" s="3" t="inlineStr">
        <is>
          <t>Ashanti</t>
        </is>
      </c>
      <c r="F598" s="3" t="inlineStr">
        <is>
          <t>Retail Shop</t>
        </is>
      </c>
      <c r="G598" s="3" t="inlineStr">
        <is>
          <t>New</t>
        </is>
      </c>
      <c r="H598" s="3" t="n">
        <v>4</v>
      </c>
      <c r="I598" s="3" t="n">
        <v>105</v>
      </c>
      <c r="J598" s="3" t="n">
        <v>52.22</v>
      </c>
      <c r="K598" s="3" t="n">
        <v>0</v>
      </c>
      <c r="L598" s="3" t="n">
        <v>4.29</v>
      </c>
    </row>
    <row r="599">
      <c r="A599" s="3" t="inlineStr">
        <is>
          <t>ORD-10598</t>
        </is>
      </c>
      <c r="B599" s="6" t="n">
        <v>45661</v>
      </c>
      <c r="C599" s="3" t="inlineStr">
        <is>
          <t>Footwear</t>
        </is>
      </c>
      <c r="D599" s="3" t="inlineStr">
        <is>
          <t>Sneakers</t>
        </is>
      </c>
      <c r="E599" s="3" t="inlineStr">
        <is>
          <t>Ashanti</t>
        </is>
      </c>
      <c r="F599" s="3" t="inlineStr">
        <is>
          <t>Retail Shop</t>
        </is>
      </c>
      <c r="G599" s="3" t="inlineStr">
        <is>
          <t>Returning</t>
        </is>
      </c>
      <c r="H599" s="3" t="n">
        <v>2</v>
      </c>
      <c r="I599" s="3" t="n">
        <v>300</v>
      </c>
      <c r="J599" s="3" t="n">
        <v>180.95</v>
      </c>
      <c r="K599" s="3" t="n">
        <v>0</v>
      </c>
      <c r="L599" s="3" t="n">
        <v>9</v>
      </c>
    </row>
    <row r="600">
      <c r="A600" s="3" t="inlineStr">
        <is>
          <t>ORD-10599</t>
        </is>
      </c>
      <c r="B600" s="6" t="n">
        <v>45728</v>
      </c>
      <c r="C600" s="3" t="inlineStr">
        <is>
          <t>Clothing</t>
        </is>
      </c>
      <c r="D600" s="3" t="inlineStr">
        <is>
          <t>Dresses</t>
        </is>
      </c>
      <c r="E600" s="3" t="inlineStr">
        <is>
          <t>Greater Accra</t>
        </is>
      </c>
      <c r="F600" s="3" t="inlineStr">
        <is>
          <t>Online</t>
        </is>
      </c>
      <c r="G600" s="3" t="inlineStr">
        <is>
          <t>Returning</t>
        </is>
      </c>
      <c r="H600" s="3" t="n">
        <v>6</v>
      </c>
      <c r="I600" s="3" t="n">
        <v>140</v>
      </c>
      <c r="J600" s="3" t="n">
        <v>70.88</v>
      </c>
      <c r="K600" s="3" t="n">
        <v>0.2</v>
      </c>
      <c r="L600" s="3" t="n">
        <v>23.64</v>
      </c>
    </row>
    <row r="601">
      <c r="A601" s="3" t="inlineStr">
        <is>
          <t>ORD-10600</t>
        </is>
      </c>
      <c r="B601" s="6" t="n">
        <v>45707</v>
      </c>
      <c r="C601" s="3" t="inlineStr">
        <is>
          <t>Accessories</t>
        </is>
      </c>
      <c r="D601" s="3" t="inlineStr">
        <is>
          <t>Bags</t>
        </is>
      </c>
      <c r="E601" s="3" t="inlineStr">
        <is>
          <t>Greater Accra</t>
        </is>
      </c>
      <c r="F601" s="3" t="inlineStr">
        <is>
          <t>Phone/WhatsApp</t>
        </is>
      </c>
      <c r="G601" s="3" t="inlineStr">
        <is>
          <t>Returning</t>
        </is>
      </c>
      <c r="H601" s="3" t="n">
        <v>2</v>
      </c>
      <c r="I601" s="3" t="n">
        <v>120</v>
      </c>
      <c r="J601" s="3" t="n">
        <v>60.07</v>
      </c>
      <c r="K601" s="3" t="n">
        <v>0</v>
      </c>
      <c r="L601" s="3" t="n">
        <v>43.6</v>
      </c>
    </row>
    <row r="602">
      <c r="A602" s="3" t="inlineStr">
        <is>
          <t>ORD-10601</t>
        </is>
      </c>
      <c r="B602" s="6" t="n">
        <v>45708</v>
      </c>
      <c r="C602" s="3" t="inlineStr">
        <is>
          <t>Accessories</t>
        </is>
      </c>
      <c r="D602" s="3" t="inlineStr">
        <is>
          <t>Belts</t>
        </is>
      </c>
      <c r="E602" s="3" t="inlineStr">
        <is>
          <t>Western</t>
        </is>
      </c>
      <c r="F602" s="3" t="inlineStr">
        <is>
          <t>Retail Shop</t>
        </is>
      </c>
      <c r="G602" s="3" t="inlineStr">
        <is>
          <t>Returning</t>
        </is>
      </c>
      <c r="H602" s="3" t="n">
        <v>1</v>
      </c>
      <c r="I602" s="3" t="n">
        <v>110</v>
      </c>
      <c r="J602" s="3" t="n">
        <v>58.57</v>
      </c>
      <c r="K602" s="3" t="n">
        <v>0</v>
      </c>
      <c r="L602" s="3" t="n">
        <v>9.82</v>
      </c>
    </row>
    <row r="603">
      <c r="A603" s="3" t="inlineStr">
        <is>
          <t>ORD-10602</t>
        </is>
      </c>
      <c r="B603" s="6" t="n">
        <v>45770</v>
      </c>
      <c r="C603" s="3" t="inlineStr">
        <is>
          <t>Accessories</t>
        </is>
      </c>
      <c r="D603" s="3" t="inlineStr">
        <is>
          <t>Bags</t>
        </is>
      </c>
      <c r="E603" s="3" t="inlineStr">
        <is>
          <t>Western</t>
        </is>
      </c>
      <c r="F603" s="3" t="inlineStr">
        <is>
          <t>Retail Shop</t>
        </is>
      </c>
      <c r="G603" s="3" t="inlineStr">
        <is>
          <t>New</t>
        </is>
      </c>
      <c r="H603" s="3" t="n">
        <v>4</v>
      </c>
      <c r="I603" s="3" t="n">
        <v>90</v>
      </c>
      <c r="J603" s="3" t="n">
        <v>42.96</v>
      </c>
      <c r="K603" s="3" t="n">
        <v>0</v>
      </c>
      <c r="L603" s="3" t="n">
        <v>11.31</v>
      </c>
    </row>
    <row r="604">
      <c r="A604" s="3" t="inlineStr">
        <is>
          <t>ORD-10603</t>
        </is>
      </c>
      <c r="B604" s="6" t="n">
        <v>45664</v>
      </c>
      <c r="C604" s="3" t="inlineStr">
        <is>
          <t>Clothing</t>
        </is>
      </c>
      <c r="D604" s="3" t="inlineStr">
        <is>
          <t>Dresses</t>
        </is>
      </c>
      <c r="E604" s="3" t="inlineStr">
        <is>
          <t>Northern</t>
        </is>
      </c>
      <c r="F604" s="3" t="inlineStr">
        <is>
          <t>Online</t>
        </is>
      </c>
      <c r="G604" s="3" t="inlineStr">
        <is>
          <t>Returning</t>
        </is>
      </c>
      <c r="H604" s="3" t="n">
        <v>3</v>
      </c>
      <c r="I604" s="3" t="n">
        <v>125</v>
      </c>
      <c r="J604" s="3" t="n">
        <v>60.02</v>
      </c>
      <c r="K604" s="3" t="n">
        <v>0.1</v>
      </c>
      <c r="L604" s="3" t="n">
        <v>26.66</v>
      </c>
    </row>
    <row r="605">
      <c r="A605" s="3" t="inlineStr">
        <is>
          <t>ORD-10604</t>
        </is>
      </c>
      <c r="B605" s="6" t="n">
        <v>46006</v>
      </c>
      <c r="C605" s="3" t="inlineStr">
        <is>
          <t>Accessories</t>
        </is>
      </c>
      <c r="D605" s="3" t="inlineStr">
        <is>
          <t>Sunglasses</t>
        </is>
      </c>
      <c r="E605" s="3" t="inlineStr">
        <is>
          <t>Central</t>
        </is>
      </c>
      <c r="F605" s="3" t="inlineStr">
        <is>
          <t>Retail Shop</t>
        </is>
      </c>
      <c r="G605" s="3" t="inlineStr">
        <is>
          <t>Returning</t>
        </is>
      </c>
      <c r="H605" s="3" t="n">
        <v>2</v>
      </c>
      <c r="I605" s="3" t="n">
        <v>90</v>
      </c>
      <c r="J605" s="3" t="n">
        <v>39.07</v>
      </c>
      <c r="K605" s="3" t="n">
        <v>0.05</v>
      </c>
      <c r="L605" s="3" t="n">
        <v>5.89</v>
      </c>
    </row>
    <row r="606">
      <c r="A606" s="3" t="inlineStr">
        <is>
          <t>ORD-10605</t>
        </is>
      </c>
      <c r="B606" s="6" t="n">
        <v>45767</v>
      </c>
      <c r="C606" s="3" t="inlineStr">
        <is>
          <t>Footwear</t>
        </is>
      </c>
      <c r="D606" s="3" t="inlineStr">
        <is>
          <t>Sandals</t>
        </is>
      </c>
      <c r="E606" s="3" t="inlineStr">
        <is>
          <t>Ashanti</t>
        </is>
      </c>
      <c r="F606" s="3" t="inlineStr">
        <is>
          <t>Phone/WhatsApp</t>
        </is>
      </c>
      <c r="G606" s="3" t="inlineStr">
        <is>
          <t>Returning</t>
        </is>
      </c>
      <c r="H606" s="3" t="n">
        <v>4</v>
      </c>
      <c r="I606" s="3" t="n">
        <v>230</v>
      </c>
      <c r="J606" s="3" t="n">
        <v>116.75</v>
      </c>
      <c r="K606" s="3" t="n">
        <v>0</v>
      </c>
      <c r="L606" s="3" t="n">
        <v>13.97</v>
      </c>
    </row>
    <row r="607">
      <c r="A607" s="3" t="inlineStr">
        <is>
          <t>ORD-10606</t>
        </is>
      </c>
      <c r="B607" s="6" t="n">
        <v>45780</v>
      </c>
      <c r="C607" s="3" t="inlineStr">
        <is>
          <t>Clothing</t>
        </is>
      </c>
      <c r="D607" s="3" t="inlineStr">
        <is>
          <t>Trousers</t>
        </is>
      </c>
      <c r="E607" s="3" t="inlineStr">
        <is>
          <t>Ashanti</t>
        </is>
      </c>
      <c r="F607" s="3" t="inlineStr">
        <is>
          <t>Retail Shop</t>
        </is>
      </c>
      <c r="G607" s="3" t="inlineStr">
        <is>
          <t>Returning</t>
        </is>
      </c>
      <c r="H607" s="3" t="n">
        <v>2</v>
      </c>
      <c r="I607" s="3" t="n">
        <v>140</v>
      </c>
      <c r="J607" s="3" t="n">
        <v>75.79000000000001</v>
      </c>
      <c r="K607" s="3" t="n">
        <v>0.05</v>
      </c>
      <c r="L607" s="3" t="n">
        <v>2.69</v>
      </c>
    </row>
    <row r="608">
      <c r="A608" s="3" t="inlineStr">
        <is>
          <t>ORD-10607</t>
        </is>
      </c>
      <c r="B608" s="6" t="n">
        <v>45978</v>
      </c>
      <c r="C608" s="3" t="inlineStr">
        <is>
          <t>Clothing</t>
        </is>
      </c>
      <c r="D608" s="3" t="inlineStr">
        <is>
          <t>Shirts</t>
        </is>
      </c>
      <c r="E608" s="3" t="inlineStr">
        <is>
          <t>Central</t>
        </is>
      </c>
      <c r="F608" s="3" t="inlineStr">
        <is>
          <t>Retail Shop</t>
        </is>
      </c>
      <c r="G608" s="3" t="inlineStr">
        <is>
          <t>Returning</t>
        </is>
      </c>
      <c r="H608" s="3" t="n">
        <v>1</v>
      </c>
      <c r="I608" s="3" t="n">
        <v>255</v>
      </c>
      <c r="J608" s="3" t="n">
        <v>119.33</v>
      </c>
      <c r="K608" s="3" t="n">
        <v>0.1</v>
      </c>
      <c r="L608" s="3" t="n">
        <v>11.86</v>
      </c>
    </row>
    <row r="609">
      <c r="A609" s="3" t="inlineStr">
        <is>
          <t>ORD-10608</t>
        </is>
      </c>
      <c r="B609" s="6" t="n">
        <v>45780</v>
      </c>
      <c r="C609" s="3" t="inlineStr">
        <is>
          <t>Accessories</t>
        </is>
      </c>
      <c r="D609" s="3" t="inlineStr">
        <is>
          <t>Sunglasses</t>
        </is>
      </c>
      <c r="E609" s="3" t="inlineStr">
        <is>
          <t>Central</t>
        </is>
      </c>
      <c r="F609" s="3" t="inlineStr">
        <is>
          <t>Online</t>
        </is>
      </c>
      <c r="G609" s="3" t="inlineStr">
        <is>
          <t>New</t>
        </is>
      </c>
      <c r="H609" s="3" t="n">
        <v>1</v>
      </c>
      <c r="I609" s="3" t="n">
        <v>80</v>
      </c>
      <c r="J609" s="3" t="n">
        <v>42.94</v>
      </c>
      <c r="K609" s="3" t="n">
        <v>0.05</v>
      </c>
      <c r="L609" s="3" t="n">
        <v>21.87</v>
      </c>
    </row>
    <row r="610">
      <c r="A610" s="3" t="inlineStr">
        <is>
          <t>ORD-10609</t>
        </is>
      </c>
      <c r="B610" s="6" t="n">
        <v>45814</v>
      </c>
      <c r="C610" s="3" t="inlineStr">
        <is>
          <t>Footwear</t>
        </is>
      </c>
      <c r="D610" s="3" t="inlineStr">
        <is>
          <t>Boots</t>
        </is>
      </c>
      <c r="E610" s="3" t="inlineStr">
        <is>
          <t>Greater Accra</t>
        </is>
      </c>
      <c r="F610" s="3" t="inlineStr">
        <is>
          <t>Online</t>
        </is>
      </c>
      <c r="G610" s="3" t="inlineStr">
        <is>
          <t>Returning</t>
        </is>
      </c>
      <c r="H610" s="3" t="n">
        <v>8</v>
      </c>
      <c r="I610" s="3" t="n">
        <v>260</v>
      </c>
      <c r="J610" s="3" t="n">
        <v>161.96</v>
      </c>
      <c r="K610" s="3" t="n">
        <v>0.15</v>
      </c>
      <c r="L610" s="3" t="n">
        <v>13.63</v>
      </c>
    </row>
    <row r="611">
      <c r="A611" s="3" t="inlineStr">
        <is>
          <t>ORD-10610</t>
        </is>
      </c>
      <c r="B611" s="6" t="n">
        <v>46012</v>
      </c>
      <c r="C611" s="3" t="inlineStr">
        <is>
          <t>Accessories</t>
        </is>
      </c>
      <c r="D611" s="3" t="inlineStr">
        <is>
          <t>Belts</t>
        </is>
      </c>
      <c r="E611" s="3" t="inlineStr">
        <is>
          <t>Greater Accra</t>
        </is>
      </c>
      <c r="F611" s="3" t="inlineStr">
        <is>
          <t>Retail Shop</t>
        </is>
      </c>
      <c r="G611" s="3" t="inlineStr">
        <is>
          <t>Returning</t>
        </is>
      </c>
      <c r="H611" s="3" t="n">
        <v>2</v>
      </c>
      <c r="I611" s="3" t="n">
        <v>90</v>
      </c>
      <c r="J611" s="3" t="n">
        <v>42.69</v>
      </c>
      <c r="K611" s="3" t="n">
        <v>0.05</v>
      </c>
      <c r="L611" s="3" t="n">
        <v>9.710000000000001</v>
      </c>
    </row>
    <row r="612">
      <c r="A612" s="3" t="inlineStr">
        <is>
          <t>ORD-10611</t>
        </is>
      </c>
      <c r="B612" s="6" t="n">
        <v>45697</v>
      </c>
      <c r="C612" s="3" t="inlineStr">
        <is>
          <t>Accessories</t>
        </is>
      </c>
      <c r="D612" s="3" t="inlineStr">
        <is>
          <t>Watches</t>
        </is>
      </c>
      <c r="E612" s="3" t="inlineStr">
        <is>
          <t>Greater Accra</t>
        </is>
      </c>
      <c r="F612" s="3" t="inlineStr">
        <is>
          <t>Retail Shop</t>
        </is>
      </c>
      <c r="G612" s="3" t="inlineStr">
        <is>
          <t>New</t>
        </is>
      </c>
      <c r="H612" s="3" t="n">
        <v>4</v>
      </c>
      <c r="I612" s="3" t="n">
        <v>60</v>
      </c>
      <c r="J612" s="3" t="n">
        <v>32.25</v>
      </c>
      <c r="K612" s="3" t="n">
        <v>0.05</v>
      </c>
      <c r="L612" s="3" t="n">
        <v>7.85</v>
      </c>
    </row>
    <row r="613">
      <c r="A613" s="3" t="inlineStr">
        <is>
          <t>ORD-10612</t>
        </is>
      </c>
      <c r="B613" s="6" t="n">
        <v>45738</v>
      </c>
      <c r="C613" s="3" t="inlineStr">
        <is>
          <t>Accessories</t>
        </is>
      </c>
      <c r="D613" s="3" t="inlineStr">
        <is>
          <t>Bags</t>
        </is>
      </c>
      <c r="E613" s="3" t="inlineStr">
        <is>
          <t>Central</t>
        </is>
      </c>
      <c r="F613" s="3" t="inlineStr">
        <is>
          <t>Online</t>
        </is>
      </c>
      <c r="G613" s="3" t="inlineStr">
        <is>
          <t>New</t>
        </is>
      </c>
      <c r="H613" s="3" t="n">
        <v>1</v>
      </c>
      <c r="I613" s="3" t="n">
        <v>95</v>
      </c>
      <c r="J613" s="3" t="n">
        <v>47.66</v>
      </c>
      <c r="K613" s="3" t="n">
        <v>0.05</v>
      </c>
      <c r="L613" s="3" t="n">
        <v>10.73</v>
      </c>
    </row>
    <row r="614">
      <c r="A614" s="3" t="inlineStr">
        <is>
          <t>ORD-10613</t>
        </is>
      </c>
      <c r="B614" s="6" t="n">
        <v>45962</v>
      </c>
      <c r="C614" s="3" t="inlineStr">
        <is>
          <t>Clothing</t>
        </is>
      </c>
      <c r="D614" s="3" t="inlineStr">
        <is>
          <t>Trousers</t>
        </is>
      </c>
      <c r="E614" s="3" t="inlineStr">
        <is>
          <t>Ashanti</t>
        </is>
      </c>
      <c r="F614" s="3" t="inlineStr">
        <is>
          <t>Retail Shop</t>
        </is>
      </c>
      <c r="G614" s="3" t="inlineStr">
        <is>
          <t>Returning</t>
        </is>
      </c>
      <c r="H614" s="3" t="n">
        <v>1</v>
      </c>
      <c r="I614" s="3" t="n">
        <v>220</v>
      </c>
      <c r="J614" s="3" t="n">
        <v>121.23</v>
      </c>
      <c r="K614" s="3" t="n">
        <v>0.1</v>
      </c>
      <c r="L614" s="3" t="n">
        <v>7.29</v>
      </c>
    </row>
    <row r="615">
      <c r="A615" s="3" t="inlineStr">
        <is>
          <t>ORD-10614</t>
        </is>
      </c>
      <c r="B615" s="6" t="n">
        <v>45751</v>
      </c>
      <c r="C615" s="3" t="inlineStr">
        <is>
          <t>Footwear</t>
        </is>
      </c>
      <c r="D615" s="3" t="inlineStr">
        <is>
          <t>Sandals</t>
        </is>
      </c>
      <c r="E615" s="3" t="inlineStr">
        <is>
          <t>Western</t>
        </is>
      </c>
      <c r="F615" s="3" t="inlineStr">
        <is>
          <t>Online</t>
        </is>
      </c>
      <c r="G615" s="3" t="inlineStr">
        <is>
          <t>Returning</t>
        </is>
      </c>
      <c r="H615" s="3" t="n">
        <v>6</v>
      </c>
      <c r="I615" s="3" t="n">
        <v>185</v>
      </c>
      <c r="J615" s="3" t="n">
        <v>112.58</v>
      </c>
      <c r="K615" s="3" t="n">
        <v>0.05</v>
      </c>
      <c r="L615" s="3" t="n">
        <v>8.119999999999999</v>
      </c>
    </row>
    <row r="616">
      <c r="A616" s="3" t="inlineStr">
        <is>
          <t>ORD-10615</t>
        </is>
      </c>
      <c r="B616" s="6" t="n">
        <v>45927</v>
      </c>
      <c r="C616" s="3" t="inlineStr">
        <is>
          <t>Footwear</t>
        </is>
      </c>
      <c r="D616" s="3" t="inlineStr">
        <is>
          <t>Sandals</t>
        </is>
      </c>
      <c r="E616" s="3" t="inlineStr">
        <is>
          <t>Central</t>
        </is>
      </c>
      <c r="F616" s="3" t="inlineStr">
        <is>
          <t>Retail Shop</t>
        </is>
      </c>
      <c r="G616" s="3" t="inlineStr">
        <is>
          <t>Returning</t>
        </is>
      </c>
      <c r="H616" s="3" t="n">
        <v>4</v>
      </c>
      <c r="I616" s="3" t="n">
        <v>350</v>
      </c>
      <c r="J616" s="3" t="n">
        <v>188.54</v>
      </c>
      <c r="K616" s="3" t="n">
        <v>0.1</v>
      </c>
      <c r="L616" s="3" t="n">
        <v>9.68</v>
      </c>
    </row>
    <row r="617">
      <c r="A617" s="3" t="inlineStr">
        <is>
          <t>ORD-10616</t>
        </is>
      </c>
      <c r="B617" s="6" t="n">
        <v>45943</v>
      </c>
      <c r="C617" s="3" t="inlineStr">
        <is>
          <t>Accessories</t>
        </is>
      </c>
      <c r="D617" s="3" t="inlineStr">
        <is>
          <t>Bags</t>
        </is>
      </c>
      <c r="E617" s="3" t="inlineStr">
        <is>
          <t>Greater Accra</t>
        </is>
      </c>
      <c r="F617" s="3" t="inlineStr">
        <is>
          <t>Online</t>
        </is>
      </c>
      <c r="G617" s="3" t="inlineStr">
        <is>
          <t>Returning</t>
        </is>
      </c>
      <c r="H617" s="3" t="n">
        <v>4</v>
      </c>
      <c r="I617" s="3" t="n">
        <v>60</v>
      </c>
      <c r="J617" s="3" t="n">
        <v>27.01</v>
      </c>
      <c r="K617" s="3" t="n">
        <v>0</v>
      </c>
      <c r="L617" s="3" t="n">
        <v>43.14</v>
      </c>
    </row>
    <row r="618">
      <c r="A618" s="3" t="inlineStr">
        <is>
          <t>ORD-10617</t>
        </is>
      </c>
      <c r="B618" s="6" t="n">
        <v>45779</v>
      </c>
      <c r="C618" s="3" t="inlineStr">
        <is>
          <t>Clothing</t>
        </is>
      </c>
      <c r="D618" s="3" t="inlineStr">
        <is>
          <t>Shirts</t>
        </is>
      </c>
      <c r="E618" s="3" t="inlineStr">
        <is>
          <t>Greater Accra</t>
        </is>
      </c>
      <c r="F618" s="3" t="inlineStr">
        <is>
          <t>Retail Shop</t>
        </is>
      </c>
      <c r="G618" s="3" t="inlineStr">
        <is>
          <t>Returning</t>
        </is>
      </c>
      <c r="H618" s="3" t="n">
        <v>2</v>
      </c>
      <c r="I618" s="3" t="n">
        <v>105</v>
      </c>
      <c r="J618" s="3" t="n">
        <v>57.31</v>
      </c>
      <c r="K618" s="3" t="n">
        <v>0.2</v>
      </c>
      <c r="L618" s="3" t="n">
        <v>10.41</v>
      </c>
    </row>
    <row r="619">
      <c r="A619" s="3" t="inlineStr">
        <is>
          <t>ORD-10618</t>
        </is>
      </c>
      <c r="B619" s="6" t="n">
        <v>45806</v>
      </c>
      <c r="C619" s="3" t="inlineStr">
        <is>
          <t>Footwear</t>
        </is>
      </c>
      <c r="D619" s="3" t="inlineStr">
        <is>
          <t>Sandals</t>
        </is>
      </c>
      <c r="E619" s="3" t="inlineStr">
        <is>
          <t>Western</t>
        </is>
      </c>
      <c r="F619" s="3" t="inlineStr">
        <is>
          <t>Online</t>
        </is>
      </c>
      <c r="G619" s="3" t="inlineStr">
        <is>
          <t>Returning</t>
        </is>
      </c>
      <c r="H619" s="3" t="n">
        <v>3</v>
      </c>
      <c r="I619" s="3" t="n">
        <v>300</v>
      </c>
      <c r="J619" s="3" t="n">
        <v>189.92</v>
      </c>
      <c r="K619" s="3" t="n">
        <v>0.05</v>
      </c>
      <c r="L619" s="3" t="n">
        <v>33.22</v>
      </c>
    </row>
    <row r="620">
      <c r="A620" s="3" t="inlineStr">
        <is>
          <t>ORD-10619</t>
        </is>
      </c>
      <c r="B620" s="6" t="n">
        <v>45914</v>
      </c>
      <c r="C620" s="3" t="inlineStr">
        <is>
          <t>Accessories</t>
        </is>
      </c>
      <c r="D620" s="3" t="inlineStr">
        <is>
          <t>Bags</t>
        </is>
      </c>
      <c r="E620" s="3" t="inlineStr">
        <is>
          <t>Greater Accra</t>
        </is>
      </c>
      <c r="F620" s="3" t="inlineStr">
        <is>
          <t>Retail Shop</t>
        </is>
      </c>
      <c r="G620" s="3" t="inlineStr">
        <is>
          <t>Returning</t>
        </is>
      </c>
      <c r="H620" s="3" t="n">
        <v>10</v>
      </c>
      <c r="I620" s="3" t="n">
        <v>75</v>
      </c>
      <c r="J620" s="3" t="n">
        <v>36.19</v>
      </c>
      <c r="K620" s="3" t="n">
        <v>0</v>
      </c>
      <c r="L620" s="3" t="n">
        <v>2.02</v>
      </c>
    </row>
    <row r="621">
      <c r="A621" s="3" t="inlineStr">
        <is>
          <t>ORD-10620</t>
        </is>
      </c>
      <c r="B621" s="6" t="n">
        <v>45947</v>
      </c>
      <c r="C621" s="3" t="inlineStr">
        <is>
          <t>Accessories</t>
        </is>
      </c>
      <c r="D621" s="3" t="inlineStr">
        <is>
          <t>Sunglasses</t>
        </is>
      </c>
      <c r="E621" s="3" t="inlineStr">
        <is>
          <t>Greater Accra</t>
        </is>
      </c>
      <c r="F621" s="3" t="inlineStr">
        <is>
          <t>Retail Shop</t>
        </is>
      </c>
      <c r="G621" s="3" t="inlineStr">
        <is>
          <t>Returning</t>
        </is>
      </c>
      <c r="H621" s="3" t="n">
        <v>1</v>
      </c>
      <c r="I621" s="3" t="n">
        <v>110</v>
      </c>
      <c r="J621" s="3" t="n">
        <v>51.68</v>
      </c>
      <c r="K621" s="3" t="n">
        <v>0.05</v>
      </c>
      <c r="L621" s="3" t="n">
        <v>2.71</v>
      </c>
    </row>
    <row r="622">
      <c r="A622" s="3" t="inlineStr">
        <is>
          <t>ORD-10621</t>
        </is>
      </c>
      <c r="B622" s="6" t="n">
        <v>45948</v>
      </c>
      <c r="C622" s="3" t="inlineStr">
        <is>
          <t>Clothing</t>
        </is>
      </c>
      <c r="D622" s="3" t="inlineStr">
        <is>
          <t>Jackets</t>
        </is>
      </c>
      <c r="E622" s="3" t="inlineStr">
        <is>
          <t>Ashanti</t>
        </is>
      </c>
      <c r="F622" s="3" t="inlineStr">
        <is>
          <t>Online</t>
        </is>
      </c>
      <c r="G622" s="3" t="inlineStr">
        <is>
          <t>New</t>
        </is>
      </c>
      <c r="H622" s="3" t="n">
        <v>2</v>
      </c>
      <c r="I622" s="3" t="n">
        <v>165</v>
      </c>
      <c r="J622" s="3" t="n">
        <v>92.86</v>
      </c>
      <c r="K622" s="3" t="n">
        <v>0</v>
      </c>
      <c r="L622" s="3" t="n">
        <v>21.58</v>
      </c>
    </row>
    <row r="623">
      <c r="A623" s="3" t="inlineStr">
        <is>
          <t>ORD-10622</t>
        </is>
      </c>
      <c r="B623" s="6" t="n">
        <v>45871</v>
      </c>
      <c r="C623" s="3" t="inlineStr">
        <is>
          <t>Footwear</t>
        </is>
      </c>
      <c r="D623" s="3" t="inlineStr">
        <is>
          <t>Sandals</t>
        </is>
      </c>
      <c r="E623" s="3" t="inlineStr">
        <is>
          <t>Greater Accra</t>
        </is>
      </c>
      <c r="F623" s="3" t="inlineStr">
        <is>
          <t>Online</t>
        </is>
      </c>
      <c r="G623" s="3" t="inlineStr">
        <is>
          <t>Returning</t>
        </is>
      </c>
      <c r="H623" s="3" t="n">
        <v>3</v>
      </c>
      <c r="I623" s="3" t="n">
        <v>180</v>
      </c>
      <c r="J623" s="3" t="n">
        <v>91.73</v>
      </c>
      <c r="K623" s="3" t="n">
        <v>0.1</v>
      </c>
      <c r="L623" s="3" t="n">
        <v>43.46</v>
      </c>
    </row>
    <row r="624">
      <c r="A624" s="3" t="inlineStr">
        <is>
          <t>ORD-10623</t>
        </is>
      </c>
      <c r="B624" s="6" t="n">
        <v>46003</v>
      </c>
      <c r="C624" s="3" t="inlineStr">
        <is>
          <t>Clothing</t>
        </is>
      </c>
      <c r="D624" s="3" t="inlineStr">
        <is>
          <t>Jackets</t>
        </is>
      </c>
      <c r="E624" s="3" t="inlineStr">
        <is>
          <t>Greater Accra</t>
        </is>
      </c>
      <c r="F624" s="3" t="inlineStr">
        <is>
          <t>Phone/WhatsApp</t>
        </is>
      </c>
      <c r="G624" s="3" t="inlineStr">
        <is>
          <t>Returning</t>
        </is>
      </c>
      <c r="H624" s="3" t="n">
        <v>4</v>
      </c>
      <c r="I624" s="3" t="n">
        <v>130</v>
      </c>
      <c r="J624" s="3" t="n">
        <v>65.16</v>
      </c>
      <c r="K624" s="3" t="n">
        <v>0.05</v>
      </c>
      <c r="L624" s="3" t="n">
        <v>30.93</v>
      </c>
    </row>
    <row r="625">
      <c r="A625" s="3" t="inlineStr">
        <is>
          <t>ORD-10624</t>
        </is>
      </c>
      <c r="B625" s="6" t="n">
        <v>45881</v>
      </c>
      <c r="C625" s="3" t="inlineStr">
        <is>
          <t>Footwear</t>
        </is>
      </c>
      <c r="D625" s="3" t="inlineStr">
        <is>
          <t>Sandals</t>
        </is>
      </c>
      <c r="E625" s="3" t="inlineStr">
        <is>
          <t>Northern</t>
        </is>
      </c>
      <c r="F625" s="3" t="inlineStr">
        <is>
          <t>Online</t>
        </is>
      </c>
      <c r="G625" s="3" t="inlineStr">
        <is>
          <t>New</t>
        </is>
      </c>
      <c r="H625" s="3" t="n">
        <v>2</v>
      </c>
      <c r="I625" s="3" t="n">
        <v>175</v>
      </c>
      <c r="J625" s="3" t="n">
        <v>88.04000000000001</v>
      </c>
      <c r="K625" s="3" t="n">
        <v>0</v>
      </c>
      <c r="L625" s="3" t="n">
        <v>34.74</v>
      </c>
    </row>
    <row r="626">
      <c r="A626" s="3" t="inlineStr">
        <is>
          <t>ORD-10625</t>
        </is>
      </c>
      <c r="B626" s="6" t="n">
        <v>45663</v>
      </c>
      <c r="C626" s="3" t="inlineStr">
        <is>
          <t>Footwear</t>
        </is>
      </c>
      <c r="D626" s="3" t="inlineStr">
        <is>
          <t>Sneakers</t>
        </is>
      </c>
      <c r="E626" s="3" t="inlineStr">
        <is>
          <t>Western</t>
        </is>
      </c>
      <c r="F626" s="3" t="inlineStr">
        <is>
          <t>Retail Shop</t>
        </is>
      </c>
      <c r="G626" s="3" t="inlineStr">
        <is>
          <t>Returning</t>
        </is>
      </c>
      <c r="H626" s="3" t="n">
        <v>1</v>
      </c>
      <c r="I626" s="3" t="n">
        <v>130</v>
      </c>
      <c r="J626" s="3" t="n">
        <v>80.47</v>
      </c>
      <c r="K626" s="3" t="n">
        <v>0.05</v>
      </c>
      <c r="L626" s="3" t="n">
        <v>4.94</v>
      </c>
    </row>
    <row r="627">
      <c r="A627" s="3" t="inlineStr">
        <is>
          <t>ORD-10626</t>
        </is>
      </c>
      <c r="B627" s="6" t="n">
        <v>45977</v>
      </c>
      <c r="C627" s="3" t="inlineStr">
        <is>
          <t>Footwear</t>
        </is>
      </c>
      <c r="D627" s="3" t="inlineStr">
        <is>
          <t>Sneakers</t>
        </is>
      </c>
      <c r="E627" s="3" t="inlineStr">
        <is>
          <t>Western</t>
        </is>
      </c>
      <c r="F627" s="3" t="inlineStr">
        <is>
          <t>Retail Shop</t>
        </is>
      </c>
      <c r="G627" s="3" t="inlineStr">
        <is>
          <t>Returning</t>
        </is>
      </c>
      <c r="H627" s="3" t="n">
        <v>2</v>
      </c>
      <c r="I627" s="3" t="n">
        <v>270</v>
      </c>
      <c r="J627" s="3" t="n">
        <v>160.71</v>
      </c>
      <c r="K627" s="3" t="n">
        <v>0</v>
      </c>
      <c r="L627" s="3" t="n">
        <v>2.58</v>
      </c>
    </row>
    <row r="628">
      <c r="A628" s="3" t="inlineStr">
        <is>
          <t>ORD-10627</t>
        </is>
      </c>
      <c r="B628" s="6" t="n">
        <v>45954</v>
      </c>
      <c r="C628" s="3" t="inlineStr">
        <is>
          <t>Accessories</t>
        </is>
      </c>
      <c r="D628" s="3" t="inlineStr">
        <is>
          <t>Sunglasses</t>
        </is>
      </c>
      <c r="E628" s="3" t="inlineStr">
        <is>
          <t>Greater Accra</t>
        </is>
      </c>
      <c r="F628" s="3" t="inlineStr">
        <is>
          <t>Retail Shop</t>
        </is>
      </c>
      <c r="G628" s="3" t="inlineStr">
        <is>
          <t>Returning</t>
        </is>
      </c>
      <c r="H628" s="3" t="n">
        <v>1</v>
      </c>
      <c r="I628" s="3" t="n">
        <v>220</v>
      </c>
      <c r="J628" s="3" t="n">
        <v>111.23</v>
      </c>
      <c r="K628" s="3" t="n">
        <v>0</v>
      </c>
      <c r="L628" s="3" t="n">
        <v>3.76</v>
      </c>
    </row>
    <row r="629">
      <c r="A629" s="3" t="inlineStr">
        <is>
          <t>ORD-10628</t>
        </is>
      </c>
      <c r="B629" s="6" t="n">
        <v>45724</v>
      </c>
      <c r="C629" s="3" t="inlineStr">
        <is>
          <t>Clothing</t>
        </is>
      </c>
      <c r="D629" s="3" t="inlineStr">
        <is>
          <t>Dresses</t>
        </is>
      </c>
      <c r="E629" s="3" t="inlineStr">
        <is>
          <t>Ashanti</t>
        </is>
      </c>
      <c r="F629" s="3" t="inlineStr">
        <is>
          <t>Online</t>
        </is>
      </c>
      <c r="G629" s="3" t="inlineStr">
        <is>
          <t>New</t>
        </is>
      </c>
      <c r="H629" s="3" t="n">
        <v>3</v>
      </c>
      <c r="I629" s="3" t="n">
        <v>215</v>
      </c>
      <c r="J629" s="3" t="n">
        <v>106.66</v>
      </c>
      <c r="K629" s="3" t="n">
        <v>0</v>
      </c>
      <c r="L629" s="3" t="n">
        <v>35.36</v>
      </c>
    </row>
    <row r="630">
      <c r="A630" s="3" t="inlineStr">
        <is>
          <t>ORD-10629</t>
        </is>
      </c>
      <c r="B630" s="6" t="n">
        <v>45692</v>
      </c>
      <c r="C630" s="3" t="inlineStr">
        <is>
          <t>Footwear</t>
        </is>
      </c>
      <c r="D630" s="3" t="inlineStr">
        <is>
          <t>Sandals</t>
        </is>
      </c>
      <c r="E630" s="3" t="inlineStr">
        <is>
          <t>Greater Accra</t>
        </is>
      </c>
      <c r="F630" s="3" t="inlineStr">
        <is>
          <t>Retail Shop</t>
        </is>
      </c>
      <c r="G630" s="3" t="inlineStr">
        <is>
          <t>New</t>
        </is>
      </c>
      <c r="H630" s="3" t="n">
        <v>2</v>
      </c>
      <c r="I630" s="3" t="n">
        <v>240</v>
      </c>
      <c r="J630" s="3" t="n">
        <v>149.21</v>
      </c>
      <c r="K630" s="3" t="n">
        <v>0.1</v>
      </c>
      <c r="L630" s="3" t="n">
        <v>7.71</v>
      </c>
    </row>
    <row r="631">
      <c r="A631" s="3" t="inlineStr">
        <is>
          <t>ORD-10630</t>
        </is>
      </c>
      <c r="B631" s="6" t="n">
        <v>45888</v>
      </c>
      <c r="C631" s="3" t="inlineStr">
        <is>
          <t>Footwear</t>
        </is>
      </c>
      <c r="D631" s="3" t="inlineStr">
        <is>
          <t>Boots</t>
        </is>
      </c>
      <c r="E631" s="3" t="inlineStr">
        <is>
          <t>Central</t>
        </is>
      </c>
      <c r="F631" s="3" t="inlineStr">
        <is>
          <t>Retail Shop</t>
        </is>
      </c>
      <c r="G631" s="3" t="inlineStr">
        <is>
          <t>Returning</t>
        </is>
      </c>
      <c r="H631" s="3" t="n">
        <v>1</v>
      </c>
      <c r="I631" s="3" t="n">
        <v>240</v>
      </c>
      <c r="J631" s="3" t="n">
        <v>150.95</v>
      </c>
      <c r="K631" s="3" t="n">
        <v>0.05</v>
      </c>
      <c r="L631" s="3" t="n">
        <v>8.359999999999999</v>
      </c>
    </row>
    <row r="632">
      <c r="A632" s="3" t="inlineStr">
        <is>
          <t>ORD-10631</t>
        </is>
      </c>
      <c r="B632" s="6" t="n">
        <v>45665</v>
      </c>
      <c r="C632" s="3" t="inlineStr">
        <is>
          <t>Footwear</t>
        </is>
      </c>
      <c r="D632" s="3" t="inlineStr">
        <is>
          <t>Formal Shoes</t>
        </is>
      </c>
      <c r="E632" s="3" t="inlineStr">
        <is>
          <t>Greater Accra</t>
        </is>
      </c>
      <c r="F632" s="3" t="inlineStr">
        <is>
          <t>Online</t>
        </is>
      </c>
      <c r="G632" s="3" t="inlineStr">
        <is>
          <t>New</t>
        </is>
      </c>
      <c r="H632" s="3" t="n">
        <v>1</v>
      </c>
      <c r="I632" s="3" t="n">
        <v>470</v>
      </c>
      <c r="J632" s="3" t="n">
        <v>251.16</v>
      </c>
      <c r="K632" s="3" t="n">
        <v>0</v>
      </c>
      <c r="L632" s="3" t="n">
        <v>8.880000000000001</v>
      </c>
    </row>
    <row r="633">
      <c r="A633" s="3" t="inlineStr">
        <is>
          <t>ORD-10632</t>
        </is>
      </c>
      <c r="B633" s="6" t="n">
        <v>45667</v>
      </c>
      <c r="C633" s="3" t="inlineStr">
        <is>
          <t>Footwear</t>
        </is>
      </c>
      <c r="D633" s="3" t="inlineStr">
        <is>
          <t>Formal Shoes</t>
        </is>
      </c>
      <c r="E633" s="3" t="inlineStr">
        <is>
          <t>Greater Accra</t>
        </is>
      </c>
      <c r="F633" s="3" t="inlineStr">
        <is>
          <t>Retail Shop</t>
        </is>
      </c>
      <c r="G633" s="3" t="inlineStr">
        <is>
          <t>Returning</t>
        </is>
      </c>
      <c r="H633" s="3" t="n">
        <v>3</v>
      </c>
      <c r="I633" s="3" t="n">
        <v>250</v>
      </c>
      <c r="J633" s="3" t="n">
        <v>147.11</v>
      </c>
      <c r="K633" s="3" t="n">
        <v>0</v>
      </c>
      <c r="L633" s="3" t="n">
        <v>1.47</v>
      </c>
    </row>
    <row r="634">
      <c r="A634" s="3" t="inlineStr">
        <is>
          <t>ORD-10633</t>
        </is>
      </c>
      <c r="B634" s="6" t="n">
        <v>45808</v>
      </c>
      <c r="C634" s="3" t="inlineStr">
        <is>
          <t>Home &amp; Lifestyle</t>
        </is>
      </c>
      <c r="D634" s="3" t="inlineStr">
        <is>
          <t>Backpacks</t>
        </is>
      </c>
      <c r="E634" s="3" t="inlineStr">
        <is>
          <t>Western</t>
        </is>
      </c>
      <c r="F634" s="3" t="inlineStr">
        <is>
          <t>Phone/WhatsApp</t>
        </is>
      </c>
      <c r="G634" s="3" t="inlineStr">
        <is>
          <t>Returning</t>
        </is>
      </c>
      <c r="H634" s="3" t="n">
        <v>2</v>
      </c>
      <c r="I634" s="3" t="n">
        <v>120</v>
      </c>
      <c r="J634" s="3" t="n">
        <v>72.11</v>
      </c>
      <c r="K634" s="3" t="n">
        <v>0</v>
      </c>
      <c r="L634" s="3" t="n">
        <v>17.9</v>
      </c>
    </row>
    <row r="635">
      <c r="A635" s="3" t="inlineStr">
        <is>
          <t>ORD-10634</t>
        </is>
      </c>
      <c r="B635" s="6" t="n">
        <v>45674</v>
      </c>
      <c r="C635" s="3" t="inlineStr">
        <is>
          <t>Accessories</t>
        </is>
      </c>
      <c r="D635" s="3" t="inlineStr">
        <is>
          <t>Watches</t>
        </is>
      </c>
      <c r="E635" s="3" t="inlineStr">
        <is>
          <t>Greater Accra</t>
        </is>
      </c>
      <c r="F635" s="3" t="inlineStr">
        <is>
          <t>Phone/WhatsApp</t>
        </is>
      </c>
      <c r="G635" s="3" t="inlineStr">
        <is>
          <t>New</t>
        </is>
      </c>
      <c r="H635" s="3" t="n">
        <v>1</v>
      </c>
      <c r="I635" s="3" t="n">
        <v>160</v>
      </c>
      <c r="J635" s="3" t="n">
        <v>81.26000000000001</v>
      </c>
      <c r="K635" s="3" t="n">
        <v>0.05</v>
      </c>
      <c r="L635" s="3" t="n">
        <v>18.55</v>
      </c>
    </row>
    <row r="636">
      <c r="A636" s="3" t="inlineStr">
        <is>
          <t>ORD-10635</t>
        </is>
      </c>
      <c r="B636" s="6" t="n">
        <v>45667</v>
      </c>
      <c r="C636" s="3" t="inlineStr">
        <is>
          <t>Footwear</t>
        </is>
      </c>
      <c r="D636" s="3" t="inlineStr">
        <is>
          <t>Formal Shoes</t>
        </is>
      </c>
      <c r="E636" s="3" t="inlineStr">
        <is>
          <t>Greater Accra</t>
        </is>
      </c>
      <c r="F636" s="3" t="inlineStr">
        <is>
          <t>Retail Shop</t>
        </is>
      </c>
      <c r="G636" s="3" t="inlineStr">
        <is>
          <t>New</t>
        </is>
      </c>
      <c r="H636" s="3" t="n">
        <v>1</v>
      </c>
      <c r="I636" s="3" t="n">
        <v>340</v>
      </c>
      <c r="J636" s="3" t="n">
        <v>179.35</v>
      </c>
      <c r="K636" s="3" t="n">
        <v>0</v>
      </c>
      <c r="L636" s="3" t="n">
        <v>3.34</v>
      </c>
    </row>
    <row r="637">
      <c r="A637" s="3" t="inlineStr">
        <is>
          <t>ORD-10636</t>
        </is>
      </c>
      <c r="B637" s="6" t="n">
        <v>45982</v>
      </c>
      <c r="C637" s="3" t="inlineStr">
        <is>
          <t>Footwear</t>
        </is>
      </c>
      <c r="D637" s="3" t="inlineStr">
        <is>
          <t>Sandals</t>
        </is>
      </c>
      <c r="E637" s="3" t="inlineStr">
        <is>
          <t>Ashanti</t>
        </is>
      </c>
      <c r="F637" s="3" t="inlineStr">
        <is>
          <t>Retail Shop</t>
        </is>
      </c>
      <c r="G637" s="3" t="inlineStr">
        <is>
          <t>New</t>
        </is>
      </c>
      <c r="H637" s="3" t="n">
        <v>4</v>
      </c>
      <c r="I637" s="3" t="n">
        <v>330</v>
      </c>
      <c r="J637" s="3" t="n">
        <v>178.53</v>
      </c>
      <c r="K637" s="3" t="n">
        <v>0.15</v>
      </c>
      <c r="L637" s="3" t="n">
        <v>4.51</v>
      </c>
    </row>
    <row r="638">
      <c r="A638" s="3" t="inlineStr">
        <is>
          <t>ORD-10637</t>
        </is>
      </c>
      <c r="B638" s="6" t="n">
        <v>45739</v>
      </c>
      <c r="C638" s="3" t="inlineStr">
        <is>
          <t>Clothing</t>
        </is>
      </c>
      <c r="D638" s="3" t="inlineStr">
        <is>
          <t>Jackets</t>
        </is>
      </c>
      <c r="E638" s="3" t="inlineStr">
        <is>
          <t>Greater Accra</t>
        </is>
      </c>
      <c r="F638" s="3" t="inlineStr">
        <is>
          <t>Online</t>
        </is>
      </c>
      <c r="G638" s="3" t="inlineStr">
        <is>
          <t>New</t>
        </is>
      </c>
      <c r="H638" s="3" t="n">
        <v>2</v>
      </c>
      <c r="I638" s="3" t="n">
        <v>65</v>
      </c>
      <c r="J638" s="3" t="n">
        <v>30.93</v>
      </c>
      <c r="K638" s="3" t="n">
        <v>0.15</v>
      </c>
      <c r="L638" s="3" t="n">
        <v>20.64</v>
      </c>
    </row>
    <row r="639">
      <c r="A639" s="3" t="inlineStr">
        <is>
          <t>ORD-10638</t>
        </is>
      </c>
      <c r="B639" s="6" t="n">
        <v>45854</v>
      </c>
      <c r="C639" s="3" t="inlineStr">
        <is>
          <t>Clothing</t>
        </is>
      </c>
      <c r="D639" s="3" t="inlineStr">
        <is>
          <t>Trousers</t>
        </is>
      </c>
      <c r="E639" s="3" t="inlineStr">
        <is>
          <t>Ashanti</t>
        </is>
      </c>
      <c r="F639" s="3" t="inlineStr">
        <is>
          <t>Online</t>
        </is>
      </c>
      <c r="G639" s="3" t="inlineStr">
        <is>
          <t>New</t>
        </is>
      </c>
      <c r="H639" s="3" t="n">
        <v>2</v>
      </c>
      <c r="I639" s="3" t="n">
        <v>180</v>
      </c>
      <c r="J639" s="3" t="n">
        <v>84.29000000000001</v>
      </c>
      <c r="K639" s="3" t="n">
        <v>0.15</v>
      </c>
      <c r="L639" s="3" t="n">
        <v>15.58</v>
      </c>
    </row>
    <row r="640">
      <c r="A640" s="3" t="inlineStr">
        <is>
          <t>ORD-10639</t>
        </is>
      </c>
      <c r="B640" s="6" t="n">
        <v>45943</v>
      </c>
      <c r="C640" s="3" t="inlineStr">
        <is>
          <t>Home &amp; Lifestyle</t>
        </is>
      </c>
      <c r="D640" s="3" t="inlineStr">
        <is>
          <t>Backpacks</t>
        </is>
      </c>
      <c r="E640" s="3" t="inlineStr">
        <is>
          <t>Greater Accra</t>
        </is>
      </c>
      <c r="F640" s="3" t="inlineStr">
        <is>
          <t>Phone/WhatsApp</t>
        </is>
      </c>
      <c r="G640" s="3" t="inlineStr">
        <is>
          <t>Returning</t>
        </is>
      </c>
      <c r="H640" s="3" t="n">
        <v>3</v>
      </c>
      <c r="I640" s="3" t="n">
        <v>140</v>
      </c>
      <c r="J640" s="3" t="n">
        <v>72.59999999999999</v>
      </c>
      <c r="K640" s="3" t="n">
        <v>0</v>
      </c>
      <c r="L640" s="3" t="n">
        <v>34.02</v>
      </c>
    </row>
    <row r="641">
      <c r="A641" s="3" t="inlineStr">
        <is>
          <t>ORD-10640</t>
        </is>
      </c>
      <c r="B641" s="6" t="n">
        <v>45719</v>
      </c>
      <c r="C641" s="3" t="inlineStr">
        <is>
          <t>Clothing</t>
        </is>
      </c>
      <c r="D641" s="3" t="inlineStr">
        <is>
          <t>Shirts</t>
        </is>
      </c>
      <c r="E641" s="3" t="inlineStr">
        <is>
          <t>Ashanti</t>
        </is>
      </c>
      <c r="F641" s="3" t="inlineStr">
        <is>
          <t>Retail Shop</t>
        </is>
      </c>
      <c r="G641" s="3" t="inlineStr">
        <is>
          <t>Returning</t>
        </is>
      </c>
      <c r="H641" s="3" t="n">
        <v>2</v>
      </c>
      <c r="I641" s="3" t="n">
        <v>240</v>
      </c>
      <c r="J641" s="3" t="n">
        <v>123.99</v>
      </c>
      <c r="K641" s="3" t="n">
        <v>0</v>
      </c>
      <c r="L641" s="3" t="n">
        <v>0.76</v>
      </c>
    </row>
    <row r="642">
      <c r="A642" s="3" t="inlineStr">
        <is>
          <t>ORD-10641</t>
        </is>
      </c>
      <c r="B642" s="6" t="n">
        <v>45921</v>
      </c>
      <c r="C642" s="3" t="inlineStr">
        <is>
          <t>Footwear</t>
        </is>
      </c>
      <c r="D642" s="3" t="inlineStr">
        <is>
          <t>Formal Shoes</t>
        </is>
      </c>
      <c r="E642" s="3" t="inlineStr">
        <is>
          <t>Northern</t>
        </is>
      </c>
      <c r="F642" s="3" t="inlineStr">
        <is>
          <t>Online</t>
        </is>
      </c>
      <c r="G642" s="3" t="inlineStr">
        <is>
          <t>Returning</t>
        </is>
      </c>
      <c r="H642" s="3" t="n">
        <v>2</v>
      </c>
      <c r="I642" s="3" t="n">
        <v>270</v>
      </c>
      <c r="J642" s="3" t="n">
        <v>158.91</v>
      </c>
      <c r="K642" s="3" t="n">
        <v>0.05</v>
      </c>
      <c r="L642" s="3" t="n">
        <v>23.42</v>
      </c>
    </row>
    <row r="643">
      <c r="A643" s="3" t="inlineStr">
        <is>
          <t>ORD-10642</t>
        </is>
      </c>
      <c r="B643" s="6" t="n">
        <v>45867</v>
      </c>
      <c r="C643" s="3" t="inlineStr">
        <is>
          <t>Clothing</t>
        </is>
      </c>
      <c r="D643" s="3" t="inlineStr">
        <is>
          <t>Shirts</t>
        </is>
      </c>
      <c r="E643" s="3" t="inlineStr">
        <is>
          <t>Western</t>
        </is>
      </c>
      <c r="F643" s="3" t="inlineStr">
        <is>
          <t>Retail Shop</t>
        </is>
      </c>
      <c r="G643" s="3" t="inlineStr">
        <is>
          <t>New</t>
        </is>
      </c>
      <c r="H643" s="3" t="n">
        <v>2</v>
      </c>
      <c r="I643" s="3" t="n">
        <v>140</v>
      </c>
      <c r="J643" s="3" t="n">
        <v>69.18000000000001</v>
      </c>
      <c r="K643" s="3" t="n">
        <v>0.1</v>
      </c>
      <c r="L643" s="3" t="n">
        <v>6.2</v>
      </c>
    </row>
    <row r="644">
      <c r="A644" s="3" t="inlineStr">
        <is>
          <t>ORD-10643</t>
        </is>
      </c>
      <c r="B644" s="6" t="n">
        <v>45765</v>
      </c>
      <c r="C644" s="3" t="inlineStr">
        <is>
          <t>Clothing</t>
        </is>
      </c>
      <c r="D644" s="3" t="inlineStr">
        <is>
          <t>Jackets</t>
        </is>
      </c>
      <c r="E644" s="3" t="n">
        <v/>
      </c>
      <c r="F644" s="3" t="inlineStr">
        <is>
          <t>Retail Shop</t>
        </is>
      </c>
      <c r="G644" s="3" t="inlineStr">
        <is>
          <t>Returning</t>
        </is>
      </c>
      <c r="H644" s="3" t="n">
        <v>2</v>
      </c>
      <c r="I644" s="3" t="n">
        <v>185</v>
      </c>
      <c r="J644" s="3" t="n">
        <v>94.86</v>
      </c>
      <c r="K644" s="3" t="n">
        <v>0.15</v>
      </c>
      <c r="L644" s="3" t="n">
        <v>9.49</v>
      </c>
    </row>
    <row r="645">
      <c r="A645" s="3" t="inlineStr">
        <is>
          <t>ORD-10644</t>
        </is>
      </c>
      <c r="B645" s="6" t="n">
        <v>45896</v>
      </c>
      <c r="C645" s="3" t="inlineStr">
        <is>
          <t>Home &amp; Lifestyle</t>
        </is>
      </c>
      <c r="D645" s="3" t="inlineStr">
        <is>
          <t>Wallets</t>
        </is>
      </c>
      <c r="E645" s="3" t="inlineStr">
        <is>
          <t>Ashanti</t>
        </is>
      </c>
      <c r="F645" s="3" t="inlineStr">
        <is>
          <t>Phone/WhatsApp</t>
        </is>
      </c>
      <c r="G645" s="3" t="inlineStr">
        <is>
          <t>Returning</t>
        </is>
      </c>
      <c r="H645" s="3" t="n">
        <v>2</v>
      </c>
      <c r="I645" s="3" t="n">
        <v>190</v>
      </c>
      <c r="J645" s="3" t="n">
        <v>103.47</v>
      </c>
      <c r="K645" s="3" t="n">
        <v>0.05</v>
      </c>
      <c r="L645" s="3" t="n">
        <v>9.5</v>
      </c>
    </row>
    <row r="646">
      <c r="A646" s="3" t="inlineStr">
        <is>
          <t>ORD-10645</t>
        </is>
      </c>
      <c r="B646" s="6" t="n">
        <v>45863</v>
      </c>
      <c r="C646" s="3" t="inlineStr">
        <is>
          <t>Clothing</t>
        </is>
      </c>
      <c r="D646" s="3" t="inlineStr">
        <is>
          <t>Dresses</t>
        </is>
      </c>
      <c r="E646" s="3" t="inlineStr">
        <is>
          <t>Greater Accra</t>
        </is>
      </c>
      <c r="F646" s="3" t="inlineStr">
        <is>
          <t>Retail Shop</t>
        </is>
      </c>
      <c r="G646" s="3" t="inlineStr">
        <is>
          <t>Returning</t>
        </is>
      </c>
      <c r="H646" s="3" t="n">
        <v>5</v>
      </c>
      <c r="I646" s="3" t="n">
        <v>160</v>
      </c>
      <c r="J646" s="3" t="n">
        <v>73.72</v>
      </c>
      <c r="K646" s="3" t="n">
        <v>0.05</v>
      </c>
      <c r="L646" s="3" t="n">
        <v>7.93</v>
      </c>
    </row>
    <row r="647">
      <c r="A647" s="3" t="inlineStr">
        <is>
          <t>ORD-10646</t>
        </is>
      </c>
      <c r="B647" s="6" t="n">
        <v>45733</v>
      </c>
      <c r="C647" s="3" t="inlineStr">
        <is>
          <t>Clothing</t>
        </is>
      </c>
      <c r="D647" s="3" t="inlineStr">
        <is>
          <t>Jackets</t>
        </is>
      </c>
      <c r="E647" s="3" t="inlineStr">
        <is>
          <t>Greater Accra</t>
        </is>
      </c>
      <c r="F647" s="3" t="inlineStr">
        <is>
          <t>Phone/WhatsApp</t>
        </is>
      </c>
      <c r="G647" s="3" t="inlineStr">
        <is>
          <t>Returning</t>
        </is>
      </c>
      <c r="H647" s="3" t="n">
        <v>1</v>
      </c>
      <c r="I647" s="3" t="n">
        <v>265</v>
      </c>
      <c r="J647" s="3" t="n">
        <v>132.63</v>
      </c>
      <c r="K647" s="3" t="n">
        <v>0</v>
      </c>
      <c r="L647" s="3" t="n">
        <v>18.77</v>
      </c>
    </row>
    <row r="648">
      <c r="A648" s="3" t="inlineStr">
        <is>
          <t>ORD-10647</t>
        </is>
      </c>
      <c r="B648" s="6" t="n">
        <v>45764</v>
      </c>
      <c r="C648" s="3" t="inlineStr">
        <is>
          <t>Home &amp; Lifestyle</t>
        </is>
      </c>
      <c r="D648" s="3" t="inlineStr">
        <is>
          <t>Travel Mugs</t>
        </is>
      </c>
      <c r="E648" s="3" t="inlineStr">
        <is>
          <t>Western</t>
        </is>
      </c>
      <c r="F648" s="3" t="inlineStr">
        <is>
          <t>Phone/WhatsApp</t>
        </is>
      </c>
      <c r="G648" s="3" t="inlineStr">
        <is>
          <t>Returning</t>
        </is>
      </c>
      <c r="H648" s="3" t="n">
        <v>4</v>
      </c>
      <c r="I648" s="3" t="n">
        <v>185</v>
      </c>
      <c r="J648" s="3" t="n">
        <v>108.94</v>
      </c>
      <c r="K648" s="3" t="n">
        <v>0</v>
      </c>
      <c r="L648" s="3" t="n">
        <v>11.38</v>
      </c>
    </row>
    <row r="649">
      <c r="A649" s="3" t="inlineStr">
        <is>
          <t>ORD-10648</t>
        </is>
      </c>
      <c r="B649" s="6" t="n">
        <v>45960</v>
      </c>
      <c r="C649" s="3" t="inlineStr">
        <is>
          <t>Clothing</t>
        </is>
      </c>
      <c r="D649" s="3" t="inlineStr">
        <is>
          <t>Dresses</t>
        </is>
      </c>
      <c r="E649" s="3" t="inlineStr">
        <is>
          <t>Greater Accra</t>
        </is>
      </c>
      <c r="F649" s="3" t="inlineStr">
        <is>
          <t>Online</t>
        </is>
      </c>
      <c r="G649" s="3" t="inlineStr">
        <is>
          <t>Returning</t>
        </is>
      </c>
      <c r="H649" s="3" t="n">
        <v>3</v>
      </c>
      <c r="I649" s="3" t="n">
        <v>315</v>
      </c>
      <c r="J649" s="3" t="n">
        <v>177.31</v>
      </c>
      <c r="K649" s="3" t="n">
        <v>0.1</v>
      </c>
      <c r="L649" s="3" t="n">
        <v>27.26</v>
      </c>
    </row>
    <row r="650">
      <c r="A650" s="3" t="inlineStr">
        <is>
          <t>ORD-10649</t>
        </is>
      </c>
      <c r="B650" s="6" t="n">
        <v>45886</v>
      </c>
      <c r="C650" s="3" t="inlineStr">
        <is>
          <t>Footwear</t>
        </is>
      </c>
      <c r="D650" s="3" t="inlineStr">
        <is>
          <t>Formal Shoes</t>
        </is>
      </c>
      <c r="E650" s="3" t="inlineStr">
        <is>
          <t>Ashanti</t>
        </is>
      </c>
      <c r="F650" s="3" t="inlineStr">
        <is>
          <t>Online</t>
        </is>
      </c>
      <c r="G650" s="3" t="inlineStr">
        <is>
          <t>Returning</t>
        </is>
      </c>
      <c r="H650" s="3" t="n">
        <v>6</v>
      </c>
      <c r="I650" s="3" t="n">
        <v>210</v>
      </c>
      <c r="J650" s="3" t="n">
        <v>119.72</v>
      </c>
      <c r="K650" s="3" t="n">
        <v>0.05</v>
      </c>
      <c r="L650" s="3" t="n">
        <v>26.06</v>
      </c>
    </row>
    <row r="651">
      <c r="A651" s="3" t="inlineStr">
        <is>
          <t>ORD-10650</t>
        </is>
      </c>
      <c r="B651" s="6" t="n">
        <v>45760</v>
      </c>
      <c r="C651" s="3" t="inlineStr">
        <is>
          <t>Footwear</t>
        </is>
      </c>
      <c r="D651" s="3" t="inlineStr">
        <is>
          <t>Sneakers</t>
        </is>
      </c>
      <c r="E651" s="3" t="inlineStr">
        <is>
          <t>Western</t>
        </is>
      </c>
      <c r="F651" s="3" t="inlineStr">
        <is>
          <t>Retail Shop</t>
        </is>
      </c>
      <c r="G651" s="3" t="inlineStr">
        <is>
          <t>New</t>
        </is>
      </c>
      <c r="H651" s="3" t="n">
        <v>2</v>
      </c>
      <c r="I651" s="3" t="n">
        <v>210</v>
      </c>
      <c r="J651" s="3" t="n">
        <v>130.71</v>
      </c>
      <c r="K651" s="3" t="n">
        <v>0</v>
      </c>
      <c r="L651" s="3" t="n">
        <v>3.28</v>
      </c>
    </row>
    <row r="652">
      <c r="A652" s="3" t="inlineStr">
        <is>
          <t>ORD-10651</t>
        </is>
      </c>
      <c r="B652" s="6" t="n">
        <v>45908</v>
      </c>
      <c r="C652" s="3" t="inlineStr">
        <is>
          <t>Home &amp; Lifestyle</t>
        </is>
      </c>
      <c r="D652" s="3" t="inlineStr">
        <is>
          <t>Backpacks</t>
        </is>
      </c>
      <c r="E652" s="3" t="inlineStr">
        <is>
          <t>Greater Accra</t>
        </is>
      </c>
      <c r="F652" s="3" t="inlineStr">
        <is>
          <t>Online</t>
        </is>
      </c>
      <c r="G652" s="3" t="inlineStr">
        <is>
          <t>New</t>
        </is>
      </c>
      <c r="H652" s="3" t="n">
        <v>3</v>
      </c>
      <c r="I652" s="3" t="n">
        <v>115</v>
      </c>
      <c r="J652" s="3" t="n">
        <v>62.13</v>
      </c>
      <c r="K652" s="3" t="n">
        <v>0</v>
      </c>
      <c r="L652" s="3" t="n">
        <v>42.53</v>
      </c>
    </row>
    <row r="653">
      <c r="A653" s="3" t="inlineStr">
        <is>
          <t>ORD-10652</t>
        </is>
      </c>
      <c r="B653" s="6" t="n">
        <v>45760</v>
      </c>
      <c r="C653" s="3" t="inlineStr">
        <is>
          <t>Footwear</t>
        </is>
      </c>
      <c r="D653" s="3" t="inlineStr">
        <is>
          <t>Sandals</t>
        </is>
      </c>
      <c r="E653" s="3" t="inlineStr">
        <is>
          <t>Ashanti</t>
        </is>
      </c>
      <c r="F653" s="3" t="inlineStr">
        <is>
          <t>Online</t>
        </is>
      </c>
      <c r="G653" s="3" t="inlineStr">
        <is>
          <t>Returning</t>
        </is>
      </c>
      <c r="H653" s="3" t="n">
        <v>10</v>
      </c>
      <c r="I653" s="3" t="n">
        <v>240</v>
      </c>
      <c r="J653" s="3" t="n">
        <v>148.58</v>
      </c>
      <c r="K653" s="3" t="n">
        <v>0</v>
      </c>
      <c r="L653" s="3" t="n">
        <v>21.04</v>
      </c>
    </row>
    <row r="654">
      <c r="A654" s="3" t="inlineStr">
        <is>
          <t>ORD-10653</t>
        </is>
      </c>
      <c r="B654" s="6" t="n">
        <v>45793</v>
      </c>
      <c r="C654" s="3" t="inlineStr">
        <is>
          <t>Footwear</t>
        </is>
      </c>
      <c r="D654" s="3" t="inlineStr">
        <is>
          <t>Formal Shoes</t>
        </is>
      </c>
      <c r="E654" s="3" t="inlineStr">
        <is>
          <t>Greater Accra</t>
        </is>
      </c>
      <c r="F654" s="3" t="inlineStr">
        <is>
          <t>Retail Shop</t>
        </is>
      </c>
      <c r="G654" s="3" t="inlineStr">
        <is>
          <t>New</t>
        </is>
      </c>
      <c r="H654" s="3" t="n">
        <v>2</v>
      </c>
      <c r="I654" s="3" t="n">
        <v>370</v>
      </c>
      <c r="J654" s="3" t="n">
        <v>235.88</v>
      </c>
      <c r="K654" s="3" t="n">
        <v>0</v>
      </c>
      <c r="L654" s="3" t="n">
        <v>7.15</v>
      </c>
    </row>
    <row r="655">
      <c r="A655" s="3" t="inlineStr">
        <is>
          <t>ORD-10654</t>
        </is>
      </c>
      <c r="B655" s="6" t="n">
        <v>45824</v>
      </c>
      <c r="C655" s="3" t="inlineStr">
        <is>
          <t>Clothing</t>
        </is>
      </c>
      <c r="D655" s="3" t="inlineStr">
        <is>
          <t>Trousers</t>
        </is>
      </c>
      <c r="E655" s="3" t="inlineStr">
        <is>
          <t>Central</t>
        </is>
      </c>
      <c r="F655" s="3" t="inlineStr">
        <is>
          <t>Retail Shop</t>
        </is>
      </c>
      <c r="G655" s="3" t="inlineStr">
        <is>
          <t>Returning</t>
        </is>
      </c>
      <c r="H655" s="3" t="n">
        <v>4</v>
      </c>
      <c r="I655" s="3" t="n">
        <v>170</v>
      </c>
      <c r="J655" s="3" t="n">
        <v>86.90000000000001</v>
      </c>
      <c r="K655" s="3" t="n">
        <v>0</v>
      </c>
      <c r="L655" s="3" t="n">
        <v>9.49</v>
      </c>
    </row>
    <row r="656">
      <c r="A656" s="3" t="inlineStr">
        <is>
          <t>ORD-10655</t>
        </is>
      </c>
      <c r="B656" s="6" t="n">
        <v>45760</v>
      </c>
      <c r="C656" s="3" t="inlineStr">
        <is>
          <t>Accessories</t>
        </is>
      </c>
      <c r="D656" s="3" t="inlineStr">
        <is>
          <t>Watches</t>
        </is>
      </c>
      <c r="E656" s="3" t="inlineStr">
        <is>
          <t>Western</t>
        </is>
      </c>
      <c r="F656" s="3" t="inlineStr">
        <is>
          <t>Phone/WhatsApp</t>
        </is>
      </c>
      <c r="G656" s="3" t="inlineStr">
        <is>
          <t>Returning</t>
        </is>
      </c>
      <c r="H656" s="3" t="n">
        <v>4</v>
      </c>
      <c r="I656" s="3" t="n">
        <v>70</v>
      </c>
      <c r="J656" s="3" t="n">
        <v>36.64</v>
      </c>
      <c r="K656" s="3" t="n">
        <v>0</v>
      </c>
      <c r="L656" s="3" t="n">
        <v>36</v>
      </c>
    </row>
    <row r="657">
      <c r="A657" s="3" t="inlineStr">
        <is>
          <t>ORD-10656</t>
        </is>
      </c>
      <c r="B657" s="6" t="n">
        <v>45924</v>
      </c>
      <c r="C657" s="3" t="inlineStr">
        <is>
          <t>Clothing</t>
        </is>
      </c>
      <c r="D657" s="3" t="inlineStr">
        <is>
          <t>Jackets</t>
        </is>
      </c>
      <c r="E657" s="3" t="inlineStr">
        <is>
          <t>Greater Accra</t>
        </is>
      </c>
      <c r="F657" s="3" t="inlineStr">
        <is>
          <t>Phone/WhatsApp</t>
        </is>
      </c>
      <c r="G657" s="3" t="inlineStr">
        <is>
          <t>New</t>
        </is>
      </c>
      <c r="H657" s="3" t="n">
        <v>2</v>
      </c>
      <c r="I657" s="3" t="n">
        <v>185</v>
      </c>
      <c r="J657" s="3" t="n">
        <v>96.43000000000001</v>
      </c>
      <c r="K657" s="3" t="n">
        <v>0</v>
      </c>
      <c r="L657" s="3" t="n">
        <v>20.25</v>
      </c>
    </row>
    <row r="658">
      <c r="A658" s="3" t="inlineStr">
        <is>
          <t>ORD-10657</t>
        </is>
      </c>
      <c r="B658" s="6" t="n">
        <v>45893</v>
      </c>
      <c r="C658" s="3" t="inlineStr">
        <is>
          <t>Footwear</t>
        </is>
      </c>
      <c r="D658" s="3" t="inlineStr">
        <is>
          <t>Boots</t>
        </is>
      </c>
      <c r="E658" s="3" t="inlineStr">
        <is>
          <t>Ashanti</t>
        </is>
      </c>
      <c r="F658" s="3" t="inlineStr">
        <is>
          <t>Phone/WhatsApp</t>
        </is>
      </c>
      <c r="G658" s="3" t="inlineStr">
        <is>
          <t>New</t>
        </is>
      </c>
      <c r="H658" s="3" t="n">
        <v>2</v>
      </c>
      <c r="I658" s="3" t="n">
        <v>285</v>
      </c>
      <c r="J658" s="3" t="n">
        <v>157.39</v>
      </c>
      <c r="K658" s="3" t="n">
        <v>0.1</v>
      </c>
      <c r="L658" s="3" t="n">
        <v>28.04</v>
      </c>
    </row>
    <row r="659">
      <c r="A659" s="3" t="inlineStr">
        <is>
          <t>ORD-10658</t>
        </is>
      </c>
      <c r="B659" s="6" t="n">
        <v>45982</v>
      </c>
      <c r="C659" s="3" t="inlineStr">
        <is>
          <t>Clothing</t>
        </is>
      </c>
      <c r="D659" s="3" t="inlineStr">
        <is>
          <t>Shirts</t>
        </is>
      </c>
      <c r="E659" s="3" t="inlineStr">
        <is>
          <t>Greater Accra</t>
        </is>
      </c>
      <c r="F659" s="3" t="inlineStr">
        <is>
          <t>Online</t>
        </is>
      </c>
      <c r="G659" s="3" t="inlineStr">
        <is>
          <t>Returning</t>
        </is>
      </c>
      <c r="H659" s="3" t="n">
        <v>1</v>
      </c>
      <c r="I659" s="3" t="n">
        <v>245</v>
      </c>
      <c r="J659" s="3" t="n">
        <v>121.63</v>
      </c>
      <c r="K659" s="3" t="n">
        <v>0.15</v>
      </c>
      <c r="L659" s="3" t="n">
        <v>39.93</v>
      </c>
    </row>
    <row r="660">
      <c r="A660" s="3" t="inlineStr">
        <is>
          <t>ORD-10659</t>
        </is>
      </c>
      <c r="B660" s="6" t="n">
        <v>45782</v>
      </c>
      <c r="C660" s="3" t="inlineStr">
        <is>
          <t>Footwear</t>
        </is>
      </c>
      <c r="D660" s="3" t="inlineStr">
        <is>
          <t>Sneakers</t>
        </is>
      </c>
      <c r="E660" s="3" t="inlineStr">
        <is>
          <t>Central</t>
        </is>
      </c>
      <c r="F660" s="3" t="inlineStr">
        <is>
          <t>Retail Shop</t>
        </is>
      </c>
      <c r="G660" s="3" t="inlineStr">
        <is>
          <t>Returning</t>
        </is>
      </c>
      <c r="H660" s="3" t="n">
        <v>2</v>
      </c>
      <c r="I660" s="3" t="n">
        <v>220</v>
      </c>
      <c r="J660" s="3" t="n">
        <v>129.33</v>
      </c>
      <c r="K660" s="3" t="n">
        <v>0.05</v>
      </c>
      <c r="L660" s="3" t="n">
        <v>7.96</v>
      </c>
    </row>
    <row r="661">
      <c r="A661" s="3" t="inlineStr">
        <is>
          <t>ORD-10660</t>
        </is>
      </c>
      <c r="B661" s="6" t="n">
        <v>45946</v>
      </c>
      <c r="C661" s="3" t="inlineStr">
        <is>
          <t>Footwear</t>
        </is>
      </c>
      <c r="D661" s="3" t="inlineStr">
        <is>
          <t>Boots</t>
        </is>
      </c>
      <c r="E661" s="3" t="inlineStr">
        <is>
          <t>Northern</t>
        </is>
      </c>
      <c r="F661" s="3" t="inlineStr">
        <is>
          <t>Retail Shop</t>
        </is>
      </c>
      <c r="G661" s="3" t="inlineStr">
        <is>
          <t>Returning</t>
        </is>
      </c>
      <c r="H661" s="3" t="n">
        <v>3</v>
      </c>
      <c r="I661" s="3" t="n">
        <v>385</v>
      </c>
      <c r="J661" s="3" t="n">
        <v>210.9</v>
      </c>
      <c r="K661" s="3" t="n">
        <v>0.2</v>
      </c>
      <c r="L661" s="3" t="n">
        <v>3.56</v>
      </c>
    </row>
    <row r="662">
      <c r="A662" s="3" t="inlineStr">
        <is>
          <t>ORD-10661</t>
        </is>
      </c>
      <c r="B662" s="6" t="n">
        <v>45922</v>
      </c>
      <c r="C662" s="3" t="inlineStr">
        <is>
          <t>Footwear</t>
        </is>
      </c>
      <c r="D662" s="3" t="inlineStr">
        <is>
          <t>Sneakers</t>
        </is>
      </c>
      <c r="E662" s="3" t="inlineStr">
        <is>
          <t>Greater Accra</t>
        </is>
      </c>
      <c r="F662" s="3" t="inlineStr">
        <is>
          <t>Retail Shop</t>
        </is>
      </c>
      <c r="G662" s="3" t="inlineStr">
        <is>
          <t>New</t>
        </is>
      </c>
      <c r="H662" s="3" t="n">
        <v>4</v>
      </c>
      <c r="I662" s="3" t="n">
        <v>350</v>
      </c>
      <c r="J662" s="3" t="n">
        <v>184.81</v>
      </c>
      <c r="K662" s="3" t="n">
        <v>0.15</v>
      </c>
      <c r="L662" s="3" t="n">
        <v>5.07</v>
      </c>
    </row>
    <row r="663">
      <c r="A663" s="3" t="inlineStr">
        <is>
          <t>ORD-10662</t>
        </is>
      </c>
      <c r="B663" s="6" t="n">
        <v>45793</v>
      </c>
      <c r="C663" s="3" t="inlineStr">
        <is>
          <t>Clothing</t>
        </is>
      </c>
      <c r="D663" s="3" t="inlineStr">
        <is>
          <t>Shirts</t>
        </is>
      </c>
      <c r="E663" s="3" t="inlineStr">
        <is>
          <t>Ashanti</t>
        </is>
      </c>
      <c r="F663" s="3" t="inlineStr">
        <is>
          <t>Retail Shop</t>
        </is>
      </c>
      <c r="G663" s="3" t="inlineStr">
        <is>
          <t>Returning</t>
        </is>
      </c>
      <c r="H663" s="3" t="n">
        <v>1</v>
      </c>
      <c r="I663" s="3" t="n">
        <v>170</v>
      </c>
      <c r="J663" s="3" t="n">
        <v>88.48999999999999</v>
      </c>
      <c r="K663" s="3" t="n">
        <v>0</v>
      </c>
      <c r="L663" s="3" t="n">
        <v>4.52</v>
      </c>
    </row>
    <row r="664">
      <c r="A664" s="3" t="inlineStr">
        <is>
          <t>ORD-10663</t>
        </is>
      </c>
      <c r="B664" s="6" t="n">
        <v>45682</v>
      </c>
      <c r="C664" s="3" t="inlineStr">
        <is>
          <t>Clothing</t>
        </is>
      </c>
      <c r="D664" s="3" t="inlineStr">
        <is>
          <t>Dresses</t>
        </is>
      </c>
      <c r="E664" s="3" t="inlineStr">
        <is>
          <t>Ashanti</t>
        </is>
      </c>
      <c r="F664" s="3" t="inlineStr">
        <is>
          <t>Online</t>
        </is>
      </c>
      <c r="G664" s="3" t="inlineStr">
        <is>
          <t>New</t>
        </is>
      </c>
      <c r="H664" s="3" t="n">
        <v>1</v>
      </c>
      <c r="I664" s="3" t="n">
        <v>75</v>
      </c>
      <c r="J664" s="3" t="n">
        <v>37.88</v>
      </c>
      <c r="K664" s="3" t="n">
        <v>0</v>
      </c>
      <c r="L664" s="3" t="n">
        <v>35.33</v>
      </c>
    </row>
    <row r="665">
      <c r="A665" s="3" t="inlineStr">
        <is>
          <t>ORD-10664</t>
        </is>
      </c>
      <c r="B665" s="6" t="n">
        <v>45933</v>
      </c>
      <c r="C665" s="3" t="inlineStr">
        <is>
          <t>Footwear</t>
        </is>
      </c>
      <c r="D665" s="3" t="inlineStr">
        <is>
          <t>Sandals</t>
        </is>
      </c>
      <c r="E665" s="3" t="inlineStr">
        <is>
          <t>Central</t>
        </is>
      </c>
      <c r="F665" s="3" t="inlineStr">
        <is>
          <t>Phone/WhatsApp</t>
        </is>
      </c>
      <c r="G665" s="3" t="inlineStr">
        <is>
          <t>New</t>
        </is>
      </c>
      <c r="H665" s="3" t="n">
        <v>4</v>
      </c>
      <c r="I665" s="3" t="n">
        <v>320</v>
      </c>
      <c r="J665" s="3" t="n">
        <v>165.51</v>
      </c>
      <c r="K665" s="3" t="n">
        <v>0.15</v>
      </c>
      <c r="L665" s="3" t="n">
        <v>21.29</v>
      </c>
    </row>
    <row r="666">
      <c r="A666" s="3" t="inlineStr">
        <is>
          <t>ORD-10665</t>
        </is>
      </c>
      <c r="B666" s="6" t="n">
        <v>45703</v>
      </c>
      <c r="C666" s="3" t="inlineStr">
        <is>
          <t>Home &amp; Lifestyle</t>
        </is>
      </c>
      <c r="D666" s="3" t="inlineStr">
        <is>
          <t>Small Home Goods</t>
        </is>
      </c>
      <c r="E666" s="3" t="inlineStr">
        <is>
          <t>Ashanti</t>
        </is>
      </c>
      <c r="F666" s="3" t="inlineStr">
        <is>
          <t>Phone/WhatsApp</t>
        </is>
      </c>
      <c r="G666" s="3" t="inlineStr">
        <is>
          <t>Returning</t>
        </is>
      </c>
      <c r="H666" s="3" t="n">
        <v>1</v>
      </c>
      <c r="I666" s="3" t="n">
        <v>85</v>
      </c>
      <c r="J666" s="3" t="n">
        <v>52.15</v>
      </c>
      <c r="K666" s="3" t="n">
        <v>0.05</v>
      </c>
      <c r="L666" s="3" t="n">
        <v>24.36</v>
      </c>
    </row>
    <row r="667">
      <c r="A667" s="3" t="inlineStr">
        <is>
          <t>ORD-10666</t>
        </is>
      </c>
      <c r="B667" s="6" t="n">
        <v>45998</v>
      </c>
      <c r="C667" s="3" t="inlineStr">
        <is>
          <t>Footwear</t>
        </is>
      </c>
      <c r="D667" s="3" t="inlineStr">
        <is>
          <t>Boots</t>
        </is>
      </c>
      <c r="E667" s="3" t="inlineStr">
        <is>
          <t>Ashanti</t>
        </is>
      </c>
      <c r="F667" s="3" t="inlineStr">
        <is>
          <t>Retail Shop</t>
        </is>
      </c>
      <c r="G667" s="3" t="inlineStr">
        <is>
          <t>Returning</t>
        </is>
      </c>
      <c r="H667" s="3" t="n">
        <v>3</v>
      </c>
      <c r="I667" s="3" t="n">
        <v>240</v>
      </c>
      <c r="J667" s="3" t="n">
        <v>149.69</v>
      </c>
      <c r="K667" s="3" t="n">
        <v>0</v>
      </c>
      <c r="L667" s="3" t="n">
        <v>8.94</v>
      </c>
    </row>
    <row r="668">
      <c r="A668" s="3" t="inlineStr">
        <is>
          <t>ORD-10667</t>
        </is>
      </c>
      <c r="B668" s="6" t="n">
        <v>45728</v>
      </c>
      <c r="C668" s="3" t="inlineStr">
        <is>
          <t>Footwear</t>
        </is>
      </c>
      <c r="D668" s="3" t="inlineStr">
        <is>
          <t>Sneakers</t>
        </is>
      </c>
      <c r="E668" s="3" t="inlineStr">
        <is>
          <t>Greater Accra</t>
        </is>
      </c>
      <c r="F668" s="3" t="inlineStr">
        <is>
          <t>Online</t>
        </is>
      </c>
      <c r="G668" s="3" t="inlineStr">
        <is>
          <t>Returning</t>
        </is>
      </c>
      <c r="H668" s="3" t="n">
        <v>1</v>
      </c>
      <c r="I668" s="3" t="n">
        <v>280</v>
      </c>
      <c r="J668" s="3" t="n">
        <v>171.39</v>
      </c>
      <c r="K668" s="3" t="n">
        <v>0</v>
      </c>
      <c r="L668" s="3" t="n">
        <v>30.03</v>
      </c>
    </row>
    <row r="669">
      <c r="A669" s="3" t="inlineStr">
        <is>
          <t>ORD-10668</t>
        </is>
      </c>
      <c r="B669" s="6" t="n">
        <v>45719</v>
      </c>
      <c r="C669" s="3" t="inlineStr">
        <is>
          <t>Accessories</t>
        </is>
      </c>
      <c r="D669" s="3" t="inlineStr">
        <is>
          <t>Belts</t>
        </is>
      </c>
      <c r="E669" s="3" t="inlineStr">
        <is>
          <t>Greater Accra</t>
        </is>
      </c>
      <c r="F669" s="3" t="inlineStr">
        <is>
          <t>Phone/WhatsApp</t>
        </is>
      </c>
      <c r="G669" s="3" t="inlineStr">
        <is>
          <t>Returning</t>
        </is>
      </c>
      <c r="H669" s="3" t="n">
        <v>2</v>
      </c>
      <c r="I669" s="3" t="n">
        <v>105</v>
      </c>
      <c r="J669" s="3" t="n">
        <v>49.52</v>
      </c>
      <c r="K669" s="3" t="n">
        <v>0.1</v>
      </c>
      <c r="L669" s="3" t="n">
        <v>19.46</v>
      </c>
    </row>
    <row r="670">
      <c r="A670" s="3" t="inlineStr">
        <is>
          <t>ORD-10669</t>
        </is>
      </c>
      <c r="B670" s="6" t="n">
        <v>45916</v>
      </c>
      <c r="C670" s="3" t="inlineStr">
        <is>
          <t>Clothing</t>
        </is>
      </c>
      <c r="D670" s="3" t="inlineStr">
        <is>
          <t>Trousers</t>
        </is>
      </c>
      <c r="E670" s="3" t="inlineStr">
        <is>
          <t>Greater Accra</t>
        </is>
      </c>
      <c r="F670" s="3" t="inlineStr">
        <is>
          <t>Retail Shop</t>
        </is>
      </c>
      <c r="G670" s="3" t="inlineStr">
        <is>
          <t>Returning</t>
        </is>
      </c>
      <c r="H670" s="3" t="n">
        <v>4</v>
      </c>
      <c r="I670" s="3" t="n">
        <v>220</v>
      </c>
      <c r="J670" s="3" t="n">
        <v>116.1</v>
      </c>
      <c r="K670" s="3" t="n">
        <v>0</v>
      </c>
      <c r="L670" s="3" t="n">
        <v>2.52</v>
      </c>
    </row>
    <row r="671">
      <c r="A671" s="3" t="inlineStr">
        <is>
          <t>ORD-10670</t>
        </is>
      </c>
      <c r="B671" s="6" t="n">
        <v>45975</v>
      </c>
      <c r="C671" s="3" t="inlineStr">
        <is>
          <t>Clothing</t>
        </is>
      </c>
      <c r="D671" s="3" t="inlineStr">
        <is>
          <t>Jackets</t>
        </is>
      </c>
      <c r="E671" s="3" t="inlineStr">
        <is>
          <t>Ashanti</t>
        </is>
      </c>
      <c r="F671" s="3" t="inlineStr">
        <is>
          <t>Retail Shop</t>
        </is>
      </c>
      <c r="G671" s="3" t="inlineStr">
        <is>
          <t>Returning</t>
        </is>
      </c>
      <c r="H671" s="3" t="n">
        <v>2</v>
      </c>
      <c r="I671" s="3" t="n">
        <v>155</v>
      </c>
      <c r="J671" s="3" t="n">
        <v>73.75</v>
      </c>
      <c r="K671" s="3" t="n">
        <v>0</v>
      </c>
      <c r="L671" s="3" t="n">
        <v>11.48</v>
      </c>
    </row>
    <row r="672">
      <c r="A672" s="3" t="inlineStr">
        <is>
          <t>ORD-10671</t>
        </is>
      </c>
      <c r="B672" s="6" t="n">
        <v>45944</v>
      </c>
      <c r="C672" s="3" t="inlineStr">
        <is>
          <t>Clothing</t>
        </is>
      </c>
      <c r="D672" s="3" t="inlineStr">
        <is>
          <t>Jackets</t>
        </is>
      </c>
      <c r="E672" s="3" t="inlineStr">
        <is>
          <t>Western</t>
        </is>
      </c>
      <c r="F672" s="3" t="inlineStr">
        <is>
          <t>Phone/WhatsApp</t>
        </is>
      </c>
      <c r="G672" s="3" t="inlineStr">
        <is>
          <t>Returning</t>
        </is>
      </c>
      <c r="H672" s="3" t="n">
        <v>2</v>
      </c>
      <c r="I672" s="3" t="n">
        <v>140</v>
      </c>
      <c r="J672" s="3" t="n">
        <v>73.87</v>
      </c>
      <c r="K672" s="3" t="n">
        <v>0.1</v>
      </c>
      <c r="L672" s="3" t="n">
        <v>42.37</v>
      </c>
    </row>
    <row r="673">
      <c r="A673" s="3" t="inlineStr">
        <is>
          <t>ORD-10672</t>
        </is>
      </c>
      <c r="B673" s="6" t="n">
        <v>45982</v>
      </c>
      <c r="C673" s="3" t="inlineStr">
        <is>
          <t>Footwear</t>
        </is>
      </c>
      <c r="D673" s="3" t="inlineStr">
        <is>
          <t>Sandals</t>
        </is>
      </c>
      <c r="E673" s="3" t="inlineStr">
        <is>
          <t>Ashanti</t>
        </is>
      </c>
      <c r="F673" s="3" t="inlineStr">
        <is>
          <t>Retail Shop</t>
        </is>
      </c>
      <c r="G673" s="3" t="inlineStr">
        <is>
          <t>Returning</t>
        </is>
      </c>
      <c r="H673" s="3" t="n">
        <v>3</v>
      </c>
      <c r="I673" s="3" t="n">
        <v>290</v>
      </c>
      <c r="J673" s="3" t="n">
        <v>177.06</v>
      </c>
      <c r="K673" s="3" t="n">
        <v>0</v>
      </c>
      <c r="L673" s="3" t="n">
        <v>1.02</v>
      </c>
    </row>
    <row r="674">
      <c r="A674" s="3" t="inlineStr">
        <is>
          <t>ORD-10673</t>
        </is>
      </c>
      <c r="B674" s="6" t="n">
        <v>45852</v>
      </c>
      <c r="C674" s="3" t="inlineStr">
        <is>
          <t>Footwear</t>
        </is>
      </c>
      <c r="D674" s="3" t="inlineStr">
        <is>
          <t>Sneakers</t>
        </is>
      </c>
      <c r="E674" s="3" t="inlineStr">
        <is>
          <t>Northern</t>
        </is>
      </c>
      <c r="F674" s="3" t="inlineStr">
        <is>
          <t>Retail Shop</t>
        </is>
      </c>
      <c r="G674" s="3" t="inlineStr">
        <is>
          <t>Returning</t>
        </is>
      </c>
      <c r="H674" s="3" t="n">
        <v>1</v>
      </c>
      <c r="I674" s="3" t="n">
        <v>305</v>
      </c>
      <c r="J674" s="3" t="n">
        <v>182.37</v>
      </c>
      <c r="K674" s="3" t="n">
        <v>0.05</v>
      </c>
      <c r="L674" s="3" t="n">
        <v>11.38</v>
      </c>
    </row>
    <row r="675">
      <c r="A675" s="3" t="inlineStr">
        <is>
          <t>ORD-10674</t>
        </is>
      </c>
      <c r="B675" s="6" t="n">
        <v>45707</v>
      </c>
      <c r="C675" s="3" t="inlineStr">
        <is>
          <t>Clothing</t>
        </is>
      </c>
      <c r="D675" s="3" t="inlineStr">
        <is>
          <t>Shirts</t>
        </is>
      </c>
      <c r="E675" s="3" t="inlineStr">
        <is>
          <t>Central</t>
        </is>
      </c>
      <c r="F675" s="3" t="inlineStr">
        <is>
          <t>Phone/WhatsApp</t>
        </is>
      </c>
      <c r="G675" s="3" t="inlineStr">
        <is>
          <t>Returning</t>
        </is>
      </c>
      <c r="H675" s="3" t="n">
        <v>2</v>
      </c>
      <c r="I675" s="3" t="n">
        <v>340</v>
      </c>
      <c r="J675" s="3" t="n">
        <v>162.99</v>
      </c>
      <c r="K675" s="3" t="n">
        <v>0</v>
      </c>
      <c r="L675" s="3" t="n">
        <v>25.56</v>
      </c>
    </row>
    <row r="676">
      <c r="A676" s="3" t="inlineStr">
        <is>
          <t>ORD-10675</t>
        </is>
      </c>
      <c r="B676" s="6" t="n">
        <v>45821</v>
      </c>
      <c r="C676" s="3" t="inlineStr">
        <is>
          <t>Footwear</t>
        </is>
      </c>
      <c r="D676" s="3" t="inlineStr">
        <is>
          <t>Sneakers</t>
        </is>
      </c>
      <c r="E676" s="3" t="inlineStr">
        <is>
          <t>Central</t>
        </is>
      </c>
      <c r="F676" s="3" t="inlineStr">
        <is>
          <t>Retail Shop</t>
        </is>
      </c>
      <c r="G676" s="3" t="inlineStr">
        <is>
          <t>Returning</t>
        </is>
      </c>
      <c r="H676" s="3" t="n">
        <v>5</v>
      </c>
      <c r="I676" s="3" t="n">
        <v>285</v>
      </c>
      <c r="J676" s="3" t="n">
        <v>152.26</v>
      </c>
      <c r="K676" s="3" t="n">
        <v>0.15</v>
      </c>
      <c r="L676" s="3" t="n">
        <v>0.4</v>
      </c>
    </row>
    <row r="677">
      <c r="A677" s="3" t="inlineStr">
        <is>
          <t>ORD-10676</t>
        </is>
      </c>
      <c r="B677" s="6" t="n">
        <v>45978</v>
      </c>
      <c r="C677" s="3" t="inlineStr">
        <is>
          <t>Footwear</t>
        </is>
      </c>
      <c r="D677" s="3" t="inlineStr">
        <is>
          <t>Boots</t>
        </is>
      </c>
      <c r="E677" s="3" t="inlineStr">
        <is>
          <t>Central</t>
        </is>
      </c>
      <c r="F677" s="3" t="inlineStr">
        <is>
          <t>Phone/WhatsApp</t>
        </is>
      </c>
      <c r="G677" s="3" t="inlineStr">
        <is>
          <t>Returning</t>
        </is>
      </c>
      <c r="H677" s="3" t="n">
        <v>4</v>
      </c>
      <c r="I677" s="3" t="n">
        <v>485</v>
      </c>
      <c r="J677" s="3" t="n">
        <v>293.04</v>
      </c>
      <c r="K677" s="3" t="n">
        <v>0</v>
      </c>
      <c r="L677" s="3" t="n">
        <v>15.36</v>
      </c>
    </row>
    <row r="678">
      <c r="A678" s="3" t="inlineStr">
        <is>
          <t>ORD-10677</t>
        </is>
      </c>
      <c r="B678" s="6" t="n">
        <v>45936</v>
      </c>
      <c r="C678" s="3" t="inlineStr">
        <is>
          <t>Accessories</t>
        </is>
      </c>
      <c r="D678" s="3" t="inlineStr">
        <is>
          <t>Bags</t>
        </is>
      </c>
      <c r="E678" s="3" t="inlineStr">
        <is>
          <t>Ashanti</t>
        </is>
      </c>
      <c r="F678" s="3" t="inlineStr">
        <is>
          <t>Retail Shop</t>
        </is>
      </c>
      <c r="G678" s="3" t="inlineStr">
        <is>
          <t>New</t>
        </is>
      </c>
      <c r="H678" s="3" t="n">
        <v>1</v>
      </c>
      <c r="I678" s="3" t="n">
        <v>115</v>
      </c>
      <c r="J678" s="3" t="n">
        <v>58.95</v>
      </c>
      <c r="K678" s="3" t="n">
        <v>0</v>
      </c>
      <c r="L678" s="3" t="n">
        <v>8.98</v>
      </c>
    </row>
    <row r="679">
      <c r="A679" s="3" t="inlineStr">
        <is>
          <t>ORD-10678</t>
        </is>
      </c>
      <c r="B679" s="6" t="n">
        <v>45941</v>
      </c>
      <c r="C679" s="3" t="inlineStr">
        <is>
          <t>Accessories</t>
        </is>
      </c>
      <c r="D679" s="3" t="inlineStr">
        <is>
          <t>Bags</t>
        </is>
      </c>
      <c r="E679" s="3" t="inlineStr">
        <is>
          <t>Greater Accra</t>
        </is>
      </c>
      <c r="F679" s="3" t="inlineStr">
        <is>
          <t>Phone/WhatsApp</t>
        </is>
      </c>
      <c r="G679" s="3" t="inlineStr">
        <is>
          <t>Returning</t>
        </is>
      </c>
      <c r="H679" s="3" t="n">
        <v>2</v>
      </c>
      <c r="I679" s="3" t="n">
        <v>75</v>
      </c>
      <c r="J679" s="3" t="n">
        <v>31.7</v>
      </c>
      <c r="K679" s="3" t="n">
        <v>0.05</v>
      </c>
      <c r="L679" s="3" t="n">
        <v>29.18</v>
      </c>
    </row>
    <row r="680">
      <c r="A680" s="3" t="inlineStr">
        <is>
          <t>ORD-10679</t>
        </is>
      </c>
      <c r="B680" s="6" t="n">
        <v>45859</v>
      </c>
      <c r="C680" s="3" t="inlineStr">
        <is>
          <t>Clothing</t>
        </is>
      </c>
      <c r="D680" s="3" t="inlineStr">
        <is>
          <t>Jackets</t>
        </is>
      </c>
      <c r="E680" s="3" t="inlineStr">
        <is>
          <t>Ashanti</t>
        </is>
      </c>
      <c r="F680" s="3" t="inlineStr">
        <is>
          <t>Retail Shop</t>
        </is>
      </c>
      <c r="G680" s="3" t="inlineStr">
        <is>
          <t>New</t>
        </is>
      </c>
      <c r="H680" s="3" t="n">
        <v>5</v>
      </c>
      <c r="I680" s="3" t="n">
        <v>265</v>
      </c>
      <c r="J680" s="3" t="n">
        <v>146.88</v>
      </c>
      <c r="K680" s="3" t="n">
        <v>0.05</v>
      </c>
      <c r="L680" s="3" t="n">
        <v>8.85</v>
      </c>
    </row>
    <row r="681">
      <c r="A681" s="3" t="inlineStr">
        <is>
          <t>ORD-10680</t>
        </is>
      </c>
      <c r="B681" s="6" t="n">
        <v>45701</v>
      </c>
      <c r="C681" s="3" t="inlineStr">
        <is>
          <t>Home &amp; Lifestyle</t>
        </is>
      </c>
      <c r="D681" s="3" t="inlineStr">
        <is>
          <t>Travel Mugs</t>
        </is>
      </c>
      <c r="E681" s="3" t="inlineStr">
        <is>
          <t>Greater Accra</t>
        </is>
      </c>
      <c r="F681" s="3" t="inlineStr">
        <is>
          <t>Retail Shop</t>
        </is>
      </c>
      <c r="G681" s="3" t="inlineStr">
        <is>
          <t>New</t>
        </is>
      </c>
      <c r="H681" s="3" t="n">
        <v>1</v>
      </c>
      <c r="I681" s="3" t="n">
        <v>105</v>
      </c>
      <c r="J681" s="3" t="n">
        <v>53.74</v>
      </c>
      <c r="K681" s="3" t="n">
        <v>0.05</v>
      </c>
      <c r="L681" s="3" t="n">
        <v>9.75</v>
      </c>
    </row>
    <row r="682">
      <c r="A682" s="3" t="inlineStr">
        <is>
          <t>ORD-10681</t>
        </is>
      </c>
      <c r="B682" s="6" t="n">
        <v>45971</v>
      </c>
      <c r="C682" s="3" t="inlineStr">
        <is>
          <t>Footwear</t>
        </is>
      </c>
      <c r="D682" s="3" t="inlineStr">
        <is>
          <t>Formal Shoes</t>
        </is>
      </c>
      <c r="E682" s="3" t="inlineStr">
        <is>
          <t>Greater Accra</t>
        </is>
      </c>
      <c r="F682" s="3" t="inlineStr">
        <is>
          <t>Online</t>
        </is>
      </c>
      <c r="G682" s="3" t="inlineStr">
        <is>
          <t>New</t>
        </is>
      </c>
      <c r="H682" s="3" t="n">
        <v>2</v>
      </c>
      <c r="I682" s="3" t="n">
        <v>275</v>
      </c>
      <c r="J682" s="3" t="n">
        <v>151.01</v>
      </c>
      <c r="K682" s="3" t="n">
        <v>0.2</v>
      </c>
      <c r="L682" s="3" t="n">
        <v>29.08</v>
      </c>
    </row>
    <row r="683">
      <c r="A683" s="3" t="inlineStr">
        <is>
          <t>ORD-10682</t>
        </is>
      </c>
      <c r="B683" s="6" t="n">
        <v>45837</v>
      </c>
      <c r="C683" s="3" t="inlineStr">
        <is>
          <t>Accessories</t>
        </is>
      </c>
      <c r="D683" s="3" t="inlineStr">
        <is>
          <t>Watches</t>
        </is>
      </c>
      <c r="E683" s="3" t="inlineStr">
        <is>
          <t>Western</t>
        </is>
      </c>
      <c r="F683" s="3" t="inlineStr">
        <is>
          <t>Phone/WhatsApp</t>
        </is>
      </c>
      <c r="G683" s="3" t="inlineStr">
        <is>
          <t>Returning</t>
        </is>
      </c>
      <c r="H683" s="3" t="n">
        <v>2</v>
      </c>
      <c r="I683" s="3" t="n">
        <v>100</v>
      </c>
      <c r="J683" s="3" t="n">
        <v>47.25</v>
      </c>
      <c r="K683" s="3" t="n">
        <v>0.1</v>
      </c>
      <c r="L683" s="3" t="n">
        <v>24.87</v>
      </c>
    </row>
    <row r="684">
      <c r="A684" s="3" t="inlineStr">
        <is>
          <t>ORD-10683</t>
        </is>
      </c>
      <c r="B684" s="6" t="n">
        <v>45801</v>
      </c>
      <c r="C684" s="3" t="inlineStr">
        <is>
          <t>Home &amp; Lifestyle</t>
        </is>
      </c>
      <c r="D684" s="3" t="inlineStr">
        <is>
          <t>Small Home Goods</t>
        </is>
      </c>
      <c r="E684" s="3" t="inlineStr">
        <is>
          <t>Greater Accra</t>
        </is>
      </c>
      <c r="F684" s="3" t="inlineStr">
        <is>
          <t>Phone/WhatsApp</t>
        </is>
      </c>
      <c r="G684" s="3" t="inlineStr">
        <is>
          <t>New</t>
        </is>
      </c>
      <c r="H684" s="3" t="n">
        <v>9</v>
      </c>
      <c r="I684" s="3" t="n">
        <v>175</v>
      </c>
      <c r="J684" s="3" t="n">
        <v>86.25</v>
      </c>
      <c r="K684" s="3" t="n">
        <v>0</v>
      </c>
      <c r="L684" s="3" t="n">
        <v>31.45</v>
      </c>
    </row>
    <row r="685">
      <c r="A685" s="3" t="inlineStr">
        <is>
          <t>ORD-10684</t>
        </is>
      </c>
      <c r="B685" s="6" t="n">
        <v>45959</v>
      </c>
      <c r="C685" s="3" t="inlineStr">
        <is>
          <t>Clothing</t>
        </is>
      </c>
      <c r="D685" s="3" t="inlineStr">
        <is>
          <t>Dresses</t>
        </is>
      </c>
      <c r="E685" s="3" t="inlineStr">
        <is>
          <t>Ashanti</t>
        </is>
      </c>
      <c r="F685" s="3" t="inlineStr">
        <is>
          <t>Retail Shop</t>
        </is>
      </c>
      <c r="G685" s="3" t="inlineStr">
        <is>
          <t>Returning</t>
        </is>
      </c>
      <c r="H685" s="3" t="n">
        <v>1</v>
      </c>
      <c r="I685" s="3" t="n">
        <v>120</v>
      </c>
      <c r="J685" s="3" t="n">
        <v>63.5</v>
      </c>
      <c r="K685" s="3" t="n">
        <v>0</v>
      </c>
      <c r="L685" s="3" t="n">
        <v>9.630000000000001</v>
      </c>
    </row>
    <row r="686">
      <c r="A686" s="3" t="inlineStr">
        <is>
          <t>ORD-10685</t>
        </is>
      </c>
      <c r="B686" s="6" t="n">
        <v>45952</v>
      </c>
      <c r="C686" s="3" t="inlineStr">
        <is>
          <t>Footwear</t>
        </is>
      </c>
      <c r="D686" s="3" t="inlineStr">
        <is>
          <t>Formal Shoes</t>
        </is>
      </c>
      <c r="E686" s="3" t="inlineStr">
        <is>
          <t>Western</t>
        </is>
      </c>
      <c r="F686" s="3" t="inlineStr">
        <is>
          <t>Phone/WhatsApp</t>
        </is>
      </c>
      <c r="G686" s="3" t="inlineStr">
        <is>
          <t>Returning</t>
        </is>
      </c>
      <c r="H686" s="3" t="n">
        <v>5</v>
      </c>
      <c r="I686" s="3" t="n">
        <v>260</v>
      </c>
      <c r="J686" s="3" t="n">
        <v>137.93</v>
      </c>
      <c r="K686" s="3" t="n">
        <v>0</v>
      </c>
      <c r="L686" s="3" t="n">
        <v>31.51</v>
      </c>
    </row>
    <row r="687">
      <c r="A687" s="3" t="inlineStr">
        <is>
          <t>ORD-10686</t>
        </is>
      </c>
      <c r="B687" s="6" t="n">
        <v>45935</v>
      </c>
      <c r="C687" s="3" t="inlineStr">
        <is>
          <t>Footwear</t>
        </is>
      </c>
      <c r="D687" s="3" t="inlineStr">
        <is>
          <t>Sneakers</t>
        </is>
      </c>
      <c r="E687" s="3" t="inlineStr">
        <is>
          <t>Central</t>
        </is>
      </c>
      <c r="F687" s="3" t="inlineStr">
        <is>
          <t>Online</t>
        </is>
      </c>
      <c r="G687" s="3" t="inlineStr">
        <is>
          <t>Returning</t>
        </is>
      </c>
      <c r="H687" s="3" t="n">
        <v>3</v>
      </c>
      <c r="I687" s="3" t="n">
        <v>235</v>
      </c>
      <c r="J687" s="3" t="n">
        <v>118.13</v>
      </c>
      <c r="K687" s="3" t="n">
        <v>0</v>
      </c>
      <c r="L687" s="3" t="n">
        <v>11.09</v>
      </c>
    </row>
    <row r="688">
      <c r="A688" s="3" t="inlineStr">
        <is>
          <t>ORD-10687</t>
        </is>
      </c>
      <c r="B688" s="6" t="n">
        <v>45838</v>
      </c>
      <c r="C688" s="3" t="inlineStr">
        <is>
          <t>Clothing</t>
        </is>
      </c>
      <c r="D688" s="3" t="inlineStr">
        <is>
          <t>Jackets</t>
        </is>
      </c>
      <c r="E688" s="3" t="inlineStr">
        <is>
          <t>Ashanti</t>
        </is>
      </c>
      <c r="F688" s="3" t="inlineStr">
        <is>
          <t>Online</t>
        </is>
      </c>
      <c r="G688" s="3" t="inlineStr">
        <is>
          <t>New</t>
        </is>
      </c>
      <c r="H688" s="3" t="n">
        <v>4</v>
      </c>
      <c r="I688" s="3" t="n">
        <v>145</v>
      </c>
      <c r="J688" s="3" t="n">
        <v>78.7</v>
      </c>
      <c r="K688" s="3" t="n">
        <v>0.1</v>
      </c>
      <c r="L688" s="3" t="n">
        <v>38.21</v>
      </c>
    </row>
    <row r="689">
      <c r="A689" s="3" t="inlineStr">
        <is>
          <t>ORD-10688</t>
        </is>
      </c>
      <c r="B689" s="6" t="n">
        <v>45677</v>
      </c>
      <c r="C689" s="3" t="inlineStr">
        <is>
          <t>Home &amp; Lifestyle</t>
        </is>
      </c>
      <c r="D689" s="3" t="inlineStr">
        <is>
          <t>Travel Mugs</t>
        </is>
      </c>
      <c r="E689" s="3" t="inlineStr">
        <is>
          <t>Greater Accra</t>
        </is>
      </c>
      <c r="F689" s="3" t="inlineStr">
        <is>
          <t>Online</t>
        </is>
      </c>
      <c r="G689" s="3" t="inlineStr">
        <is>
          <t>Returning</t>
        </is>
      </c>
      <c r="H689" s="3" t="n">
        <v>3</v>
      </c>
      <c r="I689" s="3" t="n">
        <v>200</v>
      </c>
      <c r="J689" s="3" t="n">
        <v>118.85</v>
      </c>
      <c r="K689" s="3" t="n">
        <v>0.05</v>
      </c>
      <c r="L689" s="3" t="n">
        <v>13.08</v>
      </c>
    </row>
    <row r="690">
      <c r="A690" s="3" t="inlineStr">
        <is>
          <t>ORD-10689</t>
        </is>
      </c>
      <c r="B690" s="6" t="n">
        <v>45709</v>
      </c>
      <c r="C690" s="3" t="inlineStr">
        <is>
          <t>Clothing</t>
        </is>
      </c>
      <c r="D690" s="3" t="inlineStr">
        <is>
          <t>Dresses</t>
        </is>
      </c>
      <c r="E690" s="3" t="inlineStr">
        <is>
          <t>Greater Accra</t>
        </is>
      </c>
      <c r="F690" s="3" t="inlineStr">
        <is>
          <t>Retail Shop</t>
        </is>
      </c>
      <c r="G690" s="3" t="inlineStr">
        <is>
          <t>Returning</t>
        </is>
      </c>
      <c r="H690" s="3" t="n">
        <v>1</v>
      </c>
      <c r="I690" s="3" t="n">
        <v>155</v>
      </c>
      <c r="J690" s="3" t="n">
        <v>78.04000000000001</v>
      </c>
      <c r="K690" s="3" t="n">
        <v>0</v>
      </c>
      <c r="L690" s="3" t="n">
        <v>8.99</v>
      </c>
    </row>
    <row r="691">
      <c r="A691" s="3" t="inlineStr">
        <is>
          <t>ORD-10690</t>
        </is>
      </c>
      <c r="B691" s="6" t="n">
        <v>45998</v>
      </c>
      <c r="C691" s="3" t="inlineStr">
        <is>
          <t>Accessories</t>
        </is>
      </c>
      <c r="D691" s="3" t="inlineStr">
        <is>
          <t>Sunglasses</t>
        </is>
      </c>
      <c r="E691" s="3" t="inlineStr">
        <is>
          <t>Western</t>
        </is>
      </c>
      <c r="F691" s="3" t="inlineStr">
        <is>
          <t>Online</t>
        </is>
      </c>
      <c r="G691" s="3" t="inlineStr">
        <is>
          <t>New</t>
        </is>
      </c>
      <c r="H691" s="3" t="n">
        <v>1</v>
      </c>
      <c r="I691" s="3" t="n">
        <v>90</v>
      </c>
      <c r="J691" s="3" t="n">
        <v>48.37</v>
      </c>
      <c r="K691" s="3" t="n">
        <v>0</v>
      </c>
      <c r="L691" s="3" t="n">
        <v>38.8</v>
      </c>
    </row>
    <row r="692">
      <c r="A692" s="3" t="inlineStr">
        <is>
          <t>ORD-10691</t>
        </is>
      </c>
      <c r="B692" s="6" t="n">
        <v>45905</v>
      </c>
      <c r="C692" s="3" t="inlineStr">
        <is>
          <t>Home &amp; Lifestyle</t>
        </is>
      </c>
      <c r="D692" s="3" t="inlineStr">
        <is>
          <t>Wallets</t>
        </is>
      </c>
      <c r="E692" s="3" t="inlineStr">
        <is>
          <t>Central</t>
        </is>
      </c>
      <c r="F692" s="3" t="inlineStr">
        <is>
          <t>Retail Shop</t>
        </is>
      </c>
      <c r="G692" s="3" t="inlineStr">
        <is>
          <t>Returning</t>
        </is>
      </c>
      <c r="H692" s="3" t="n">
        <v>1</v>
      </c>
      <c r="I692" s="3" t="n">
        <v>85</v>
      </c>
      <c r="J692" s="3" t="n">
        <v>52.28</v>
      </c>
      <c r="K692" s="3" t="n">
        <v>0</v>
      </c>
      <c r="L692" s="3" t="n">
        <v>1.71</v>
      </c>
    </row>
    <row r="693">
      <c r="A693" s="3" t="inlineStr">
        <is>
          <t>ORD-10692</t>
        </is>
      </c>
      <c r="B693" s="6" t="n">
        <v>45935</v>
      </c>
      <c r="C693" s="3" t="inlineStr">
        <is>
          <t>Accessories</t>
        </is>
      </c>
      <c r="D693" s="3" t="inlineStr">
        <is>
          <t>Watches</t>
        </is>
      </c>
      <c r="E693" s="3" t="inlineStr">
        <is>
          <t>Ashanti</t>
        </is>
      </c>
      <c r="F693" s="3" t="inlineStr">
        <is>
          <t>Retail Shop</t>
        </is>
      </c>
      <c r="G693" s="3" t="inlineStr">
        <is>
          <t>Returning</t>
        </is>
      </c>
      <c r="H693" s="3" t="n">
        <v>2</v>
      </c>
      <c r="I693" s="3" t="n">
        <v>90</v>
      </c>
      <c r="J693" s="3" t="n">
        <v>38.08</v>
      </c>
      <c r="K693" s="3" t="n">
        <v>0.05</v>
      </c>
      <c r="L693" s="3" t="n">
        <v>8.460000000000001</v>
      </c>
    </row>
    <row r="694">
      <c r="A694" s="3" t="inlineStr">
        <is>
          <t>ORD-10693</t>
        </is>
      </c>
      <c r="B694" s="6" t="n">
        <v>45701</v>
      </c>
      <c r="C694" s="3" t="inlineStr">
        <is>
          <t>Clothing</t>
        </is>
      </c>
      <c r="D694" s="3" t="inlineStr">
        <is>
          <t>Dresses</t>
        </is>
      </c>
      <c r="E694" s="3" t="inlineStr">
        <is>
          <t>Ashanti</t>
        </is>
      </c>
      <c r="F694" s="3" t="inlineStr">
        <is>
          <t>Phone/WhatsApp</t>
        </is>
      </c>
      <c r="G694" s="3" t="inlineStr">
        <is>
          <t>Returning</t>
        </is>
      </c>
      <c r="H694" s="3" t="n">
        <v>1</v>
      </c>
      <c r="I694" s="3" t="n">
        <v>110</v>
      </c>
      <c r="J694" s="3" t="n">
        <v>50.53</v>
      </c>
      <c r="K694" s="3" t="n">
        <v>0.1</v>
      </c>
      <c r="L694" s="3" t="n">
        <v>23.55</v>
      </c>
    </row>
    <row r="695">
      <c r="A695" s="3" t="inlineStr">
        <is>
          <t>ORD-10694</t>
        </is>
      </c>
      <c r="B695" s="6" t="n">
        <v>45967</v>
      </c>
      <c r="C695" s="3" t="inlineStr">
        <is>
          <t>Clothing</t>
        </is>
      </c>
      <c r="D695" s="3" t="inlineStr">
        <is>
          <t>Dresses</t>
        </is>
      </c>
      <c r="E695" s="3" t="inlineStr">
        <is>
          <t>Central</t>
        </is>
      </c>
      <c r="F695" s="3" t="inlineStr">
        <is>
          <t>Online</t>
        </is>
      </c>
      <c r="G695" s="3" t="inlineStr">
        <is>
          <t>New</t>
        </is>
      </c>
      <c r="H695" s="3" t="n">
        <v>2</v>
      </c>
      <c r="I695" s="3" t="n">
        <v>200</v>
      </c>
      <c r="J695" s="3" t="n">
        <v>110.68</v>
      </c>
      <c r="K695" s="3" t="n">
        <v>0.1</v>
      </c>
      <c r="L695" s="3" t="n">
        <v>11.41</v>
      </c>
    </row>
    <row r="696">
      <c r="A696" s="3" t="inlineStr">
        <is>
          <t>ORD-10695</t>
        </is>
      </c>
      <c r="B696" s="6" t="n">
        <v>45790</v>
      </c>
      <c r="C696" s="3" t="inlineStr">
        <is>
          <t>Footwear</t>
        </is>
      </c>
      <c r="D696" s="3" t="inlineStr">
        <is>
          <t>Formal Shoes</t>
        </is>
      </c>
      <c r="E696" s="3" t="inlineStr">
        <is>
          <t>Greater Accra</t>
        </is>
      </c>
      <c r="F696" s="3" t="inlineStr">
        <is>
          <t>Retail Shop</t>
        </is>
      </c>
      <c r="G696" s="3" t="inlineStr">
        <is>
          <t>Returning</t>
        </is>
      </c>
      <c r="H696" s="3" t="n">
        <v>1</v>
      </c>
      <c r="I696" s="3" t="n">
        <v>205</v>
      </c>
      <c r="J696" s="3" t="n">
        <v>124.66</v>
      </c>
      <c r="K696" s="3" t="n">
        <v>0</v>
      </c>
      <c r="L696" s="3" t="n">
        <v>7.85</v>
      </c>
    </row>
    <row r="697">
      <c r="A697" s="3" t="inlineStr">
        <is>
          <t>ORD-10696</t>
        </is>
      </c>
      <c r="B697" s="6" t="n">
        <v>45996</v>
      </c>
      <c r="C697" s="3" t="inlineStr">
        <is>
          <t>Clothing</t>
        </is>
      </c>
      <c r="D697" s="3" t="inlineStr">
        <is>
          <t>Trousers</t>
        </is>
      </c>
      <c r="E697" s="3" t="inlineStr">
        <is>
          <t>Western</t>
        </is>
      </c>
      <c r="F697" s="3" t="inlineStr">
        <is>
          <t>Retail Shop</t>
        </is>
      </c>
      <c r="G697" s="3" t="inlineStr">
        <is>
          <t>Returning</t>
        </is>
      </c>
      <c r="H697" s="3" t="n">
        <v>1</v>
      </c>
      <c r="I697" s="3" t="n">
        <v>120</v>
      </c>
      <c r="J697" s="3" t="n">
        <v>65.93000000000001</v>
      </c>
      <c r="K697" s="3" t="n">
        <v>0.1</v>
      </c>
      <c r="L697" s="3" t="n">
        <v>10.03</v>
      </c>
    </row>
    <row r="698">
      <c r="A698" s="3" t="inlineStr">
        <is>
          <t>ORD-10697</t>
        </is>
      </c>
      <c r="B698" s="6" t="n">
        <v>46013</v>
      </c>
      <c r="C698" s="3" t="inlineStr">
        <is>
          <t>Clothing</t>
        </is>
      </c>
      <c r="D698" s="3" t="inlineStr">
        <is>
          <t>Jackets</t>
        </is>
      </c>
      <c r="E698" s="3" t="inlineStr">
        <is>
          <t>Greater Accra</t>
        </is>
      </c>
      <c r="F698" s="3" t="inlineStr">
        <is>
          <t>Retail Shop</t>
        </is>
      </c>
      <c r="G698" s="3" t="inlineStr">
        <is>
          <t>Returning</t>
        </is>
      </c>
      <c r="H698" s="3" t="n">
        <v>1</v>
      </c>
      <c r="I698" s="3" t="n">
        <v>150</v>
      </c>
      <c r="J698" s="3" t="n">
        <v>70.19</v>
      </c>
      <c r="K698" s="3" t="n">
        <v>0</v>
      </c>
      <c r="L698" s="3" t="n">
        <v>4.2</v>
      </c>
    </row>
    <row r="699">
      <c r="A699" s="3" t="inlineStr">
        <is>
          <t>ORD-10698</t>
        </is>
      </c>
      <c r="B699" s="6" t="n">
        <v>46015</v>
      </c>
      <c r="C699" s="3" t="inlineStr">
        <is>
          <t>Accessories</t>
        </is>
      </c>
      <c r="D699" s="3" t="inlineStr">
        <is>
          <t>Watches</t>
        </is>
      </c>
      <c r="E699" s="3" t="inlineStr">
        <is>
          <t>Greater Accra</t>
        </is>
      </c>
      <c r="F699" s="3" t="inlineStr">
        <is>
          <t>Retail Shop</t>
        </is>
      </c>
      <c r="G699" s="3" t="inlineStr">
        <is>
          <t>New</t>
        </is>
      </c>
      <c r="H699" s="3" t="n">
        <v>1</v>
      </c>
      <c r="I699" s="3" t="n">
        <v>125</v>
      </c>
      <c r="J699" s="3" t="n">
        <v>63.85</v>
      </c>
      <c r="K699" s="3" t="n">
        <v>0</v>
      </c>
      <c r="L699" s="3" t="n">
        <v>0.62</v>
      </c>
    </row>
    <row r="700">
      <c r="A700" s="3" t="inlineStr">
        <is>
          <t>ORD-10699</t>
        </is>
      </c>
      <c r="B700" s="6" t="n">
        <v>45841</v>
      </c>
      <c r="C700" s="3" t="inlineStr">
        <is>
          <t>Clothing</t>
        </is>
      </c>
      <c r="D700" s="3" t="inlineStr">
        <is>
          <t>Trousers</t>
        </is>
      </c>
      <c r="E700" s="3" t="inlineStr">
        <is>
          <t>Greater Accra</t>
        </is>
      </c>
      <c r="F700" s="3" t="inlineStr">
        <is>
          <t>Retail Shop</t>
        </is>
      </c>
      <c r="G700" s="3" t="inlineStr">
        <is>
          <t>New</t>
        </is>
      </c>
      <c r="H700" s="3" t="n">
        <v>1</v>
      </c>
      <c r="I700" s="3" t="n">
        <v>155</v>
      </c>
      <c r="J700" s="3" t="n">
        <v>73.76000000000001</v>
      </c>
      <c r="K700" s="3" t="n">
        <v>0.15</v>
      </c>
      <c r="L700" s="3" t="n">
        <v>4.45</v>
      </c>
    </row>
    <row r="701">
      <c r="A701" s="3" t="inlineStr">
        <is>
          <t>ORD-10700</t>
        </is>
      </c>
      <c r="B701" s="6" t="n">
        <v>45992</v>
      </c>
      <c r="C701" s="3" t="inlineStr">
        <is>
          <t>Footwear</t>
        </is>
      </c>
      <c r="D701" s="3" t="inlineStr">
        <is>
          <t>Boots</t>
        </is>
      </c>
      <c r="E701" s="3" t="inlineStr">
        <is>
          <t>Greater Accra</t>
        </is>
      </c>
      <c r="F701" s="3" t="inlineStr">
        <is>
          <t>Retail Shop</t>
        </is>
      </c>
      <c r="G701" s="3" t="inlineStr">
        <is>
          <t>Returning</t>
        </is>
      </c>
      <c r="H701" s="3" t="n">
        <v>1</v>
      </c>
      <c r="I701" s="3" t="n">
        <v>380</v>
      </c>
      <c r="J701" s="3" t="n">
        <v>191.93</v>
      </c>
      <c r="K701" s="3" t="n">
        <v>0</v>
      </c>
      <c r="L701" s="3" t="n">
        <v>3.7</v>
      </c>
    </row>
    <row r="702">
      <c r="A702" s="3" t="inlineStr">
        <is>
          <t>ORD-10701</t>
        </is>
      </c>
      <c r="B702" s="6" t="n">
        <v>45775</v>
      </c>
      <c r="C702" s="3" t="inlineStr">
        <is>
          <t>Home &amp; Lifestyle</t>
        </is>
      </c>
      <c r="D702" s="3" t="inlineStr">
        <is>
          <t>Wallets</t>
        </is>
      </c>
      <c r="E702" s="3" t="inlineStr">
        <is>
          <t>Greater Accra</t>
        </is>
      </c>
      <c r="F702" s="3" t="inlineStr">
        <is>
          <t>Retail Shop</t>
        </is>
      </c>
      <c r="G702" s="3" t="inlineStr">
        <is>
          <t>New</t>
        </is>
      </c>
      <c r="H702" s="3" t="n">
        <v>1</v>
      </c>
      <c r="I702" s="3" t="n">
        <v>170</v>
      </c>
      <c r="J702" s="3" t="n">
        <v>90.86</v>
      </c>
      <c r="K702" s="3" t="n">
        <v>0.2</v>
      </c>
      <c r="L702" s="3" t="n">
        <v>7.42</v>
      </c>
    </row>
    <row r="703">
      <c r="A703" s="3" t="inlineStr">
        <is>
          <t>ORD-10702</t>
        </is>
      </c>
      <c r="B703" s="6" t="n">
        <v>46002</v>
      </c>
      <c r="C703" s="3" t="inlineStr">
        <is>
          <t>Home &amp; Lifestyle</t>
        </is>
      </c>
      <c r="D703" s="3" t="inlineStr">
        <is>
          <t>Small Home Goods</t>
        </is>
      </c>
      <c r="E703" s="3" t="inlineStr">
        <is>
          <t>Ashanti</t>
        </is>
      </c>
      <c r="F703" s="3" t="inlineStr">
        <is>
          <t>Retail Shop</t>
        </is>
      </c>
      <c r="G703" s="3" t="inlineStr">
        <is>
          <t>Returning</t>
        </is>
      </c>
      <c r="H703" s="3" t="n">
        <v>4</v>
      </c>
      <c r="I703" s="3" t="n">
        <v>165</v>
      </c>
      <c r="J703" s="3" t="n">
        <v>86.48</v>
      </c>
      <c r="K703" s="3" t="n">
        <v>0.2</v>
      </c>
      <c r="L703" s="3" t="n">
        <v>3.83</v>
      </c>
    </row>
    <row r="704">
      <c r="A704" s="3" t="inlineStr">
        <is>
          <t>ORD-10703</t>
        </is>
      </c>
      <c r="B704" s="6" t="n">
        <v>45839</v>
      </c>
      <c r="C704" s="3" t="inlineStr">
        <is>
          <t>Footwear</t>
        </is>
      </c>
      <c r="D704" s="3" t="inlineStr">
        <is>
          <t>Sandals</t>
        </is>
      </c>
      <c r="E704" s="3" t="inlineStr">
        <is>
          <t>Northern</t>
        </is>
      </c>
      <c r="F704" s="3" t="inlineStr">
        <is>
          <t>Retail Shop</t>
        </is>
      </c>
      <c r="G704" s="3" t="inlineStr">
        <is>
          <t>New</t>
        </is>
      </c>
      <c r="H704" s="3" t="n">
        <v>2</v>
      </c>
      <c r="I704" s="3" t="n">
        <v>135</v>
      </c>
      <c r="J704" s="3" t="n">
        <v>72.98</v>
      </c>
      <c r="K704" s="3" t="n">
        <v>0.15</v>
      </c>
      <c r="L704" s="3" t="n">
        <v>9.82</v>
      </c>
    </row>
    <row r="705">
      <c r="A705" s="3" t="inlineStr">
        <is>
          <t>ORD-10704</t>
        </is>
      </c>
      <c r="B705" s="6" t="n">
        <v>45755</v>
      </c>
      <c r="C705" s="3" t="inlineStr">
        <is>
          <t>Accessories</t>
        </is>
      </c>
      <c r="D705" s="3" t="inlineStr">
        <is>
          <t>Watches</t>
        </is>
      </c>
      <c r="E705" s="3" t="inlineStr">
        <is>
          <t>Western</t>
        </is>
      </c>
      <c r="F705" s="3" t="inlineStr">
        <is>
          <t>Retail Shop</t>
        </is>
      </c>
      <c r="G705" s="3" t="inlineStr">
        <is>
          <t>New</t>
        </is>
      </c>
      <c r="H705" s="3" t="n">
        <v>1</v>
      </c>
      <c r="I705" s="3" t="n">
        <v>80</v>
      </c>
      <c r="J705" s="3" t="n">
        <v>35.42</v>
      </c>
      <c r="K705" s="3" t="n">
        <v>0.05</v>
      </c>
      <c r="L705" s="3" t="n">
        <v>1.85</v>
      </c>
    </row>
    <row r="706">
      <c r="A706" s="3" t="inlineStr">
        <is>
          <t>ORD-10705</t>
        </is>
      </c>
      <c r="B706" s="6" t="n">
        <v>45816</v>
      </c>
      <c r="C706" s="3" t="inlineStr">
        <is>
          <t>Clothing</t>
        </is>
      </c>
      <c r="D706" s="3" t="inlineStr">
        <is>
          <t>Shirts</t>
        </is>
      </c>
      <c r="E706" s="3" t="inlineStr">
        <is>
          <t>Greater Accra</t>
        </is>
      </c>
      <c r="F706" s="3" t="inlineStr">
        <is>
          <t>Phone/WhatsApp</t>
        </is>
      </c>
      <c r="G706" s="3" t="inlineStr">
        <is>
          <t>Returning</t>
        </is>
      </c>
      <c r="H706" s="3" t="n">
        <v>1</v>
      </c>
      <c r="I706" s="3" t="n">
        <v>225</v>
      </c>
      <c r="J706" s="3" t="n">
        <v>119.41</v>
      </c>
      <c r="K706" s="3" t="n">
        <v>0.1</v>
      </c>
      <c r="L706" s="3" t="n">
        <v>20.58</v>
      </c>
    </row>
    <row r="707">
      <c r="A707" s="3" t="inlineStr">
        <is>
          <t>ORD-10706</t>
        </is>
      </c>
      <c r="B707" s="6" t="n">
        <v>45825</v>
      </c>
      <c r="C707" s="3" t="inlineStr">
        <is>
          <t>Home &amp; Lifestyle</t>
        </is>
      </c>
      <c r="D707" s="3" t="inlineStr">
        <is>
          <t>Wallets</t>
        </is>
      </c>
      <c r="E707" s="3" t="inlineStr">
        <is>
          <t>Greater Accra</t>
        </is>
      </c>
      <c r="F707" s="3" t="inlineStr">
        <is>
          <t>Phone/WhatsApp</t>
        </is>
      </c>
      <c r="G707" s="3" t="inlineStr">
        <is>
          <t>Returning</t>
        </is>
      </c>
      <c r="H707" s="3" t="n">
        <v>5</v>
      </c>
      <c r="I707" s="3" t="n">
        <v>120</v>
      </c>
      <c r="J707" s="3" t="n">
        <v>63.96</v>
      </c>
      <c r="K707" s="3" t="n">
        <v>0</v>
      </c>
      <c r="L707" s="3" t="n">
        <v>10.02</v>
      </c>
    </row>
    <row r="708">
      <c r="A708" s="3" t="inlineStr">
        <is>
          <t>ORD-10707</t>
        </is>
      </c>
      <c r="B708" s="6" t="n">
        <v>45713</v>
      </c>
      <c r="C708" s="3" t="inlineStr">
        <is>
          <t>Accessories</t>
        </is>
      </c>
      <c r="D708" s="3" t="inlineStr">
        <is>
          <t>Bags</t>
        </is>
      </c>
      <c r="E708" s="3" t="inlineStr">
        <is>
          <t>Greater Accra</t>
        </is>
      </c>
      <c r="F708" s="3" t="inlineStr">
        <is>
          <t>Retail Shop</t>
        </is>
      </c>
      <c r="G708" s="3" t="inlineStr">
        <is>
          <t>New</t>
        </is>
      </c>
      <c r="H708" s="3" t="n">
        <v>1</v>
      </c>
      <c r="I708" s="3" t="n">
        <v>130</v>
      </c>
      <c r="J708" s="3" t="n">
        <v>57.48</v>
      </c>
      <c r="K708" s="3" t="n">
        <v>0.15</v>
      </c>
      <c r="L708" s="3" t="n">
        <v>2.26</v>
      </c>
    </row>
    <row r="709">
      <c r="A709" s="3" t="inlineStr">
        <is>
          <t>ORD-10708</t>
        </is>
      </c>
      <c r="B709" s="6" t="n">
        <v>45731</v>
      </c>
      <c r="C709" s="3" t="inlineStr">
        <is>
          <t>Footwear</t>
        </is>
      </c>
      <c r="D709" s="3" t="inlineStr">
        <is>
          <t>Sandals</t>
        </is>
      </c>
      <c r="E709" s="3" t="inlineStr">
        <is>
          <t>Greater Accra</t>
        </is>
      </c>
      <c r="F709" s="3" t="inlineStr">
        <is>
          <t>Phone/WhatsApp</t>
        </is>
      </c>
      <c r="G709" s="3" t="inlineStr">
        <is>
          <t>New</t>
        </is>
      </c>
      <c r="H709" s="3" t="n">
        <v>2</v>
      </c>
      <c r="I709" s="3" t="n">
        <v>350</v>
      </c>
      <c r="J709" s="3" t="n">
        <v>176.69</v>
      </c>
      <c r="K709" s="3" t="n">
        <v>0.05</v>
      </c>
      <c r="L709" s="3" t="n">
        <v>30.6</v>
      </c>
    </row>
    <row r="710">
      <c r="A710" s="3" t="inlineStr">
        <is>
          <t>ORD-10709</t>
        </is>
      </c>
      <c r="B710" s="6" t="n">
        <v>45746</v>
      </c>
      <c r="C710" s="3" t="inlineStr">
        <is>
          <t>Clothing</t>
        </is>
      </c>
      <c r="D710" s="3" t="inlineStr">
        <is>
          <t>Trousers</t>
        </is>
      </c>
      <c r="E710" s="3" t="inlineStr">
        <is>
          <t>Greater Accra</t>
        </is>
      </c>
      <c r="F710" s="3" t="inlineStr">
        <is>
          <t>Phone/WhatsApp</t>
        </is>
      </c>
      <c r="G710" s="3" t="inlineStr">
        <is>
          <t>New</t>
        </is>
      </c>
      <c r="H710" s="3" t="n">
        <v>1</v>
      </c>
      <c r="I710" s="3" t="n">
        <v>145</v>
      </c>
      <c r="J710" s="3" t="n">
        <v>70.19</v>
      </c>
      <c r="K710" s="3" t="n">
        <v>0.15</v>
      </c>
      <c r="L710" s="3" t="n">
        <v>29.44</v>
      </c>
    </row>
    <row r="711">
      <c r="A711" s="3" t="inlineStr">
        <is>
          <t>ORD-10710</t>
        </is>
      </c>
      <c r="B711" s="6" t="n">
        <v>45746</v>
      </c>
      <c r="C711" s="3" t="inlineStr">
        <is>
          <t>Footwear</t>
        </is>
      </c>
      <c r="D711" s="3" t="inlineStr">
        <is>
          <t>Sneakers</t>
        </is>
      </c>
      <c r="E711" s="3" t="inlineStr">
        <is>
          <t>Ashanti</t>
        </is>
      </c>
      <c r="F711" s="3" t="inlineStr">
        <is>
          <t>Online</t>
        </is>
      </c>
      <c r="G711" s="3" t="inlineStr">
        <is>
          <t>New</t>
        </is>
      </c>
      <c r="H711" s="3" t="n">
        <v>1</v>
      </c>
      <c r="I711" s="3" t="n">
        <v>370</v>
      </c>
      <c r="J711" s="3" t="n">
        <v>217.16</v>
      </c>
      <c r="K711" s="3" t="n">
        <v>0.05</v>
      </c>
      <c r="L711" s="3" t="n">
        <v>20.8</v>
      </c>
    </row>
    <row r="712">
      <c r="A712" s="3" t="inlineStr">
        <is>
          <t>ORD-10711</t>
        </is>
      </c>
      <c r="B712" s="6" t="n">
        <v>45817</v>
      </c>
      <c r="C712" s="3" t="inlineStr">
        <is>
          <t>Footwear</t>
        </is>
      </c>
      <c r="D712" s="3" t="inlineStr">
        <is>
          <t>Sandals</t>
        </is>
      </c>
      <c r="E712" s="3" t="inlineStr">
        <is>
          <t>Greater Accra</t>
        </is>
      </c>
      <c r="F712" s="3" t="inlineStr">
        <is>
          <t>Online</t>
        </is>
      </c>
      <c r="G712" s="3" t="inlineStr">
        <is>
          <t>Returning</t>
        </is>
      </c>
      <c r="H712" s="3" t="n">
        <v>1</v>
      </c>
      <c r="I712" s="3" t="n">
        <v>210</v>
      </c>
      <c r="J712" s="3" t="n">
        <v>123.78</v>
      </c>
      <c r="K712" s="3" t="n">
        <v>0.05</v>
      </c>
      <c r="L712" s="3" t="n">
        <v>12.39</v>
      </c>
    </row>
    <row r="713">
      <c r="A713" s="3" t="inlineStr">
        <is>
          <t>ORD-10712</t>
        </is>
      </c>
      <c r="B713" s="6" t="n">
        <v>45726</v>
      </c>
      <c r="C713" s="3" t="inlineStr">
        <is>
          <t>Clothing</t>
        </is>
      </c>
      <c r="D713" s="3" t="inlineStr">
        <is>
          <t>Jackets</t>
        </is>
      </c>
      <c r="E713" s="3" t="inlineStr">
        <is>
          <t>Greater Accra</t>
        </is>
      </c>
      <c r="F713" s="3" t="inlineStr">
        <is>
          <t>Retail Shop</t>
        </is>
      </c>
      <c r="G713" s="3" t="inlineStr">
        <is>
          <t>New</t>
        </is>
      </c>
      <c r="H713" s="3" t="n">
        <v>2</v>
      </c>
      <c r="I713" s="3" t="n">
        <v>95</v>
      </c>
      <c r="J713" s="3" t="n">
        <v>50.11</v>
      </c>
      <c r="K713" s="3" t="n">
        <v>0.15</v>
      </c>
      <c r="L713" s="3" t="n">
        <v>2.05</v>
      </c>
    </row>
    <row r="714">
      <c r="A714" s="3" t="inlineStr">
        <is>
          <t>ORD-10713</t>
        </is>
      </c>
      <c r="B714" s="6" t="n">
        <v>45976</v>
      </c>
      <c r="C714" s="3" t="inlineStr">
        <is>
          <t>Home &amp; Lifestyle</t>
        </is>
      </c>
      <c r="D714" s="3" t="inlineStr">
        <is>
          <t>Travel Mugs</t>
        </is>
      </c>
      <c r="E714" s="3" t="inlineStr">
        <is>
          <t>Western</t>
        </is>
      </c>
      <c r="F714" s="3" t="inlineStr">
        <is>
          <t>Online</t>
        </is>
      </c>
      <c r="G714" s="3" t="inlineStr">
        <is>
          <t>Returning</t>
        </is>
      </c>
      <c r="H714" s="3" t="n">
        <v>2</v>
      </c>
      <c r="I714" s="3" t="n">
        <v>105</v>
      </c>
      <c r="J714" s="3" t="n">
        <v>59.2</v>
      </c>
      <c r="K714" s="3" t="n">
        <v>0</v>
      </c>
      <c r="L714" s="3" t="n">
        <v>19.58</v>
      </c>
    </row>
    <row r="715">
      <c r="A715" s="3" t="inlineStr">
        <is>
          <t>ORD-10714</t>
        </is>
      </c>
      <c r="B715" s="6" t="n">
        <v>45992</v>
      </c>
      <c r="C715" s="3" t="inlineStr">
        <is>
          <t>Footwear</t>
        </is>
      </c>
      <c r="D715" s="3" t="inlineStr">
        <is>
          <t>Formal Shoes</t>
        </is>
      </c>
      <c r="E715" s="3" t="inlineStr">
        <is>
          <t>Ashanti</t>
        </is>
      </c>
      <c r="F715" s="3" t="inlineStr">
        <is>
          <t>Retail Shop</t>
        </is>
      </c>
      <c r="G715" s="3" t="inlineStr">
        <is>
          <t>New</t>
        </is>
      </c>
      <c r="H715" s="3" t="n">
        <v>4</v>
      </c>
      <c r="I715" s="3" t="n">
        <v>235</v>
      </c>
      <c r="J715" s="3" t="n">
        <v>135.66</v>
      </c>
      <c r="K715" s="3" t="n">
        <v>0.1</v>
      </c>
      <c r="L715" s="3" t="n">
        <v>1.57</v>
      </c>
    </row>
    <row r="716">
      <c r="A716" s="3" t="inlineStr">
        <is>
          <t>ORD-10715</t>
        </is>
      </c>
      <c r="B716" s="6" t="n">
        <v>45685</v>
      </c>
      <c r="C716" s="3" t="inlineStr">
        <is>
          <t>Footwear</t>
        </is>
      </c>
      <c r="D716" s="3" t="inlineStr">
        <is>
          <t>Sneakers</t>
        </is>
      </c>
      <c r="E716" s="3" t="inlineStr">
        <is>
          <t>Western</t>
        </is>
      </c>
      <c r="F716" s="3" t="inlineStr">
        <is>
          <t>Retail Shop</t>
        </is>
      </c>
      <c r="G716" s="3" t="inlineStr">
        <is>
          <t>Returning</t>
        </is>
      </c>
      <c r="H716" s="3" t="n">
        <v>1</v>
      </c>
      <c r="I716" s="3" t="n">
        <v>315</v>
      </c>
      <c r="J716" s="3" t="n">
        <v>189.18</v>
      </c>
      <c r="K716" s="3" t="n">
        <v>0.15</v>
      </c>
      <c r="L716" s="3" t="n">
        <v>10.26</v>
      </c>
    </row>
    <row r="717">
      <c r="A717" s="3" t="inlineStr">
        <is>
          <t>ORD-10716</t>
        </is>
      </c>
      <c r="B717" s="6" t="n">
        <v>45840</v>
      </c>
      <c r="C717" s="3" t="inlineStr">
        <is>
          <t>Footwear</t>
        </is>
      </c>
      <c r="D717" s="3" t="inlineStr">
        <is>
          <t>Sneakers</t>
        </is>
      </c>
      <c r="E717" s="3" t="inlineStr">
        <is>
          <t>Greater Accra</t>
        </is>
      </c>
      <c r="F717" s="3" t="inlineStr">
        <is>
          <t>Online</t>
        </is>
      </c>
      <c r="G717" s="3" t="inlineStr">
        <is>
          <t>New</t>
        </is>
      </c>
      <c r="H717" s="3" t="n">
        <v>2</v>
      </c>
      <c r="I717" s="3" t="n">
        <v>295</v>
      </c>
      <c r="J717" s="3" t="n">
        <v>160.14</v>
      </c>
      <c r="K717" s="3" t="n">
        <v>0</v>
      </c>
      <c r="L717" s="3" t="n">
        <v>10.24</v>
      </c>
    </row>
    <row r="718">
      <c r="A718" s="3" t="inlineStr">
        <is>
          <t>ORD-10717</t>
        </is>
      </c>
      <c r="B718" s="6" t="n">
        <v>45659</v>
      </c>
      <c r="C718" s="3" t="inlineStr">
        <is>
          <t>Clothing</t>
        </is>
      </c>
      <c r="D718" s="3" t="inlineStr">
        <is>
          <t>Jackets</t>
        </is>
      </c>
      <c r="E718" s="3" t="inlineStr">
        <is>
          <t>Ashanti</t>
        </is>
      </c>
      <c r="F718" s="3" t="inlineStr">
        <is>
          <t>Phone/WhatsApp</t>
        </is>
      </c>
      <c r="G718" s="3" t="inlineStr">
        <is>
          <t>New</t>
        </is>
      </c>
      <c r="H718" s="3" t="n">
        <v>1</v>
      </c>
      <c r="I718" s="3" t="n">
        <v>85</v>
      </c>
      <c r="J718" s="3" t="n">
        <v>49.35</v>
      </c>
      <c r="K718" s="3" t="n">
        <v>0.1</v>
      </c>
      <c r="L718" s="3" t="n">
        <v>35.6</v>
      </c>
    </row>
    <row r="719">
      <c r="A719" s="3" t="inlineStr">
        <is>
          <t>ORD-10718</t>
        </is>
      </c>
      <c r="B719" s="6" t="n">
        <v>45986</v>
      </c>
      <c r="C719" s="3" t="inlineStr">
        <is>
          <t>Footwear</t>
        </is>
      </c>
      <c r="D719" s="3" t="inlineStr">
        <is>
          <t>Formal Shoes</t>
        </is>
      </c>
      <c r="E719" s="3" t="inlineStr">
        <is>
          <t>Greater Accra</t>
        </is>
      </c>
      <c r="F719" s="3" t="inlineStr">
        <is>
          <t>Retail Shop</t>
        </is>
      </c>
      <c r="G719" s="3" t="inlineStr">
        <is>
          <t>Returning</t>
        </is>
      </c>
      <c r="H719" s="3" t="n">
        <v>1</v>
      </c>
      <c r="I719" s="3" t="n">
        <v>265</v>
      </c>
      <c r="J719" s="3" t="n">
        <v>167.29</v>
      </c>
      <c r="K719" s="3" t="n">
        <v>0.2</v>
      </c>
      <c r="L719" s="3" t="n">
        <v>6.11</v>
      </c>
    </row>
    <row r="720">
      <c r="A720" s="3" t="inlineStr">
        <is>
          <t>ORD-10719</t>
        </is>
      </c>
      <c r="B720" s="6" t="n">
        <v>45900</v>
      </c>
      <c r="C720" s="3" t="inlineStr">
        <is>
          <t>Footwear</t>
        </is>
      </c>
      <c r="D720" s="3" t="inlineStr">
        <is>
          <t>Sandals</t>
        </is>
      </c>
      <c r="E720" s="3" t="inlineStr">
        <is>
          <t>Greater Accra</t>
        </is>
      </c>
      <c r="F720" s="3" t="inlineStr">
        <is>
          <t>Phone/WhatsApp</t>
        </is>
      </c>
      <c r="G720" s="3" t="inlineStr">
        <is>
          <t>New</t>
        </is>
      </c>
      <c r="H720" s="3" t="n">
        <v>8</v>
      </c>
      <c r="I720" s="3" t="n">
        <v>375</v>
      </c>
      <c r="J720" s="3" t="n">
        <v>219.54</v>
      </c>
      <c r="K720" s="3" t="n">
        <v>0</v>
      </c>
      <c r="L720" s="3" t="n">
        <v>14.36</v>
      </c>
    </row>
    <row r="721">
      <c r="A721" s="3" t="inlineStr">
        <is>
          <t>ORD-10720</t>
        </is>
      </c>
      <c r="B721" s="6" t="n">
        <v>45843</v>
      </c>
      <c r="C721" s="3" t="inlineStr">
        <is>
          <t>Home &amp; Lifestyle</t>
        </is>
      </c>
      <c r="D721" s="3" t="inlineStr">
        <is>
          <t>Travel Mugs</t>
        </is>
      </c>
      <c r="E721" s="3" t="inlineStr">
        <is>
          <t>Northern</t>
        </is>
      </c>
      <c r="F721" s="3" t="inlineStr">
        <is>
          <t>Retail Shop</t>
        </is>
      </c>
      <c r="G721" s="3" t="inlineStr">
        <is>
          <t>New</t>
        </is>
      </c>
      <c r="H721" s="3" t="n">
        <v>4</v>
      </c>
      <c r="I721" s="3" t="n">
        <v>120</v>
      </c>
      <c r="J721" s="3" t="n">
        <v>67.81999999999999</v>
      </c>
      <c r="K721" s="3" t="n">
        <v>0.1</v>
      </c>
      <c r="L721" s="3" t="n">
        <v>5.74</v>
      </c>
    </row>
    <row r="722">
      <c r="A722" s="3" t="inlineStr">
        <is>
          <t>ORD-10721</t>
        </is>
      </c>
      <c r="B722" s="6" t="n">
        <v>46014</v>
      </c>
      <c r="C722" s="3" t="inlineStr">
        <is>
          <t>Footwear</t>
        </is>
      </c>
      <c r="D722" s="3" t="inlineStr">
        <is>
          <t>Boots</t>
        </is>
      </c>
      <c r="E722" s="3" t="inlineStr">
        <is>
          <t>Ashanti</t>
        </is>
      </c>
      <c r="F722" s="3" t="inlineStr">
        <is>
          <t>Online</t>
        </is>
      </c>
      <c r="G722" s="3" t="inlineStr">
        <is>
          <t>Returning</t>
        </is>
      </c>
      <c r="H722" s="3" t="n">
        <v>4</v>
      </c>
      <c r="I722" s="3" t="n">
        <v>260</v>
      </c>
      <c r="J722" s="3" t="n">
        <v>152.45</v>
      </c>
      <c r="K722" s="3" t="n">
        <v>0.1</v>
      </c>
      <c r="L722" s="3" t="n">
        <v>24.28</v>
      </c>
    </row>
    <row r="723">
      <c r="A723" s="3" t="inlineStr">
        <is>
          <t>ORD-10722</t>
        </is>
      </c>
      <c r="B723" s="6" t="n">
        <v>46021</v>
      </c>
      <c r="C723" s="3" t="inlineStr">
        <is>
          <t>Footwear</t>
        </is>
      </c>
      <c r="D723" s="3" t="inlineStr">
        <is>
          <t>Sandals</t>
        </is>
      </c>
      <c r="E723" s="3" t="inlineStr">
        <is>
          <t>Western</t>
        </is>
      </c>
      <c r="F723" s="3" t="inlineStr">
        <is>
          <t>Online</t>
        </is>
      </c>
      <c r="G723" s="3" t="inlineStr">
        <is>
          <t>Returning</t>
        </is>
      </c>
      <c r="H723" s="3" t="n">
        <v>2</v>
      </c>
      <c r="I723" s="3" t="n">
        <v>400</v>
      </c>
      <c r="J723" s="3" t="n">
        <v>232.24</v>
      </c>
      <c r="K723" s="3" t="n">
        <v>0</v>
      </c>
      <c r="L723" s="3" t="n">
        <v>37.71</v>
      </c>
    </row>
    <row r="724">
      <c r="A724" s="3" t="inlineStr">
        <is>
          <t>ORD-10723</t>
        </is>
      </c>
      <c r="B724" s="6" t="n">
        <v>45798</v>
      </c>
      <c r="C724" s="3" t="inlineStr">
        <is>
          <t>Footwear</t>
        </is>
      </c>
      <c r="D724" s="3" t="inlineStr">
        <is>
          <t>Sandals</t>
        </is>
      </c>
      <c r="E724" s="3" t="inlineStr">
        <is>
          <t>Ashanti</t>
        </is>
      </c>
      <c r="F724" s="3" t="inlineStr">
        <is>
          <t>Retail Shop</t>
        </is>
      </c>
      <c r="G724" s="3" t="inlineStr">
        <is>
          <t>Returning</t>
        </is>
      </c>
      <c r="H724" s="3" t="n">
        <v>3</v>
      </c>
      <c r="I724" s="3" t="n">
        <v>375</v>
      </c>
      <c r="J724" s="3" t="n">
        <v>217.5</v>
      </c>
      <c r="K724" s="3" t="n">
        <v>0.1</v>
      </c>
      <c r="L724" s="3" t="n">
        <v>0.64</v>
      </c>
    </row>
    <row r="725">
      <c r="A725" s="3" t="inlineStr">
        <is>
          <t>ORD-10724</t>
        </is>
      </c>
      <c r="B725" s="6" t="n">
        <v>46003</v>
      </c>
      <c r="C725" s="3" t="inlineStr">
        <is>
          <t>Home &amp; Lifestyle</t>
        </is>
      </c>
      <c r="D725" s="3" t="inlineStr">
        <is>
          <t>Travel Mugs</t>
        </is>
      </c>
      <c r="E725" s="3" t="inlineStr">
        <is>
          <t>Greater Accra</t>
        </is>
      </c>
      <c r="F725" s="3" t="inlineStr">
        <is>
          <t>Retail Shop</t>
        </is>
      </c>
      <c r="G725" s="3" t="inlineStr">
        <is>
          <t>Returning</t>
        </is>
      </c>
      <c r="H725" s="3" t="n">
        <v>1</v>
      </c>
      <c r="I725" s="3" t="n">
        <v>105</v>
      </c>
      <c r="J725" s="3" t="n">
        <v>53.12</v>
      </c>
      <c r="K725" s="3" t="n">
        <v>0.1</v>
      </c>
      <c r="L725" s="3" t="n">
        <v>11.87</v>
      </c>
    </row>
    <row r="726">
      <c r="A726" s="3" t="inlineStr">
        <is>
          <t>ORD-10725</t>
        </is>
      </c>
      <c r="B726" s="6" t="n">
        <v>45890</v>
      </c>
      <c r="C726" s="3" t="inlineStr">
        <is>
          <t>Accessories</t>
        </is>
      </c>
      <c r="D726" s="3" t="inlineStr">
        <is>
          <t>Belts</t>
        </is>
      </c>
      <c r="E726" s="3" t="inlineStr">
        <is>
          <t>Ashanti</t>
        </is>
      </c>
      <c r="F726" s="3" t="inlineStr">
        <is>
          <t>Online</t>
        </is>
      </c>
      <c r="G726" s="3" t="inlineStr">
        <is>
          <t>Returning</t>
        </is>
      </c>
      <c r="H726" s="3" t="n">
        <v>5</v>
      </c>
      <c r="I726" s="3" t="n">
        <v>90</v>
      </c>
      <c r="J726" s="3" t="n">
        <v>38.42</v>
      </c>
      <c r="K726" s="3" t="n">
        <v>0.15</v>
      </c>
      <c r="L726" s="3" t="n">
        <v>33.88</v>
      </c>
    </row>
    <row r="727">
      <c r="A727" s="3" t="inlineStr">
        <is>
          <t>ORD-10726</t>
        </is>
      </c>
      <c r="B727" s="6" t="n">
        <v>45675</v>
      </c>
      <c r="C727" s="3" t="inlineStr">
        <is>
          <t>Footwear</t>
        </is>
      </c>
      <c r="D727" s="3" t="inlineStr">
        <is>
          <t>Sneakers</t>
        </is>
      </c>
      <c r="E727" s="3" t="inlineStr">
        <is>
          <t>Western</t>
        </is>
      </c>
      <c r="F727" s="3" t="inlineStr">
        <is>
          <t>Phone/WhatsApp</t>
        </is>
      </c>
      <c r="G727" s="3" t="inlineStr">
        <is>
          <t>Returning</t>
        </is>
      </c>
      <c r="H727" s="3" t="n">
        <v>3</v>
      </c>
      <c r="I727" s="3" t="n">
        <v>145</v>
      </c>
      <c r="J727" s="3" t="n">
        <v>73.28</v>
      </c>
      <c r="K727" s="3" t="n">
        <v>0.05</v>
      </c>
      <c r="L727" s="3" t="n">
        <v>27.43</v>
      </c>
    </row>
    <row r="728">
      <c r="A728" s="3" t="inlineStr">
        <is>
          <t>ORD-10727</t>
        </is>
      </c>
      <c r="B728" s="6" t="n">
        <v>45802</v>
      </c>
      <c r="C728" s="3" t="inlineStr">
        <is>
          <t>Clothing</t>
        </is>
      </c>
      <c r="D728" s="3" t="inlineStr">
        <is>
          <t>Trousers</t>
        </is>
      </c>
      <c r="E728" s="3" t="inlineStr">
        <is>
          <t>Northern</t>
        </is>
      </c>
      <c r="F728" s="3" t="inlineStr">
        <is>
          <t>Retail Shop</t>
        </is>
      </c>
      <c r="G728" s="3" t="inlineStr">
        <is>
          <t>New</t>
        </is>
      </c>
      <c r="H728" s="3" t="n">
        <v>2</v>
      </c>
      <c r="I728" s="3" t="n">
        <v>120</v>
      </c>
      <c r="J728" s="3" t="n">
        <v>57.71</v>
      </c>
      <c r="K728" s="3" t="n">
        <v>0.15</v>
      </c>
      <c r="L728" s="3" t="n">
        <v>9.699999999999999</v>
      </c>
    </row>
    <row r="729">
      <c r="A729" s="3" t="inlineStr">
        <is>
          <t>ORD-10728</t>
        </is>
      </c>
      <c r="B729" s="6" t="n">
        <v>45922</v>
      </c>
      <c r="C729" s="3" t="inlineStr">
        <is>
          <t>Clothing</t>
        </is>
      </c>
      <c r="D729" s="3" t="inlineStr">
        <is>
          <t>Dresses</t>
        </is>
      </c>
      <c r="E729" s="3" t="inlineStr">
        <is>
          <t>Greater Accra</t>
        </is>
      </c>
      <c r="F729" s="3" t="inlineStr">
        <is>
          <t>Online</t>
        </is>
      </c>
      <c r="G729" s="3" t="inlineStr">
        <is>
          <t>Returning</t>
        </is>
      </c>
      <c r="H729" s="3" t="n">
        <v>1</v>
      </c>
      <c r="I729" s="3" t="n">
        <v>115</v>
      </c>
      <c r="J729" s="3" t="n">
        <v>61.26</v>
      </c>
      <c r="K729" s="3" t="n">
        <v>0</v>
      </c>
      <c r="L729" s="3" t="n">
        <v>15.63</v>
      </c>
    </row>
    <row r="730">
      <c r="A730" s="3" t="inlineStr">
        <is>
          <t>ORD-10729</t>
        </is>
      </c>
      <c r="B730" s="6" t="n">
        <v>45859</v>
      </c>
      <c r="C730" s="3" t="inlineStr">
        <is>
          <t>Clothing</t>
        </is>
      </c>
      <c r="D730" s="3" t="inlineStr">
        <is>
          <t>Trousers</t>
        </is>
      </c>
      <c r="E730" s="3" t="inlineStr">
        <is>
          <t>Greater Accra</t>
        </is>
      </c>
      <c r="F730" s="3" t="inlineStr">
        <is>
          <t>Retail Shop</t>
        </is>
      </c>
      <c r="G730" s="3" t="inlineStr">
        <is>
          <t>Returning</t>
        </is>
      </c>
      <c r="H730" s="3" t="n">
        <v>1</v>
      </c>
      <c r="I730" s="3" t="n">
        <v>65</v>
      </c>
      <c r="J730" s="3" t="n">
        <v>31.11</v>
      </c>
      <c r="K730" s="3" t="n">
        <v>0</v>
      </c>
      <c r="L730" s="3" t="n">
        <v>6.68</v>
      </c>
    </row>
    <row r="731">
      <c r="A731" s="3" t="inlineStr">
        <is>
          <t>ORD-10730</t>
        </is>
      </c>
      <c r="B731" s="6" t="n">
        <v>45818</v>
      </c>
      <c r="C731" s="3" t="inlineStr">
        <is>
          <t>Accessories</t>
        </is>
      </c>
      <c r="D731" s="3" t="inlineStr">
        <is>
          <t>Watches</t>
        </is>
      </c>
      <c r="E731" s="3" t="inlineStr">
        <is>
          <t>Ashanti</t>
        </is>
      </c>
      <c r="F731" s="3" t="inlineStr">
        <is>
          <t>Retail Shop</t>
        </is>
      </c>
      <c r="G731" s="3" t="inlineStr">
        <is>
          <t>New</t>
        </is>
      </c>
      <c r="H731" s="3" t="n">
        <v>1</v>
      </c>
      <c r="I731" s="3" t="n">
        <v>90</v>
      </c>
      <c r="J731" s="3" t="n">
        <v>40.52</v>
      </c>
      <c r="K731" s="3" t="n">
        <v>0.1</v>
      </c>
      <c r="L731" s="3" t="n">
        <v>2.53</v>
      </c>
    </row>
    <row r="732">
      <c r="A732" s="3" t="inlineStr">
        <is>
          <t>ORD-10731</t>
        </is>
      </c>
      <c r="B732" s="6" t="n">
        <v>45944</v>
      </c>
      <c r="C732" s="3" t="inlineStr">
        <is>
          <t>Clothing</t>
        </is>
      </c>
      <c r="D732" s="3" t="inlineStr">
        <is>
          <t>Trousers</t>
        </is>
      </c>
      <c r="E732" s="3" t="inlineStr">
        <is>
          <t>Greater Accra</t>
        </is>
      </c>
      <c r="F732" s="3" t="inlineStr">
        <is>
          <t>Phone/WhatsApp</t>
        </is>
      </c>
      <c r="G732" s="3" t="inlineStr">
        <is>
          <t>Returning</t>
        </is>
      </c>
      <c r="H732" s="3" t="n">
        <v>2</v>
      </c>
      <c r="I732" s="3" t="n">
        <v>80</v>
      </c>
      <c r="J732" s="3" t="n">
        <v>36.99</v>
      </c>
      <c r="K732" s="3" t="n">
        <v>0</v>
      </c>
      <c r="L732" s="3" t="n">
        <v>39</v>
      </c>
    </row>
    <row r="733">
      <c r="A733" s="3" t="inlineStr">
        <is>
          <t>ORD-10732</t>
        </is>
      </c>
      <c r="B733" s="6" t="n">
        <v>45884</v>
      </c>
      <c r="C733" s="3" t="inlineStr">
        <is>
          <t>Clothing</t>
        </is>
      </c>
      <c r="D733" s="3" t="inlineStr">
        <is>
          <t>Jackets</t>
        </is>
      </c>
      <c r="E733" s="3" t="inlineStr">
        <is>
          <t>Greater Accra</t>
        </is>
      </c>
      <c r="F733" s="3" t="inlineStr">
        <is>
          <t>Online</t>
        </is>
      </c>
      <c r="G733" s="3" t="inlineStr">
        <is>
          <t>Returning</t>
        </is>
      </c>
      <c r="H733" s="3" t="n">
        <v>1</v>
      </c>
      <c r="I733" s="3" t="n">
        <v>135</v>
      </c>
      <c r="J733" s="3" t="n">
        <v>77.93000000000001</v>
      </c>
      <c r="K733" s="3" t="n">
        <v>0.1</v>
      </c>
      <c r="L733" s="3" t="n">
        <v>44.18</v>
      </c>
    </row>
    <row r="734">
      <c r="A734" s="3" t="inlineStr">
        <is>
          <t>ORD-10733</t>
        </is>
      </c>
      <c r="B734" s="6" t="n">
        <v>45951</v>
      </c>
      <c r="C734" s="3" t="inlineStr">
        <is>
          <t>Footwear</t>
        </is>
      </c>
      <c r="D734" s="3" t="inlineStr">
        <is>
          <t>Boots</t>
        </is>
      </c>
      <c r="E734" s="3" t="inlineStr">
        <is>
          <t>Ashanti</t>
        </is>
      </c>
      <c r="F734" s="3" t="inlineStr">
        <is>
          <t>Phone/WhatsApp</t>
        </is>
      </c>
      <c r="G734" s="3" t="inlineStr">
        <is>
          <t>New</t>
        </is>
      </c>
      <c r="H734" s="3" t="n">
        <v>2</v>
      </c>
      <c r="I734" s="3" t="n">
        <v>235</v>
      </c>
      <c r="J734" s="3" t="n">
        <v>126.09</v>
      </c>
      <c r="K734" s="3" t="n">
        <v>0.1</v>
      </c>
      <c r="L734" s="3" t="n">
        <v>35.29</v>
      </c>
    </row>
    <row r="735">
      <c r="A735" s="3" t="inlineStr">
        <is>
          <t>ORD-10734</t>
        </is>
      </c>
      <c r="B735" s="6" t="n">
        <v>45717</v>
      </c>
      <c r="C735" s="3" t="inlineStr">
        <is>
          <t>Clothing</t>
        </is>
      </c>
      <c r="D735" s="3" t="inlineStr">
        <is>
          <t>Shirts</t>
        </is>
      </c>
      <c r="E735" s="3" t="inlineStr">
        <is>
          <t>Greater Accra</t>
        </is>
      </c>
      <c r="F735" s="3" t="inlineStr">
        <is>
          <t>Online</t>
        </is>
      </c>
      <c r="G735" s="3" t="inlineStr">
        <is>
          <t>New</t>
        </is>
      </c>
      <c r="H735" s="3" t="n">
        <v>1</v>
      </c>
      <c r="I735" s="3" t="n">
        <v>195</v>
      </c>
      <c r="J735" s="3" t="n">
        <v>108.53</v>
      </c>
      <c r="K735" s="3" t="n">
        <v>0</v>
      </c>
      <c r="L735" s="3" t="n">
        <v>30.86</v>
      </c>
    </row>
    <row r="736">
      <c r="A736" s="3" t="inlineStr">
        <is>
          <t>ORD-10735</t>
        </is>
      </c>
      <c r="B736" s="6" t="n">
        <v>45660</v>
      </c>
      <c r="C736" s="3" t="inlineStr">
        <is>
          <t>Clothing</t>
        </is>
      </c>
      <c r="D736" s="3" t="inlineStr">
        <is>
          <t>Jackets</t>
        </is>
      </c>
      <c r="E736" s="3" t="inlineStr">
        <is>
          <t>Ashanti</t>
        </is>
      </c>
      <c r="F736" s="3" t="inlineStr">
        <is>
          <t>Retail Shop</t>
        </is>
      </c>
      <c r="G736" s="3" t="inlineStr">
        <is>
          <t>New</t>
        </is>
      </c>
      <c r="H736" s="3" t="n">
        <v>1</v>
      </c>
      <c r="I736" s="3" t="n">
        <v>105</v>
      </c>
      <c r="J736" s="3" t="n">
        <v>48.88</v>
      </c>
      <c r="K736" s="3" t="n">
        <v>0</v>
      </c>
      <c r="L736" s="3" t="n">
        <v>1.57</v>
      </c>
    </row>
    <row r="737">
      <c r="A737" s="3" t="inlineStr">
        <is>
          <t>ORD-10736</t>
        </is>
      </c>
      <c r="B737" s="6" t="n">
        <v>45661</v>
      </c>
      <c r="C737" s="3" t="inlineStr">
        <is>
          <t>Clothing</t>
        </is>
      </c>
      <c r="D737" s="3" t="inlineStr">
        <is>
          <t>Dresses</t>
        </is>
      </c>
      <c r="E737" s="3" t="inlineStr">
        <is>
          <t>Western</t>
        </is>
      </c>
      <c r="F737" s="3" t="inlineStr">
        <is>
          <t>Online</t>
        </is>
      </c>
      <c r="G737" s="3" t="inlineStr">
        <is>
          <t>New</t>
        </is>
      </c>
      <c r="H737" s="3" t="n">
        <v>8</v>
      </c>
      <c r="I737" s="3" t="n">
        <v>115</v>
      </c>
      <c r="J737" s="3" t="n">
        <v>57.67</v>
      </c>
      <c r="K737" s="3" t="n">
        <v>0</v>
      </c>
      <c r="L737" s="3" t="n">
        <v>44.61</v>
      </c>
    </row>
    <row r="738">
      <c r="A738" s="3" t="inlineStr">
        <is>
          <t>ORD-10737</t>
        </is>
      </c>
      <c r="B738" s="6" t="n">
        <v>45879</v>
      </c>
      <c r="C738" s="3" t="inlineStr">
        <is>
          <t>Footwear</t>
        </is>
      </c>
      <c r="D738" s="3" t="inlineStr">
        <is>
          <t>Sneakers</t>
        </is>
      </c>
      <c r="E738" s="3" t="inlineStr">
        <is>
          <t>Western</t>
        </is>
      </c>
      <c r="F738" s="3" t="inlineStr">
        <is>
          <t>Online</t>
        </is>
      </c>
      <c r="G738" s="3" t="inlineStr">
        <is>
          <t>Returning</t>
        </is>
      </c>
      <c r="H738" s="3" t="n">
        <v>1</v>
      </c>
      <c r="I738" s="3" t="n">
        <v>175</v>
      </c>
      <c r="J738" s="3" t="n">
        <v>90.26000000000001</v>
      </c>
      <c r="K738" s="3" t="n">
        <v>0</v>
      </c>
      <c r="L738" s="3" t="n">
        <v>27.83</v>
      </c>
    </row>
    <row r="739">
      <c r="A739" s="3" t="inlineStr">
        <is>
          <t>ORD-10738</t>
        </is>
      </c>
      <c r="B739" s="6" t="n">
        <v>45815</v>
      </c>
      <c r="C739" s="3" t="inlineStr">
        <is>
          <t>Accessories</t>
        </is>
      </c>
      <c r="D739" s="3" t="inlineStr">
        <is>
          <t>Bags</t>
        </is>
      </c>
      <c r="E739" s="3" t="inlineStr">
        <is>
          <t>Western</t>
        </is>
      </c>
      <c r="F739" s="3" t="inlineStr">
        <is>
          <t>Retail Shop</t>
        </is>
      </c>
      <c r="G739" s="3" t="inlineStr">
        <is>
          <t>Returning</t>
        </is>
      </c>
      <c r="H739" s="3" t="n">
        <v>2</v>
      </c>
      <c r="I739" s="3" t="n">
        <v>100</v>
      </c>
      <c r="J739" s="3" t="n">
        <v>50.71</v>
      </c>
      <c r="K739" s="3" t="n">
        <v>0.1</v>
      </c>
      <c r="L739" s="3" t="n">
        <v>6.26</v>
      </c>
    </row>
    <row r="740">
      <c r="A740" s="3" t="inlineStr">
        <is>
          <t>ORD-10739</t>
        </is>
      </c>
      <c r="B740" s="6" t="n">
        <v>45798</v>
      </c>
      <c r="C740" s="3" t="inlineStr">
        <is>
          <t>Accessories</t>
        </is>
      </c>
      <c r="D740" s="3" t="inlineStr">
        <is>
          <t>Sunglasses</t>
        </is>
      </c>
      <c r="E740" s="3" t="inlineStr">
        <is>
          <t>Central</t>
        </is>
      </c>
      <c r="F740" s="3" t="inlineStr">
        <is>
          <t>Online</t>
        </is>
      </c>
      <c r="G740" s="3" t="inlineStr">
        <is>
          <t>Returning</t>
        </is>
      </c>
      <c r="H740" s="3" t="n">
        <v>2</v>
      </c>
      <c r="I740" s="3" t="n">
        <v>175</v>
      </c>
      <c r="J740" s="3" t="n">
        <v>84.48</v>
      </c>
      <c r="K740" s="3" t="n">
        <v>0.15</v>
      </c>
      <c r="L740" s="3" t="n">
        <v>30.08</v>
      </c>
    </row>
    <row r="741">
      <c r="A741" s="3" t="inlineStr">
        <is>
          <t>ORD-10740</t>
        </is>
      </c>
      <c r="B741" s="6" t="n">
        <v>45666</v>
      </c>
      <c r="C741" s="3" t="inlineStr">
        <is>
          <t>Accessories</t>
        </is>
      </c>
      <c r="D741" s="3" t="inlineStr">
        <is>
          <t>Watches</t>
        </is>
      </c>
      <c r="E741" s="3" t="inlineStr">
        <is>
          <t>Greater Accra</t>
        </is>
      </c>
      <c r="F741" s="3" t="inlineStr">
        <is>
          <t>Phone/WhatsApp</t>
        </is>
      </c>
      <c r="G741" s="3" t="inlineStr">
        <is>
          <t>Returning</t>
        </is>
      </c>
      <c r="H741" s="3" t="n">
        <v>2</v>
      </c>
      <c r="I741" s="3" t="n">
        <v>70</v>
      </c>
      <c r="J741" s="3" t="n">
        <v>32.61</v>
      </c>
      <c r="K741" s="3" t="n">
        <v>0</v>
      </c>
      <c r="L741" s="3" t="n">
        <v>30.34</v>
      </c>
    </row>
    <row r="742">
      <c r="A742" s="3" t="inlineStr">
        <is>
          <t>ORD-10741</t>
        </is>
      </c>
      <c r="B742" s="6" t="n">
        <v>45986</v>
      </c>
      <c r="C742" s="3" t="inlineStr">
        <is>
          <t>Footwear</t>
        </is>
      </c>
      <c r="D742" s="3" t="inlineStr">
        <is>
          <t>Boots</t>
        </is>
      </c>
      <c r="E742" s="3" t="inlineStr">
        <is>
          <t>Greater Accra</t>
        </is>
      </c>
      <c r="F742" s="3" t="inlineStr">
        <is>
          <t>Online</t>
        </is>
      </c>
      <c r="G742" s="3" t="inlineStr">
        <is>
          <t>New</t>
        </is>
      </c>
      <c r="H742" s="3" t="n">
        <v>2</v>
      </c>
      <c r="I742" s="3" t="n">
        <v>350</v>
      </c>
      <c r="J742" s="3" t="n">
        <v>178.36</v>
      </c>
      <c r="K742" s="3" t="n">
        <v>0</v>
      </c>
      <c r="L742" s="3" t="n">
        <v>23.73</v>
      </c>
    </row>
    <row r="743">
      <c r="A743" s="3" t="inlineStr">
        <is>
          <t>ORD-10742</t>
        </is>
      </c>
      <c r="B743" s="6" t="n">
        <v>45818</v>
      </c>
      <c r="C743" s="3" t="inlineStr">
        <is>
          <t>Clothing</t>
        </is>
      </c>
      <c r="D743" s="3" t="inlineStr">
        <is>
          <t>Trousers</t>
        </is>
      </c>
      <c r="E743" s="3" t="inlineStr">
        <is>
          <t>Western</t>
        </is>
      </c>
      <c r="F743" s="3" t="inlineStr">
        <is>
          <t>Online</t>
        </is>
      </c>
      <c r="G743" s="3" t="inlineStr">
        <is>
          <t>Returning</t>
        </is>
      </c>
      <c r="H743" s="3" t="n">
        <v>2</v>
      </c>
      <c r="I743" s="3" t="n">
        <v>105</v>
      </c>
      <c r="J743" s="3" t="n">
        <v>54.5</v>
      </c>
      <c r="K743" s="3" t="n">
        <v>0.05</v>
      </c>
      <c r="L743" s="3" t="n">
        <v>36.92</v>
      </c>
    </row>
    <row r="744">
      <c r="A744" s="3" t="inlineStr">
        <is>
          <t>ORD-10743</t>
        </is>
      </c>
      <c r="B744" s="6" t="n">
        <v>45909</v>
      </c>
      <c r="C744" s="3" t="inlineStr">
        <is>
          <t>Clothing</t>
        </is>
      </c>
      <c r="D744" s="3" t="inlineStr">
        <is>
          <t>Dresses</t>
        </is>
      </c>
      <c r="E744" s="3" t="inlineStr">
        <is>
          <t>Ashanti</t>
        </is>
      </c>
      <c r="F744" s="3" t="inlineStr">
        <is>
          <t>Phone/WhatsApp</t>
        </is>
      </c>
      <c r="G744" s="3" t="inlineStr">
        <is>
          <t>Returning</t>
        </is>
      </c>
      <c r="H744" s="3" t="n">
        <v>8</v>
      </c>
      <c r="I744" s="3" t="n">
        <v>245</v>
      </c>
      <c r="J744" s="3" t="n">
        <v>131.9</v>
      </c>
      <c r="K744" s="3" t="n">
        <v>0</v>
      </c>
      <c r="L744" s="3" t="n">
        <v>9.970000000000001</v>
      </c>
    </row>
    <row r="745">
      <c r="A745" s="3" t="inlineStr">
        <is>
          <t>ORD-10744</t>
        </is>
      </c>
      <c r="B745" s="6" t="n">
        <v>45972</v>
      </c>
      <c r="C745" s="3" t="inlineStr">
        <is>
          <t>Footwear</t>
        </is>
      </c>
      <c r="D745" s="3" t="inlineStr">
        <is>
          <t>Formal Shoes</t>
        </is>
      </c>
      <c r="E745" s="3" t="inlineStr">
        <is>
          <t>Greater Accra</t>
        </is>
      </c>
      <c r="F745" s="3" t="inlineStr">
        <is>
          <t>Phone/WhatsApp</t>
        </is>
      </c>
      <c r="G745" s="3" t="inlineStr">
        <is>
          <t>Returning</t>
        </is>
      </c>
      <c r="H745" s="3" t="n">
        <v>6</v>
      </c>
      <c r="I745" s="3" t="n">
        <v>295</v>
      </c>
      <c r="J745" s="3" t="n">
        <v>158.94</v>
      </c>
      <c r="K745" s="3" t="n">
        <v>0.05</v>
      </c>
      <c r="L745" s="3" t="n">
        <v>13.35</v>
      </c>
    </row>
    <row r="746">
      <c r="A746" s="3" t="inlineStr">
        <is>
          <t>ORD-10745</t>
        </is>
      </c>
      <c r="B746" s="6" t="n">
        <v>45711</v>
      </c>
      <c r="C746" s="3" t="inlineStr">
        <is>
          <t>Clothing</t>
        </is>
      </c>
      <c r="D746" s="3" t="inlineStr">
        <is>
          <t>Trousers</t>
        </is>
      </c>
      <c r="E746" s="3" t="inlineStr">
        <is>
          <t>Ashanti</t>
        </is>
      </c>
      <c r="F746" s="3" t="inlineStr">
        <is>
          <t>Phone/WhatsApp</t>
        </is>
      </c>
      <c r="G746" s="3" t="inlineStr">
        <is>
          <t>Returning</t>
        </is>
      </c>
      <c r="H746" s="3" t="n">
        <v>2</v>
      </c>
      <c r="I746" s="3" t="n">
        <v>155</v>
      </c>
      <c r="J746" s="3" t="n">
        <v>82.66</v>
      </c>
      <c r="K746" s="3" t="n">
        <v>0.1</v>
      </c>
      <c r="L746" s="3" t="n">
        <v>34.6</v>
      </c>
    </row>
    <row r="747">
      <c r="A747" s="3" t="inlineStr">
        <is>
          <t>ORD-10746</t>
        </is>
      </c>
      <c r="B747" s="6" t="n">
        <v>45804</v>
      </c>
      <c r="C747" s="3" t="inlineStr">
        <is>
          <t>Accessories</t>
        </is>
      </c>
      <c r="D747" s="3" t="inlineStr">
        <is>
          <t>Watches</t>
        </is>
      </c>
      <c r="E747" s="3" t="inlineStr">
        <is>
          <t>Greater Accra</t>
        </is>
      </c>
      <c r="F747" s="3" t="inlineStr">
        <is>
          <t>Online</t>
        </is>
      </c>
      <c r="G747" s="3" t="inlineStr">
        <is>
          <t>New</t>
        </is>
      </c>
      <c r="H747" s="3" t="n">
        <v>2</v>
      </c>
      <c r="I747" s="3" t="n">
        <v>130</v>
      </c>
      <c r="J747" s="3" t="n">
        <v>59.92</v>
      </c>
      <c r="K747" s="3" t="n">
        <v>0.05</v>
      </c>
      <c r="L747" s="3" t="n">
        <v>28.74</v>
      </c>
    </row>
    <row r="748">
      <c r="A748" s="3" t="inlineStr">
        <is>
          <t>ORD-10747</t>
        </is>
      </c>
      <c r="B748" s="6" t="n">
        <v>45740</v>
      </c>
      <c r="C748" s="3" t="inlineStr">
        <is>
          <t>Accessories</t>
        </is>
      </c>
      <c r="D748" s="3" t="inlineStr">
        <is>
          <t>Belts</t>
        </is>
      </c>
      <c r="E748" s="3" t="inlineStr">
        <is>
          <t>Ashanti</t>
        </is>
      </c>
      <c r="F748" s="3" t="inlineStr">
        <is>
          <t>Phone/WhatsApp</t>
        </is>
      </c>
      <c r="G748" s="3" t="inlineStr">
        <is>
          <t>Returning</t>
        </is>
      </c>
      <c r="H748" s="3" t="n">
        <v>1</v>
      </c>
      <c r="I748" s="3" t="n">
        <v>95</v>
      </c>
      <c r="J748" s="3" t="n">
        <v>48.19</v>
      </c>
      <c r="K748" s="3" t="n">
        <v>0.1</v>
      </c>
      <c r="L748" s="3" t="n">
        <v>17.88</v>
      </c>
    </row>
    <row r="749">
      <c r="A749" s="3" t="inlineStr">
        <is>
          <t>ORD-10748</t>
        </is>
      </c>
      <c r="B749" s="6" t="n">
        <v>45894</v>
      </c>
      <c r="C749" s="3" t="inlineStr">
        <is>
          <t>Clothing</t>
        </is>
      </c>
      <c r="D749" s="3" t="inlineStr">
        <is>
          <t>Dresses</t>
        </is>
      </c>
      <c r="E749" s="3" t="inlineStr">
        <is>
          <t>Greater Accra</t>
        </is>
      </c>
      <c r="F749" s="3" t="inlineStr">
        <is>
          <t>Retail Shop</t>
        </is>
      </c>
      <c r="G749" s="3" t="inlineStr">
        <is>
          <t>Returning</t>
        </is>
      </c>
      <c r="H749" s="3" t="n">
        <v>1</v>
      </c>
      <c r="I749" s="3" t="n">
        <v>145</v>
      </c>
      <c r="J749" s="3" t="n">
        <v>80.87</v>
      </c>
      <c r="K749" s="3" t="n">
        <v>0.1</v>
      </c>
      <c r="L749" s="3" t="n">
        <v>4.82</v>
      </c>
    </row>
    <row r="750">
      <c r="A750" s="3" t="inlineStr">
        <is>
          <t>ORD-10749</t>
        </is>
      </c>
      <c r="B750" s="6" t="n">
        <v>45792</v>
      </c>
      <c r="C750" s="3" t="inlineStr">
        <is>
          <t>Footwear</t>
        </is>
      </c>
      <c r="D750" s="3" t="inlineStr">
        <is>
          <t>Formal Shoes</t>
        </is>
      </c>
      <c r="E750" s="3" t="inlineStr">
        <is>
          <t>Greater Accra</t>
        </is>
      </c>
      <c r="F750" s="3" t="inlineStr">
        <is>
          <t>Retail Shop</t>
        </is>
      </c>
      <c r="G750" s="3" t="inlineStr">
        <is>
          <t>Returning</t>
        </is>
      </c>
      <c r="H750" s="3" t="n">
        <v>4</v>
      </c>
      <c r="I750" s="3" t="n">
        <v>450</v>
      </c>
      <c r="J750" s="3" t="n">
        <v>226.52</v>
      </c>
      <c r="K750" s="3" t="n">
        <v>0.15</v>
      </c>
      <c r="L750" s="3" t="n">
        <v>10.57</v>
      </c>
    </row>
    <row r="751">
      <c r="A751" s="3" t="inlineStr">
        <is>
          <t>ORD-10750</t>
        </is>
      </c>
      <c r="B751" s="6" t="n">
        <v>45878</v>
      </c>
      <c r="C751" s="3" t="inlineStr">
        <is>
          <t>Footwear</t>
        </is>
      </c>
      <c r="D751" s="3" t="inlineStr">
        <is>
          <t>Sneakers</t>
        </is>
      </c>
      <c r="E751" s="3" t="inlineStr">
        <is>
          <t>Greater Accra</t>
        </is>
      </c>
      <c r="F751" s="3" t="inlineStr">
        <is>
          <t>Online</t>
        </is>
      </c>
      <c r="G751" s="3" t="inlineStr">
        <is>
          <t>Returning</t>
        </is>
      </c>
      <c r="H751" s="3" t="n">
        <v>3</v>
      </c>
      <c r="I751" s="3" t="n">
        <v>340</v>
      </c>
      <c r="J751" s="3" t="n">
        <v>173.11</v>
      </c>
      <c r="K751" s="3" t="n">
        <v>0.1</v>
      </c>
      <c r="L751" s="3" t="n">
        <v>27.19</v>
      </c>
    </row>
    <row r="752">
      <c r="A752" s="3" t="inlineStr">
        <is>
          <t>ORD-10751</t>
        </is>
      </c>
      <c r="B752" s="6" t="n">
        <v>45953</v>
      </c>
      <c r="C752" s="3" t="inlineStr">
        <is>
          <t>Footwear</t>
        </is>
      </c>
      <c r="D752" s="3" t="inlineStr">
        <is>
          <t>Sandals</t>
        </is>
      </c>
      <c r="E752" s="3" t="inlineStr">
        <is>
          <t>Greater Accra</t>
        </is>
      </c>
      <c r="F752" s="3" t="inlineStr">
        <is>
          <t>Retail Shop</t>
        </is>
      </c>
      <c r="G752" s="3" t="inlineStr">
        <is>
          <t>Returning</t>
        </is>
      </c>
      <c r="H752" s="3" t="n">
        <v>3</v>
      </c>
      <c r="I752" s="3" t="n">
        <v>175</v>
      </c>
      <c r="J752" s="3" t="n">
        <v>103.83</v>
      </c>
      <c r="K752" s="3" t="n">
        <v>0.05</v>
      </c>
      <c r="L752" s="3" t="n">
        <v>7.1</v>
      </c>
    </row>
    <row r="753">
      <c r="A753" s="3" t="inlineStr">
        <is>
          <t>ORD-10752</t>
        </is>
      </c>
      <c r="B753" s="6" t="n">
        <v>45662</v>
      </c>
      <c r="C753" s="3" t="inlineStr">
        <is>
          <t>Accessories</t>
        </is>
      </c>
      <c r="D753" s="3" t="inlineStr">
        <is>
          <t>Watches</t>
        </is>
      </c>
      <c r="E753" s="3" t="inlineStr">
        <is>
          <t>Greater Accra</t>
        </is>
      </c>
      <c r="F753" s="3" t="inlineStr">
        <is>
          <t>Retail Shop</t>
        </is>
      </c>
      <c r="G753" s="3" t="inlineStr">
        <is>
          <t>New</t>
        </is>
      </c>
      <c r="H753" s="3" t="n">
        <v>2</v>
      </c>
      <c r="I753" s="3" t="n">
        <v>60</v>
      </c>
      <c r="J753" s="3" t="n">
        <v>28.05</v>
      </c>
      <c r="K753" s="3" t="n">
        <v>0</v>
      </c>
      <c r="L753" s="3" t="n">
        <v>11.38</v>
      </c>
    </row>
    <row r="754">
      <c r="A754" s="3" t="inlineStr">
        <is>
          <t>ORD-10753</t>
        </is>
      </c>
      <c r="B754" s="6" t="n">
        <v>45894</v>
      </c>
      <c r="C754" s="3" t="inlineStr">
        <is>
          <t>Clothing</t>
        </is>
      </c>
      <c r="D754" s="3" t="inlineStr">
        <is>
          <t>Jackets</t>
        </is>
      </c>
      <c r="E754" s="3" t="inlineStr">
        <is>
          <t>Western</t>
        </is>
      </c>
      <c r="F754" s="3" t="inlineStr">
        <is>
          <t>Retail Shop</t>
        </is>
      </c>
      <c r="G754" s="3" t="inlineStr">
        <is>
          <t>Returning</t>
        </is>
      </c>
      <c r="H754" s="3" t="n">
        <v>2</v>
      </c>
      <c r="I754" s="3" t="n">
        <v>170</v>
      </c>
      <c r="J754" s="3" t="n">
        <v>92.84</v>
      </c>
      <c r="K754" s="3" t="n">
        <v>0.15</v>
      </c>
      <c r="L754" s="3" t="n">
        <v>8.74</v>
      </c>
    </row>
    <row r="755">
      <c r="A755" s="3" t="inlineStr">
        <is>
          <t>ORD-10754</t>
        </is>
      </c>
      <c r="B755" s="6" t="n">
        <v>45738</v>
      </c>
      <c r="C755" s="3" t="inlineStr">
        <is>
          <t>Footwear</t>
        </is>
      </c>
      <c r="D755" s="3" t="inlineStr">
        <is>
          <t>Boots</t>
        </is>
      </c>
      <c r="E755" s="3" t="inlineStr">
        <is>
          <t>Ashanti</t>
        </is>
      </c>
      <c r="F755" s="3" t="inlineStr">
        <is>
          <t>Phone/WhatsApp</t>
        </is>
      </c>
      <c r="G755" s="3" t="inlineStr">
        <is>
          <t>Returning</t>
        </is>
      </c>
      <c r="H755" s="3" t="n">
        <v>1</v>
      </c>
      <c r="I755" s="3" t="n">
        <v>215</v>
      </c>
      <c r="J755" s="3" t="n">
        <v>134.13</v>
      </c>
      <c r="K755" s="3" t="n">
        <v>0.05</v>
      </c>
      <c r="L755" s="3" t="n">
        <v>8.220000000000001</v>
      </c>
    </row>
    <row r="756">
      <c r="A756" s="3" t="inlineStr">
        <is>
          <t>ORD-10755</t>
        </is>
      </c>
      <c r="B756" s="6" t="n">
        <v>45928</v>
      </c>
      <c r="C756" s="3" t="inlineStr">
        <is>
          <t>Home &amp; Lifestyle</t>
        </is>
      </c>
      <c r="D756" s="3" t="inlineStr">
        <is>
          <t>Backpacks</t>
        </is>
      </c>
      <c r="E756" s="3" t="inlineStr">
        <is>
          <t>Ashanti</t>
        </is>
      </c>
      <c r="F756" s="3" t="inlineStr">
        <is>
          <t>Retail Shop</t>
        </is>
      </c>
      <c r="G756" s="3" t="inlineStr">
        <is>
          <t>New</t>
        </is>
      </c>
      <c r="H756" s="3" t="n">
        <v>5</v>
      </c>
      <c r="I756" s="3" t="n">
        <v>105</v>
      </c>
      <c r="J756" s="3" t="n">
        <v>60.38</v>
      </c>
      <c r="K756" s="3" t="n">
        <v>0</v>
      </c>
      <c r="L756" s="3" t="n">
        <v>1.27</v>
      </c>
    </row>
    <row r="757">
      <c r="A757" s="3" t="inlineStr">
        <is>
          <t>ORD-10756</t>
        </is>
      </c>
      <c r="B757" s="6" t="n">
        <v>45948</v>
      </c>
      <c r="C757" s="3" t="inlineStr">
        <is>
          <t>Footwear</t>
        </is>
      </c>
      <c r="D757" s="3" t="inlineStr">
        <is>
          <t>Sneakers</t>
        </is>
      </c>
      <c r="E757" s="3" t="inlineStr">
        <is>
          <t>Western</t>
        </is>
      </c>
      <c r="F757" s="3" t="inlineStr">
        <is>
          <t>Online</t>
        </is>
      </c>
      <c r="G757" s="3" t="inlineStr">
        <is>
          <t>New</t>
        </is>
      </c>
      <c r="H757" s="3" t="n">
        <v>2</v>
      </c>
      <c r="I757" s="3" t="n">
        <v>160</v>
      </c>
      <c r="J757" s="3" t="n">
        <v>86.95999999999999</v>
      </c>
      <c r="K757" s="3" t="n">
        <v>0</v>
      </c>
      <c r="L757" s="3" t="n">
        <v>13.21</v>
      </c>
    </row>
    <row r="758">
      <c r="A758" s="3" t="inlineStr">
        <is>
          <t>ORD-10757</t>
        </is>
      </c>
      <c r="B758" s="6" t="n">
        <v>46019</v>
      </c>
      <c r="C758" s="3" t="inlineStr">
        <is>
          <t>Accessories</t>
        </is>
      </c>
      <c r="D758" s="3" t="inlineStr">
        <is>
          <t>Sunglasses</t>
        </is>
      </c>
      <c r="E758" s="3" t="inlineStr">
        <is>
          <t>Western</t>
        </is>
      </c>
      <c r="F758" s="3" t="inlineStr">
        <is>
          <t>Retail Shop</t>
        </is>
      </c>
      <c r="G758" s="3" t="inlineStr">
        <is>
          <t>Returning</t>
        </is>
      </c>
      <c r="H758" s="3" t="n">
        <v>3</v>
      </c>
      <c r="I758" s="3" t="n">
        <v>90</v>
      </c>
      <c r="J758" s="3" t="n">
        <v>48.24</v>
      </c>
      <c r="K758" s="3" t="n">
        <v>0.05</v>
      </c>
      <c r="L758" s="3" t="n">
        <v>3.12</v>
      </c>
    </row>
    <row r="759">
      <c r="A759" s="3" t="inlineStr">
        <is>
          <t>ORD-10758</t>
        </is>
      </c>
      <c r="B759" s="6" t="n">
        <v>45975</v>
      </c>
      <c r="C759" s="3" t="inlineStr">
        <is>
          <t>Accessories</t>
        </is>
      </c>
      <c r="D759" s="3" t="inlineStr">
        <is>
          <t>Belts</t>
        </is>
      </c>
      <c r="E759" s="3" t="inlineStr">
        <is>
          <t>Greater Accra</t>
        </is>
      </c>
      <c r="F759" s="3" t="inlineStr">
        <is>
          <t>Retail Shop</t>
        </is>
      </c>
      <c r="G759" s="3" t="inlineStr">
        <is>
          <t>Returning</t>
        </is>
      </c>
      <c r="H759" s="3" t="n">
        <v>3</v>
      </c>
      <c r="I759" s="3" t="n">
        <v>90</v>
      </c>
      <c r="J759" s="3" t="n">
        <v>44.69</v>
      </c>
      <c r="K759" s="3" t="n">
        <v>0</v>
      </c>
      <c r="L759" s="3" t="n">
        <v>1.46</v>
      </c>
    </row>
    <row r="760">
      <c r="A760" s="3" t="inlineStr">
        <is>
          <t>ORD-10759</t>
        </is>
      </c>
      <c r="B760" s="6" t="n">
        <v>45942</v>
      </c>
      <c r="C760" s="3" t="inlineStr">
        <is>
          <t>Clothing</t>
        </is>
      </c>
      <c r="D760" s="3" t="inlineStr">
        <is>
          <t>Dresses</t>
        </is>
      </c>
      <c r="E760" s="3" t="inlineStr">
        <is>
          <t>Western</t>
        </is>
      </c>
      <c r="F760" s="3" t="inlineStr">
        <is>
          <t>Retail Shop</t>
        </is>
      </c>
      <c r="G760" s="3" t="inlineStr">
        <is>
          <t>Returning</t>
        </is>
      </c>
      <c r="H760" s="3" t="n">
        <v>2</v>
      </c>
      <c r="I760" s="3" t="n">
        <v>215</v>
      </c>
      <c r="J760" s="3" t="n">
        <v>107.08</v>
      </c>
      <c r="K760" s="3" t="n">
        <v>0</v>
      </c>
      <c r="L760" s="3" t="n">
        <v>11.46</v>
      </c>
    </row>
    <row r="761">
      <c r="A761" s="3" t="inlineStr">
        <is>
          <t>ORD-10760</t>
        </is>
      </c>
      <c r="B761" s="6" t="n">
        <v>45994</v>
      </c>
      <c r="C761" s="3" t="inlineStr">
        <is>
          <t>Footwear</t>
        </is>
      </c>
      <c r="D761" s="3" t="inlineStr">
        <is>
          <t>Boots</t>
        </is>
      </c>
      <c r="E761" s="3" t="inlineStr">
        <is>
          <t>Western</t>
        </is>
      </c>
      <c r="F761" s="3" t="inlineStr">
        <is>
          <t>Online</t>
        </is>
      </c>
      <c r="G761" s="3" t="inlineStr">
        <is>
          <t>Returning</t>
        </is>
      </c>
      <c r="H761" s="3" t="n">
        <v>3</v>
      </c>
      <c r="I761" s="3" t="n">
        <v>330</v>
      </c>
      <c r="J761" s="3" t="n">
        <v>205.17</v>
      </c>
      <c r="K761" s="3" t="n">
        <v>0.1</v>
      </c>
      <c r="L761" s="3" t="n">
        <v>35.95</v>
      </c>
    </row>
    <row r="762">
      <c r="A762" s="3" t="inlineStr">
        <is>
          <t>ORD-10761</t>
        </is>
      </c>
      <c r="B762" s="6" t="n">
        <v>45732</v>
      </c>
      <c r="C762" s="3" t="inlineStr">
        <is>
          <t>Home &amp; Lifestyle</t>
        </is>
      </c>
      <c r="D762" s="3" t="inlineStr">
        <is>
          <t>Small Home Goods</t>
        </is>
      </c>
      <c r="E762" s="3" t="inlineStr">
        <is>
          <t>Northern</t>
        </is>
      </c>
      <c r="F762" s="3" t="inlineStr">
        <is>
          <t>Phone/WhatsApp</t>
        </is>
      </c>
      <c r="G762" s="3" t="inlineStr">
        <is>
          <t>Returning</t>
        </is>
      </c>
      <c r="H762" s="3" t="n">
        <v>1</v>
      </c>
      <c r="I762" s="3" t="n">
        <v>130</v>
      </c>
      <c r="J762" s="3" t="n">
        <v>76.14</v>
      </c>
      <c r="K762" s="3" t="n">
        <v>0.1</v>
      </c>
      <c r="L762" s="3" t="n">
        <v>13.17</v>
      </c>
    </row>
    <row r="763">
      <c r="A763" s="3" t="inlineStr">
        <is>
          <t>ORD-10762</t>
        </is>
      </c>
      <c r="B763" s="6" t="n">
        <v>45989</v>
      </c>
      <c r="C763" s="3" t="inlineStr">
        <is>
          <t>Footwear</t>
        </is>
      </c>
      <c r="D763" s="3" t="inlineStr">
        <is>
          <t>Formal Shoes</t>
        </is>
      </c>
      <c r="E763" s="3" t="inlineStr">
        <is>
          <t>Northern</t>
        </is>
      </c>
      <c r="F763" s="3" t="inlineStr">
        <is>
          <t>Retail Shop</t>
        </is>
      </c>
      <c r="G763" s="3" t="inlineStr">
        <is>
          <t>Returning</t>
        </is>
      </c>
      <c r="H763" s="3" t="n">
        <v>5</v>
      </c>
      <c r="I763" s="3" t="n">
        <v>380</v>
      </c>
      <c r="J763" s="3" t="n">
        <v>196.08</v>
      </c>
      <c r="K763" s="3" t="n">
        <v>0</v>
      </c>
      <c r="L763" s="3" t="n">
        <v>2.6</v>
      </c>
    </row>
    <row r="764">
      <c r="A764" s="3" t="inlineStr">
        <is>
          <t>ORD-10763</t>
        </is>
      </c>
      <c r="B764" s="6" t="n">
        <v>45916</v>
      </c>
      <c r="C764" s="3" t="inlineStr">
        <is>
          <t>Footwear</t>
        </is>
      </c>
      <c r="D764" s="3" t="inlineStr">
        <is>
          <t>Boots</t>
        </is>
      </c>
      <c r="E764" s="3" t="inlineStr">
        <is>
          <t>Western</t>
        </is>
      </c>
      <c r="F764" s="3" t="inlineStr">
        <is>
          <t>Retail Shop</t>
        </is>
      </c>
      <c r="G764" s="3" t="inlineStr">
        <is>
          <t>New</t>
        </is>
      </c>
      <c r="H764" s="3" t="n">
        <v>1</v>
      </c>
      <c r="I764" s="3" t="n">
        <v>290</v>
      </c>
      <c r="J764" s="3" t="n">
        <v>165.77</v>
      </c>
      <c r="K764" s="3" t="n">
        <v>0.1</v>
      </c>
      <c r="L764" s="3" t="n">
        <v>0.5</v>
      </c>
    </row>
    <row r="765">
      <c r="A765" s="3" t="inlineStr">
        <is>
          <t>ORD-10764</t>
        </is>
      </c>
      <c r="B765" s="6" t="n">
        <v>45952</v>
      </c>
      <c r="C765" s="3" t="inlineStr">
        <is>
          <t>Footwear</t>
        </is>
      </c>
      <c r="D765" s="3" t="inlineStr">
        <is>
          <t>Sneakers</t>
        </is>
      </c>
      <c r="E765" s="3" t="inlineStr">
        <is>
          <t>Greater Accra</t>
        </is>
      </c>
      <c r="F765" s="3" t="inlineStr">
        <is>
          <t>Online</t>
        </is>
      </c>
      <c r="G765" s="3" t="inlineStr">
        <is>
          <t>Returning</t>
        </is>
      </c>
      <c r="H765" s="3" t="n">
        <v>1</v>
      </c>
      <c r="I765" s="3" t="n">
        <v>260</v>
      </c>
      <c r="J765" s="3" t="n">
        <v>150.39</v>
      </c>
      <c r="K765" s="3" t="n">
        <v>0.1</v>
      </c>
      <c r="L765" s="3" t="n">
        <v>27.22</v>
      </c>
    </row>
    <row r="766">
      <c r="A766" s="3" t="inlineStr">
        <is>
          <t>ORD-10765</t>
        </is>
      </c>
      <c r="B766" s="6" t="n">
        <v>45819</v>
      </c>
      <c r="C766" s="3" t="inlineStr">
        <is>
          <t>Clothing</t>
        </is>
      </c>
      <c r="D766" s="3" t="inlineStr">
        <is>
          <t>Trousers</t>
        </is>
      </c>
      <c r="E766" s="3" t="inlineStr">
        <is>
          <t>Western</t>
        </is>
      </c>
      <c r="F766" s="3" t="inlineStr">
        <is>
          <t>Online</t>
        </is>
      </c>
      <c r="G766" s="3" t="inlineStr">
        <is>
          <t>Returning</t>
        </is>
      </c>
      <c r="H766" s="3" t="n">
        <v>4</v>
      </c>
      <c r="I766" s="3" t="n">
        <v>120</v>
      </c>
      <c r="J766" s="3" t="n">
        <v>62.1</v>
      </c>
      <c r="K766" s="3" t="n">
        <v>0</v>
      </c>
      <c r="L766" s="3" t="n">
        <v>43.06</v>
      </c>
    </row>
    <row r="767">
      <c r="A767" s="3" t="inlineStr">
        <is>
          <t>ORD-10766</t>
        </is>
      </c>
      <c r="B767" s="6" t="n">
        <v>45860</v>
      </c>
      <c r="C767" s="3" t="inlineStr">
        <is>
          <t>Accessories</t>
        </is>
      </c>
      <c r="D767" s="3" t="inlineStr">
        <is>
          <t>Watches</t>
        </is>
      </c>
      <c r="E767" s="3" t="inlineStr">
        <is>
          <t>Greater Accra</t>
        </is>
      </c>
      <c r="F767" s="3" t="inlineStr">
        <is>
          <t>Retail Shop</t>
        </is>
      </c>
      <c r="G767" s="3" t="inlineStr">
        <is>
          <t>Returning</t>
        </is>
      </c>
      <c r="H767" s="3" t="n">
        <v>1</v>
      </c>
      <c r="I767" s="3" t="n">
        <v>105</v>
      </c>
      <c r="J767" s="3" t="n">
        <v>55.79</v>
      </c>
      <c r="K767" s="3" t="n">
        <v>0.1</v>
      </c>
      <c r="L767" s="3" t="n">
        <v>9.25</v>
      </c>
    </row>
    <row r="768">
      <c r="A768" s="3" t="inlineStr">
        <is>
          <t>ORD-10767</t>
        </is>
      </c>
      <c r="B768" s="6" t="n">
        <v>45828</v>
      </c>
      <c r="C768" s="3" t="inlineStr">
        <is>
          <t>Clothing</t>
        </is>
      </c>
      <c r="D768" s="3" t="inlineStr">
        <is>
          <t>Jackets</t>
        </is>
      </c>
      <c r="E768" s="3" t="inlineStr">
        <is>
          <t>Greater Accra</t>
        </is>
      </c>
      <c r="F768" s="3" t="inlineStr">
        <is>
          <t>Retail Shop</t>
        </is>
      </c>
      <c r="G768" s="3" t="inlineStr">
        <is>
          <t>New</t>
        </is>
      </c>
      <c r="H768" s="3" t="n">
        <v>2</v>
      </c>
      <c r="I768" s="3" t="n">
        <v>130</v>
      </c>
      <c r="J768" s="3" t="n">
        <v>67.52</v>
      </c>
      <c r="K768" s="3" t="n">
        <v>0</v>
      </c>
      <c r="L768" s="3" t="n">
        <v>1</v>
      </c>
    </row>
    <row r="769">
      <c r="A769" s="3" t="inlineStr">
        <is>
          <t>ORD-10768</t>
        </is>
      </c>
      <c r="B769" s="6" t="n">
        <v>45928</v>
      </c>
      <c r="C769" s="3" t="inlineStr">
        <is>
          <t>Clothing</t>
        </is>
      </c>
      <c r="D769" s="3" t="inlineStr">
        <is>
          <t>Dresses</t>
        </is>
      </c>
      <c r="E769" s="3" t="inlineStr">
        <is>
          <t>Greater Accra</t>
        </is>
      </c>
      <c r="F769" s="3" t="inlineStr">
        <is>
          <t>Retail Shop</t>
        </is>
      </c>
      <c r="G769" s="3" t="inlineStr">
        <is>
          <t>New</t>
        </is>
      </c>
      <c r="H769" s="3" t="n">
        <v>2</v>
      </c>
      <c r="I769" s="3" t="n">
        <v>115</v>
      </c>
      <c r="J769" s="3" t="n">
        <v>52.66</v>
      </c>
      <c r="K769" s="3" t="n">
        <v>0</v>
      </c>
      <c r="L769" s="3" t="n">
        <v>7.42</v>
      </c>
    </row>
    <row r="770">
      <c r="A770" s="3" t="inlineStr">
        <is>
          <t>ORD-10769</t>
        </is>
      </c>
      <c r="B770" s="6" t="n">
        <v>45766</v>
      </c>
      <c r="C770" s="3" t="inlineStr">
        <is>
          <t>Clothing</t>
        </is>
      </c>
      <c r="D770" s="3" t="inlineStr">
        <is>
          <t>Jackets</t>
        </is>
      </c>
      <c r="E770" s="3" t="inlineStr">
        <is>
          <t>Greater Accra</t>
        </is>
      </c>
      <c r="F770" s="3" t="inlineStr">
        <is>
          <t>Retail Shop</t>
        </is>
      </c>
      <c r="G770" s="3" t="inlineStr">
        <is>
          <t>Returning</t>
        </is>
      </c>
      <c r="H770" s="3" t="n">
        <v>1</v>
      </c>
      <c r="I770" s="3" t="n">
        <v>165</v>
      </c>
      <c r="J770" s="3" t="n">
        <v>84.83</v>
      </c>
      <c r="K770" s="3" t="n">
        <v>0.05</v>
      </c>
      <c r="L770" s="3" t="n">
        <v>3.72</v>
      </c>
    </row>
    <row r="771">
      <c r="A771" s="3" t="inlineStr">
        <is>
          <t>ORD-10770</t>
        </is>
      </c>
      <c r="B771" s="6" t="n">
        <v>45977</v>
      </c>
      <c r="C771" s="3" t="inlineStr">
        <is>
          <t>Footwear</t>
        </is>
      </c>
      <c r="D771" s="3" t="inlineStr">
        <is>
          <t>Sandals</t>
        </is>
      </c>
      <c r="E771" s="3" t="inlineStr">
        <is>
          <t>Greater Accra</t>
        </is>
      </c>
      <c r="F771" s="3" t="inlineStr">
        <is>
          <t>Online</t>
        </is>
      </c>
      <c r="G771" s="3" t="inlineStr">
        <is>
          <t>Returning</t>
        </is>
      </c>
      <c r="H771" s="3" t="n">
        <v>1</v>
      </c>
      <c r="I771" s="3" t="n">
        <v>135</v>
      </c>
      <c r="J771" s="3" t="n">
        <v>84.38</v>
      </c>
      <c r="K771" s="3" t="n">
        <v>0</v>
      </c>
      <c r="L771" s="3" t="n">
        <v>12.09</v>
      </c>
    </row>
    <row r="772">
      <c r="A772" s="3" t="inlineStr">
        <is>
          <t>ORD-10771</t>
        </is>
      </c>
      <c r="B772" s="6" t="n">
        <v>45799</v>
      </c>
      <c r="C772" s="3" t="inlineStr">
        <is>
          <t>Clothing</t>
        </is>
      </c>
      <c r="D772" s="3" t="inlineStr">
        <is>
          <t>Trousers</t>
        </is>
      </c>
      <c r="E772" s="3" t="inlineStr">
        <is>
          <t>Greater Accra</t>
        </is>
      </c>
      <c r="F772" s="3" t="inlineStr">
        <is>
          <t>Phone/WhatsApp</t>
        </is>
      </c>
      <c r="G772" s="3" t="inlineStr">
        <is>
          <t>Returning</t>
        </is>
      </c>
      <c r="H772" s="3" t="n">
        <v>4</v>
      </c>
      <c r="I772" s="3" t="n">
        <v>115</v>
      </c>
      <c r="J772" s="3" t="n">
        <v>57.56</v>
      </c>
      <c r="K772" s="3" t="n">
        <v>0</v>
      </c>
      <c r="L772" s="3" t="n">
        <v>34.18</v>
      </c>
    </row>
    <row r="773">
      <c r="A773" s="3" t="inlineStr">
        <is>
          <t>ORD-10772</t>
        </is>
      </c>
      <c r="B773" s="6" t="n">
        <v>45851</v>
      </c>
      <c r="C773" s="3" t="inlineStr">
        <is>
          <t>Footwear</t>
        </is>
      </c>
      <c r="D773" s="3" t="inlineStr">
        <is>
          <t>Boots</t>
        </is>
      </c>
      <c r="E773" s="3" t="inlineStr">
        <is>
          <t>Greater Accra</t>
        </is>
      </c>
      <c r="F773" s="3" t="inlineStr">
        <is>
          <t>Online</t>
        </is>
      </c>
      <c r="G773" s="3" t="inlineStr">
        <is>
          <t>Returning</t>
        </is>
      </c>
      <c r="H773" s="3" t="n">
        <v>2</v>
      </c>
      <c r="I773" s="3" t="n">
        <v>195</v>
      </c>
      <c r="J773" s="3" t="n">
        <v>99.43000000000001</v>
      </c>
      <c r="K773" s="3" t="n">
        <v>0</v>
      </c>
      <c r="L773" s="3" t="n">
        <v>39.21</v>
      </c>
    </row>
    <row r="774">
      <c r="A774" s="3" t="inlineStr">
        <is>
          <t>ORD-10773</t>
        </is>
      </c>
      <c r="B774" s="6" t="n">
        <v>45835</v>
      </c>
      <c r="C774" s="3" t="inlineStr">
        <is>
          <t>Footwear</t>
        </is>
      </c>
      <c r="D774" s="3" t="inlineStr">
        <is>
          <t>Sandals</t>
        </is>
      </c>
      <c r="E774" s="3" t="inlineStr">
        <is>
          <t>Greater Accra</t>
        </is>
      </c>
      <c r="F774" s="3" t="inlineStr">
        <is>
          <t>Online</t>
        </is>
      </c>
      <c r="G774" s="3" t="inlineStr">
        <is>
          <t>Returning</t>
        </is>
      </c>
      <c r="H774" s="3" t="n">
        <v>2</v>
      </c>
      <c r="I774" s="3" t="n">
        <v>265</v>
      </c>
      <c r="J774" s="3" t="n">
        <v>146.01</v>
      </c>
      <c r="K774" s="3" t="n">
        <v>0.2</v>
      </c>
      <c r="L774" s="3" t="n">
        <v>13.47</v>
      </c>
    </row>
    <row r="775">
      <c r="A775" s="3" t="inlineStr">
        <is>
          <t>ORD-10774</t>
        </is>
      </c>
      <c r="B775" s="6" t="n">
        <v>45883</v>
      </c>
      <c r="C775" s="3" t="inlineStr">
        <is>
          <t>Footwear</t>
        </is>
      </c>
      <c r="D775" s="3" t="inlineStr">
        <is>
          <t>Sandals</t>
        </is>
      </c>
      <c r="E775" s="3" t="inlineStr">
        <is>
          <t>Western</t>
        </is>
      </c>
      <c r="F775" s="3" t="inlineStr">
        <is>
          <t>Retail Shop</t>
        </is>
      </c>
      <c r="G775" s="3" t="inlineStr">
        <is>
          <t>Returning</t>
        </is>
      </c>
      <c r="H775" s="3" t="n">
        <v>2</v>
      </c>
      <c r="I775" s="3" t="n">
        <v>235</v>
      </c>
      <c r="J775" s="3" t="n">
        <v>131.94</v>
      </c>
      <c r="K775" s="3" t="n">
        <v>0</v>
      </c>
      <c r="L775" s="3" t="n">
        <v>10.1</v>
      </c>
    </row>
    <row r="776">
      <c r="A776" s="3" t="inlineStr">
        <is>
          <t>ORD-10775</t>
        </is>
      </c>
      <c r="B776" s="6" t="n">
        <v>45720</v>
      </c>
      <c r="C776" s="3" t="inlineStr">
        <is>
          <t>Accessories</t>
        </is>
      </c>
      <c r="D776" s="3" t="inlineStr">
        <is>
          <t>Bags</t>
        </is>
      </c>
      <c r="E776" s="3" t="inlineStr">
        <is>
          <t>Greater Accra</t>
        </is>
      </c>
      <c r="F776" s="3" t="inlineStr">
        <is>
          <t>Retail Shop</t>
        </is>
      </c>
      <c r="G776" s="3" t="inlineStr">
        <is>
          <t>New</t>
        </is>
      </c>
      <c r="H776" s="3" t="n">
        <v>1</v>
      </c>
      <c r="I776" s="3" t="n">
        <v>70</v>
      </c>
      <c r="J776" s="3" t="n">
        <v>32.64</v>
      </c>
      <c r="K776" s="3" t="n">
        <v>0</v>
      </c>
      <c r="L776" s="3" t="n">
        <v>7.25</v>
      </c>
    </row>
    <row r="777">
      <c r="A777" s="3" t="inlineStr">
        <is>
          <t>ORD-10776</t>
        </is>
      </c>
      <c r="B777" s="6" t="n">
        <v>45937</v>
      </c>
      <c r="C777" s="3" t="inlineStr">
        <is>
          <t>Clothing</t>
        </is>
      </c>
      <c r="D777" s="3" t="inlineStr">
        <is>
          <t>Jackets</t>
        </is>
      </c>
      <c r="E777" s="3" t="inlineStr">
        <is>
          <t>Greater Accra</t>
        </is>
      </c>
      <c r="F777" s="3" t="inlineStr">
        <is>
          <t>Online</t>
        </is>
      </c>
      <c r="G777" s="3" t="inlineStr">
        <is>
          <t>Returning</t>
        </is>
      </c>
      <c r="H777" s="3" t="n">
        <v>1</v>
      </c>
      <c r="I777" s="3" t="n">
        <v>195</v>
      </c>
      <c r="J777" s="3" t="n">
        <v>99.84999999999999</v>
      </c>
      <c r="K777" s="3" t="n">
        <v>0</v>
      </c>
      <c r="L777" s="3" t="n">
        <v>16.17</v>
      </c>
    </row>
    <row r="778">
      <c r="A778" s="3" t="inlineStr">
        <is>
          <t>ORD-10777</t>
        </is>
      </c>
      <c r="B778" s="6" t="n">
        <v>45770</v>
      </c>
      <c r="C778" s="3" t="inlineStr">
        <is>
          <t>Accessories</t>
        </is>
      </c>
      <c r="D778" s="3" t="inlineStr">
        <is>
          <t>Watches</t>
        </is>
      </c>
      <c r="E778" s="3" t="inlineStr">
        <is>
          <t>Greater Accra</t>
        </is>
      </c>
      <c r="F778" s="3" t="inlineStr">
        <is>
          <t>Retail Shop</t>
        </is>
      </c>
      <c r="G778" s="3" t="inlineStr">
        <is>
          <t>Returning</t>
        </is>
      </c>
      <c r="H778" s="3" t="n">
        <v>2</v>
      </c>
      <c r="I778" s="3" t="n">
        <v>95</v>
      </c>
      <c r="J778" s="3" t="n">
        <v>49.24</v>
      </c>
      <c r="K778" s="3" t="n">
        <v>0</v>
      </c>
      <c r="L778" s="3" t="n">
        <v>2.84</v>
      </c>
    </row>
    <row r="779">
      <c r="A779" s="3" t="inlineStr">
        <is>
          <t>ORD-10778</t>
        </is>
      </c>
      <c r="B779" s="6" t="n">
        <v>45991</v>
      </c>
      <c r="C779" s="3" t="inlineStr">
        <is>
          <t>Footwear</t>
        </is>
      </c>
      <c r="D779" s="3" t="inlineStr">
        <is>
          <t>Sandals</t>
        </is>
      </c>
      <c r="E779" s="3" t="inlineStr">
        <is>
          <t>Northern</t>
        </is>
      </c>
      <c r="F779" s="3" t="inlineStr">
        <is>
          <t>Retail Shop</t>
        </is>
      </c>
      <c r="G779" s="3" t="inlineStr">
        <is>
          <t>Returning</t>
        </is>
      </c>
      <c r="H779" s="3" t="n">
        <v>2</v>
      </c>
      <c r="I779" s="3" t="n">
        <v>390</v>
      </c>
      <c r="J779" s="3" t="n">
        <v>206.51</v>
      </c>
      <c r="K779" s="3" t="n">
        <v>0.1</v>
      </c>
      <c r="L779" s="3" t="n">
        <v>1.26</v>
      </c>
    </row>
    <row r="780">
      <c r="A780" s="3" t="inlineStr">
        <is>
          <t>ORD-10779</t>
        </is>
      </c>
      <c r="B780" s="6" t="n">
        <v>46014</v>
      </c>
      <c r="C780" s="3" t="inlineStr">
        <is>
          <t>Footwear</t>
        </is>
      </c>
      <c r="D780" s="3" t="inlineStr">
        <is>
          <t>Sandals</t>
        </is>
      </c>
      <c r="E780" s="3" t="inlineStr">
        <is>
          <t>Greater Accra</t>
        </is>
      </c>
      <c r="F780" s="3" t="inlineStr">
        <is>
          <t>Online</t>
        </is>
      </c>
      <c r="G780" s="3" t="inlineStr">
        <is>
          <t>Returning</t>
        </is>
      </c>
      <c r="H780" s="3" t="n">
        <v>4</v>
      </c>
      <c r="I780" s="3" t="n">
        <v>350</v>
      </c>
      <c r="J780" s="3" t="n">
        <v>176.95</v>
      </c>
      <c r="K780" s="3" t="n">
        <v>0.05</v>
      </c>
      <c r="L780" s="3" t="n">
        <v>19.89</v>
      </c>
    </row>
    <row r="781">
      <c r="A781" s="3" t="inlineStr">
        <is>
          <t>ORD-10780</t>
        </is>
      </c>
      <c r="B781" s="6" t="n">
        <v>45714</v>
      </c>
      <c r="C781" s="3" t="inlineStr">
        <is>
          <t>Accessories</t>
        </is>
      </c>
      <c r="D781" s="3" t="inlineStr">
        <is>
          <t>Bags</t>
        </is>
      </c>
      <c r="E781" s="3" t="inlineStr">
        <is>
          <t>Greater Accra</t>
        </is>
      </c>
      <c r="F781" s="3" t="inlineStr">
        <is>
          <t>Online</t>
        </is>
      </c>
      <c r="G781" s="3" t="inlineStr">
        <is>
          <t>New</t>
        </is>
      </c>
      <c r="H781" s="3" t="n">
        <v>2</v>
      </c>
      <c r="I781" s="3" t="n">
        <v>125</v>
      </c>
      <c r="J781" s="3" t="n">
        <v>57.26</v>
      </c>
      <c r="K781" s="3" t="n">
        <v>0</v>
      </c>
      <c r="L781" s="3" t="n">
        <v>16.55</v>
      </c>
    </row>
    <row r="782">
      <c r="A782" s="3" t="inlineStr">
        <is>
          <t>ORD-10781</t>
        </is>
      </c>
      <c r="B782" s="6" t="n">
        <v>45857</v>
      </c>
      <c r="C782" s="3" t="inlineStr">
        <is>
          <t>Clothing</t>
        </is>
      </c>
      <c r="D782" s="3" t="inlineStr">
        <is>
          <t>Jackets</t>
        </is>
      </c>
      <c r="E782" s="3" t="inlineStr">
        <is>
          <t>Central</t>
        </is>
      </c>
      <c r="F782" s="3" t="inlineStr">
        <is>
          <t>Online</t>
        </is>
      </c>
      <c r="G782" s="3" t="inlineStr">
        <is>
          <t>Returning</t>
        </is>
      </c>
      <c r="H782" s="3" t="n">
        <v>1</v>
      </c>
      <c r="I782" s="3" t="n">
        <v>110</v>
      </c>
      <c r="J782" s="3" t="n">
        <v>55.94</v>
      </c>
      <c r="K782" s="3" t="n">
        <v>0</v>
      </c>
      <c r="L782" s="3" t="n">
        <v>20.39</v>
      </c>
    </row>
    <row r="783">
      <c r="A783" s="3" t="inlineStr">
        <is>
          <t>ORD-10782</t>
        </is>
      </c>
      <c r="B783" s="6" t="n">
        <v>45760</v>
      </c>
      <c r="C783" s="3" t="inlineStr">
        <is>
          <t>Home &amp; Lifestyle</t>
        </is>
      </c>
      <c r="D783" s="3" t="inlineStr">
        <is>
          <t>Backpacks</t>
        </is>
      </c>
      <c r="E783" s="3" t="inlineStr">
        <is>
          <t>Greater Accra</t>
        </is>
      </c>
      <c r="F783" s="3" t="inlineStr">
        <is>
          <t>Retail Shop</t>
        </is>
      </c>
      <c r="G783" s="3" t="inlineStr">
        <is>
          <t>Returning</t>
        </is>
      </c>
      <c r="H783" s="3" t="n">
        <v>1</v>
      </c>
      <c r="I783" s="3" t="n">
        <v>120</v>
      </c>
      <c r="J783" s="3" t="n">
        <v>58.96</v>
      </c>
      <c r="K783" s="3" t="n">
        <v>0.05</v>
      </c>
      <c r="L783" s="3" t="n">
        <v>10.8</v>
      </c>
    </row>
    <row r="784">
      <c r="A784" s="3" t="inlineStr">
        <is>
          <t>ORD-10783</t>
        </is>
      </c>
      <c r="B784" s="6" t="n">
        <v>45796</v>
      </c>
      <c r="C784" s="3" t="inlineStr">
        <is>
          <t>Clothing</t>
        </is>
      </c>
      <c r="D784" s="3" t="inlineStr">
        <is>
          <t>Jackets</t>
        </is>
      </c>
      <c r="E784" s="3" t="inlineStr">
        <is>
          <t>Greater Accra</t>
        </is>
      </c>
      <c r="F784" s="3" t="inlineStr">
        <is>
          <t>Retail Shop</t>
        </is>
      </c>
      <c r="G784" s="3" t="inlineStr">
        <is>
          <t>Returning</t>
        </is>
      </c>
      <c r="H784" s="3" t="n">
        <v>1</v>
      </c>
      <c r="I784" s="3" t="n">
        <v>115</v>
      </c>
      <c r="J784" s="3" t="n">
        <v>57.07</v>
      </c>
      <c r="K784" s="3" t="n">
        <v>0.15</v>
      </c>
      <c r="L784" s="3" t="n">
        <v>7.86</v>
      </c>
    </row>
    <row r="785">
      <c r="A785" s="3" t="inlineStr">
        <is>
          <t>ORD-10784</t>
        </is>
      </c>
      <c r="B785" s="6" t="n">
        <v>45967</v>
      </c>
      <c r="C785" s="3" t="inlineStr">
        <is>
          <t>Home &amp; Lifestyle</t>
        </is>
      </c>
      <c r="D785" s="3" t="inlineStr">
        <is>
          <t>Travel Mugs</t>
        </is>
      </c>
      <c r="E785" s="3" t="inlineStr">
        <is>
          <t>Greater Accra</t>
        </is>
      </c>
      <c r="F785" s="3" t="inlineStr">
        <is>
          <t>Retail Shop</t>
        </is>
      </c>
      <c r="G785" s="3" t="inlineStr">
        <is>
          <t>Returning</t>
        </is>
      </c>
      <c r="H785" s="3" t="n">
        <v>6</v>
      </c>
      <c r="I785" s="3" t="n">
        <v>105</v>
      </c>
      <c r="J785" s="3" t="n">
        <v>61.81</v>
      </c>
      <c r="K785" s="3" t="n">
        <v>0</v>
      </c>
      <c r="L785" s="3" t="n">
        <v>1.27</v>
      </c>
    </row>
    <row r="786">
      <c r="A786" s="3" t="inlineStr">
        <is>
          <t>ORD-10785</t>
        </is>
      </c>
      <c r="B786" s="6" t="n">
        <v>45873</v>
      </c>
      <c r="C786" s="3" t="inlineStr">
        <is>
          <t>Footwear</t>
        </is>
      </c>
      <c r="D786" s="3" t="inlineStr">
        <is>
          <t>Sandals</t>
        </is>
      </c>
      <c r="E786" s="3" t="inlineStr">
        <is>
          <t>Ashanti</t>
        </is>
      </c>
      <c r="F786" s="3" t="inlineStr">
        <is>
          <t>Phone/WhatsApp</t>
        </is>
      </c>
      <c r="G786" s="3" t="inlineStr">
        <is>
          <t>Returning</t>
        </is>
      </c>
      <c r="H786" s="3" t="n">
        <v>2</v>
      </c>
      <c r="I786" s="3" t="n">
        <v>215</v>
      </c>
      <c r="J786" s="3" t="n">
        <v>132.08</v>
      </c>
      <c r="K786" s="3" t="n">
        <v>0</v>
      </c>
      <c r="L786" s="3" t="n">
        <v>36.77</v>
      </c>
    </row>
    <row r="787">
      <c r="A787" s="3" t="inlineStr">
        <is>
          <t>ORD-10786</t>
        </is>
      </c>
      <c r="B787" s="6" t="n">
        <v>45889</v>
      </c>
      <c r="C787" s="3" t="inlineStr">
        <is>
          <t>Clothing</t>
        </is>
      </c>
      <c r="D787" s="3" t="inlineStr">
        <is>
          <t>Trousers</t>
        </is>
      </c>
      <c r="E787" s="3" t="inlineStr">
        <is>
          <t>Ashanti</t>
        </is>
      </c>
      <c r="F787" s="3" t="inlineStr">
        <is>
          <t>Online</t>
        </is>
      </c>
      <c r="G787" s="3" t="inlineStr">
        <is>
          <t>New</t>
        </is>
      </c>
      <c r="H787" s="3" t="n">
        <v>1</v>
      </c>
      <c r="I787" s="3" t="n">
        <v>90</v>
      </c>
      <c r="J787" s="3" t="n">
        <v>48.83</v>
      </c>
      <c r="K787" s="3" t="n">
        <v>0.15</v>
      </c>
      <c r="L787" s="3" t="n">
        <v>14.08</v>
      </c>
    </row>
    <row r="788">
      <c r="A788" s="3" t="inlineStr">
        <is>
          <t>ORD-10787</t>
        </is>
      </c>
      <c r="B788" s="6" t="n">
        <v>45810</v>
      </c>
      <c r="C788" s="3" t="inlineStr">
        <is>
          <t>Footwear</t>
        </is>
      </c>
      <c r="D788" s="3" t="inlineStr">
        <is>
          <t>Boots</t>
        </is>
      </c>
      <c r="E788" s="3" t="inlineStr">
        <is>
          <t>Western</t>
        </is>
      </c>
      <c r="F788" s="3" t="inlineStr">
        <is>
          <t>Retail Shop</t>
        </is>
      </c>
      <c r="G788" s="3" t="inlineStr">
        <is>
          <t>Returning</t>
        </is>
      </c>
      <c r="H788" s="3" t="n">
        <v>1</v>
      </c>
      <c r="I788" s="3" t="n">
        <v>215</v>
      </c>
      <c r="J788" s="3" t="n">
        <v>120.3</v>
      </c>
      <c r="K788" s="3" t="n">
        <v>0</v>
      </c>
      <c r="L788" s="3" t="n">
        <v>6.79</v>
      </c>
    </row>
    <row r="789">
      <c r="A789" s="3" t="inlineStr">
        <is>
          <t>ORD-10788</t>
        </is>
      </c>
      <c r="B789" s="6" t="n">
        <v>45822</v>
      </c>
      <c r="C789" s="3" t="inlineStr">
        <is>
          <t>Clothing</t>
        </is>
      </c>
      <c r="D789" s="3" t="inlineStr">
        <is>
          <t>Trousers</t>
        </is>
      </c>
      <c r="E789" s="3" t="inlineStr">
        <is>
          <t>Western</t>
        </is>
      </c>
      <c r="F789" s="3" t="inlineStr">
        <is>
          <t>Online</t>
        </is>
      </c>
      <c r="G789" s="3" t="inlineStr">
        <is>
          <t>Returning</t>
        </is>
      </c>
      <c r="H789" s="3" t="n">
        <v>2</v>
      </c>
      <c r="I789" s="3" t="n">
        <v>80</v>
      </c>
      <c r="J789" s="3" t="n">
        <v>37.74</v>
      </c>
      <c r="K789" s="3" t="n">
        <v>0.05</v>
      </c>
      <c r="L789" s="3" t="n">
        <v>42.66</v>
      </c>
    </row>
    <row r="790">
      <c r="A790" s="3" t="inlineStr">
        <is>
          <t>ORD-10789</t>
        </is>
      </c>
      <c r="B790" s="6" t="n">
        <v>45723</v>
      </c>
      <c r="C790" s="3" t="inlineStr">
        <is>
          <t>Accessories</t>
        </is>
      </c>
      <c r="D790" s="3" t="inlineStr">
        <is>
          <t>Watches</t>
        </is>
      </c>
      <c r="E790" s="3" t="inlineStr">
        <is>
          <t>Greater Accra</t>
        </is>
      </c>
      <c r="F790" s="3" t="inlineStr">
        <is>
          <t>Phone/WhatsApp</t>
        </is>
      </c>
      <c r="G790" s="3" t="inlineStr">
        <is>
          <t>New</t>
        </is>
      </c>
      <c r="H790" s="3" t="n">
        <v>1</v>
      </c>
      <c r="I790" s="3" t="n">
        <v>60</v>
      </c>
      <c r="J790" s="3" t="n">
        <v>30.64</v>
      </c>
      <c r="K790" s="3" t="n">
        <v>0</v>
      </c>
      <c r="L790" s="3" t="n">
        <v>17.65</v>
      </c>
    </row>
    <row r="791">
      <c r="A791" s="3" t="inlineStr">
        <is>
          <t>ORD-10790</t>
        </is>
      </c>
      <c r="B791" s="6" t="n">
        <v>45823</v>
      </c>
      <c r="C791" s="3" t="inlineStr">
        <is>
          <t>Accessories</t>
        </is>
      </c>
      <c r="D791" s="3" t="inlineStr">
        <is>
          <t>Bags</t>
        </is>
      </c>
      <c r="E791" s="3" t="inlineStr">
        <is>
          <t>Greater Accra</t>
        </is>
      </c>
      <c r="F791" s="3" t="inlineStr">
        <is>
          <t>Retail Shop</t>
        </is>
      </c>
      <c r="G791" s="3" t="inlineStr">
        <is>
          <t>Returning</t>
        </is>
      </c>
      <c r="H791" s="3" t="n">
        <v>3</v>
      </c>
      <c r="I791" s="3" t="n">
        <v>70</v>
      </c>
      <c r="J791" s="3" t="n">
        <v>34.51</v>
      </c>
      <c r="K791" s="3" t="n">
        <v>0</v>
      </c>
      <c r="L791" s="3" t="n">
        <v>8.58</v>
      </c>
    </row>
    <row r="792">
      <c r="A792" s="3" t="inlineStr">
        <is>
          <t>ORD-10791</t>
        </is>
      </c>
      <c r="B792" s="6" t="n">
        <v>45881</v>
      </c>
      <c r="C792" s="3" t="inlineStr">
        <is>
          <t>Home &amp; Lifestyle</t>
        </is>
      </c>
      <c r="D792" s="3" t="inlineStr">
        <is>
          <t>Small Home Goods</t>
        </is>
      </c>
      <c r="E792" s="3" t="inlineStr">
        <is>
          <t>Greater Accra</t>
        </is>
      </c>
      <c r="F792" s="3" t="inlineStr">
        <is>
          <t>Phone/WhatsApp</t>
        </is>
      </c>
      <c r="G792" s="3" t="inlineStr">
        <is>
          <t>Returning</t>
        </is>
      </c>
      <c r="H792" s="3" t="n">
        <v>2</v>
      </c>
      <c r="I792" s="3" t="n">
        <v>170</v>
      </c>
      <c r="J792" s="3" t="n">
        <v>89.40000000000001</v>
      </c>
      <c r="K792" s="3" t="n">
        <v>0.1</v>
      </c>
      <c r="L792" s="3" t="n">
        <v>40.53</v>
      </c>
    </row>
    <row r="793">
      <c r="A793" s="3" t="inlineStr">
        <is>
          <t>ORD-10792</t>
        </is>
      </c>
      <c r="B793" s="6" t="n">
        <v>45907</v>
      </c>
      <c r="C793" s="3" t="inlineStr">
        <is>
          <t>Footwear</t>
        </is>
      </c>
      <c r="D793" s="3" t="inlineStr">
        <is>
          <t>Sandals</t>
        </is>
      </c>
      <c r="E793" s="3" t="inlineStr">
        <is>
          <t>Greater Accra</t>
        </is>
      </c>
      <c r="F793" s="3" t="inlineStr">
        <is>
          <t>Online</t>
        </is>
      </c>
      <c r="G793" s="3" t="inlineStr">
        <is>
          <t>Returning</t>
        </is>
      </c>
      <c r="H793" s="3" t="n">
        <v>4</v>
      </c>
      <c r="I793" s="3" t="n">
        <v>240</v>
      </c>
      <c r="J793" s="3" t="n">
        <v>142.74</v>
      </c>
      <c r="K793" s="3" t="n">
        <v>0.1</v>
      </c>
      <c r="L793" s="3" t="n">
        <v>41.25</v>
      </c>
    </row>
    <row r="794">
      <c r="A794" s="3" t="inlineStr">
        <is>
          <t>ORD-10793</t>
        </is>
      </c>
      <c r="B794" s="6" t="n">
        <v>45930</v>
      </c>
      <c r="C794" s="3" t="inlineStr">
        <is>
          <t>Footwear</t>
        </is>
      </c>
      <c r="D794" s="3" t="inlineStr">
        <is>
          <t>Formal Shoes</t>
        </is>
      </c>
      <c r="E794" s="3" t="inlineStr">
        <is>
          <t>Central</t>
        </is>
      </c>
      <c r="F794" s="3" t="inlineStr">
        <is>
          <t>Online</t>
        </is>
      </c>
      <c r="G794" s="3" t="inlineStr">
        <is>
          <t>New</t>
        </is>
      </c>
      <c r="H794" s="3" t="n">
        <v>1</v>
      </c>
      <c r="I794" s="3" t="n">
        <v>245</v>
      </c>
      <c r="J794" s="3" t="n">
        <v>133.05</v>
      </c>
      <c r="K794" s="3" t="n">
        <v>0.05</v>
      </c>
      <c r="L794" s="3" t="n">
        <v>33.34</v>
      </c>
    </row>
    <row r="795">
      <c r="A795" s="3" t="inlineStr">
        <is>
          <t>ORD-10794</t>
        </is>
      </c>
      <c r="B795" s="6" t="n">
        <v>45912</v>
      </c>
      <c r="C795" s="3" t="inlineStr">
        <is>
          <t>Footwear</t>
        </is>
      </c>
      <c r="D795" s="3" t="inlineStr">
        <is>
          <t>Sandals</t>
        </is>
      </c>
      <c r="E795" s="3" t="inlineStr">
        <is>
          <t>Ashanti</t>
        </is>
      </c>
      <c r="F795" s="3" t="inlineStr">
        <is>
          <t>Retail Shop</t>
        </is>
      </c>
      <c r="G795" s="3" t="inlineStr">
        <is>
          <t>Returning</t>
        </is>
      </c>
      <c r="H795" s="3" t="n">
        <v>3</v>
      </c>
      <c r="I795" s="3" t="n">
        <v>155</v>
      </c>
      <c r="J795" s="3" t="n">
        <v>92.91</v>
      </c>
      <c r="K795" s="3" t="n">
        <v>0</v>
      </c>
      <c r="L795" s="3" t="n">
        <v>1.44</v>
      </c>
    </row>
    <row r="796">
      <c r="A796" s="3" t="inlineStr">
        <is>
          <t>ORD-10795</t>
        </is>
      </c>
      <c r="B796" s="6" t="n">
        <v>45659</v>
      </c>
      <c r="C796" s="3" t="inlineStr">
        <is>
          <t>Clothing</t>
        </is>
      </c>
      <c r="D796" s="3" t="inlineStr">
        <is>
          <t>Trousers</t>
        </is>
      </c>
      <c r="E796" s="3" t="inlineStr">
        <is>
          <t>Greater Accra</t>
        </is>
      </c>
      <c r="F796" s="3" t="inlineStr">
        <is>
          <t>Retail Shop</t>
        </is>
      </c>
      <c r="G796" s="3" t="inlineStr">
        <is>
          <t>New</t>
        </is>
      </c>
      <c r="H796" s="3" t="n">
        <v>2</v>
      </c>
      <c r="I796" s="3" t="n">
        <v>135</v>
      </c>
      <c r="J796" s="3" t="n">
        <v>75.51000000000001</v>
      </c>
      <c r="K796" s="3" t="n">
        <v>0</v>
      </c>
      <c r="L796" s="3" t="n">
        <v>10.39</v>
      </c>
    </row>
    <row r="797">
      <c r="A797" s="3" t="inlineStr">
        <is>
          <t>ORD-10796</t>
        </is>
      </c>
      <c r="B797" s="6" t="n">
        <v>45846</v>
      </c>
      <c r="C797" s="3" t="inlineStr">
        <is>
          <t>Accessories</t>
        </is>
      </c>
      <c r="D797" s="3" t="inlineStr">
        <is>
          <t>Sunglasses</t>
        </is>
      </c>
      <c r="E797" s="3" t="inlineStr">
        <is>
          <t>Greater Accra</t>
        </is>
      </c>
      <c r="F797" s="3" t="inlineStr">
        <is>
          <t>Retail Shop</t>
        </is>
      </c>
      <c r="G797" s="3" t="inlineStr">
        <is>
          <t>New</t>
        </is>
      </c>
      <c r="H797" s="3" t="n">
        <v>2</v>
      </c>
      <c r="I797" s="3" t="n">
        <v>105</v>
      </c>
      <c r="J797" s="3" t="n">
        <v>53.96</v>
      </c>
      <c r="K797" s="3" t="n">
        <v>0</v>
      </c>
      <c r="L797" s="3" t="n">
        <v>10.19</v>
      </c>
    </row>
    <row r="798">
      <c r="A798" s="3" t="inlineStr">
        <is>
          <t>ORD-10797</t>
        </is>
      </c>
      <c r="B798" s="6" t="n">
        <v>45926</v>
      </c>
      <c r="C798" s="3" t="inlineStr">
        <is>
          <t>Home &amp; Lifestyle</t>
        </is>
      </c>
      <c r="D798" s="3" t="inlineStr">
        <is>
          <t>Wallets</t>
        </is>
      </c>
      <c r="E798" s="3" t="inlineStr">
        <is>
          <t>Ashanti</t>
        </is>
      </c>
      <c r="F798" s="3" t="inlineStr">
        <is>
          <t>Retail Shop</t>
        </is>
      </c>
      <c r="G798" s="3" t="inlineStr">
        <is>
          <t>New</t>
        </is>
      </c>
      <c r="H798" s="3" t="n">
        <v>5</v>
      </c>
      <c r="I798" s="3" t="n">
        <v>120</v>
      </c>
      <c r="J798" s="3" t="n">
        <v>73.56</v>
      </c>
      <c r="K798" s="3" t="n">
        <v>0.1</v>
      </c>
      <c r="L798" s="3" t="n">
        <v>3.7</v>
      </c>
    </row>
    <row r="799">
      <c r="A799" s="3" t="inlineStr">
        <is>
          <t>ORD-10798</t>
        </is>
      </c>
      <c r="B799" s="6" t="n">
        <v>45870</v>
      </c>
      <c r="C799" s="3" t="inlineStr">
        <is>
          <t>Footwear</t>
        </is>
      </c>
      <c r="D799" s="3" t="inlineStr">
        <is>
          <t>Boots</t>
        </is>
      </c>
      <c r="E799" s="3" t="inlineStr">
        <is>
          <t>Central</t>
        </is>
      </c>
      <c r="F799" s="3" t="inlineStr">
        <is>
          <t>Online</t>
        </is>
      </c>
      <c r="G799" s="3" t="inlineStr">
        <is>
          <t>New</t>
        </is>
      </c>
      <c r="H799" s="3" t="n">
        <v>1</v>
      </c>
      <c r="I799" s="3" t="n">
        <v>215</v>
      </c>
      <c r="J799" s="3" t="n">
        <v>118.4</v>
      </c>
      <c r="K799" s="3" t="n">
        <v>0</v>
      </c>
      <c r="L799" s="3" t="n">
        <v>11.75</v>
      </c>
    </row>
    <row r="800">
      <c r="A800" s="3" t="inlineStr">
        <is>
          <t>ORD-10799</t>
        </is>
      </c>
      <c r="B800" s="6" t="n">
        <v>46005</v>
      </c>
      <c r="C800" s="3" t="inlineStr">
        <is>
          <t>Accessories</t>
        </is>
      </c>
      <c r="D800" s="3" t="inlineStr">
        <is>
          <t>Sunglasses</t>
        </is>
      </c>
      <c r="E800" s="3" t="inlineStr">
        <is>
          <t>Greater Accra</t>
        </is>
      </c>
      <c r="F800" s="3" t="inlineStr">
        <is>
          <t>Online</t>
        </is>
      </c>
      <c r="G800" s="3" t="inlineStr">
        <is>
          <t>New</t>
        </is>
      </c>
      <c r="H800" s="3" t="n">
        <v>1</v>
      </c>
      <c r="I800" s="3" t="n">
        <v>90</v>
      </c>
      <c r="J800" s="3" t="n">
        <v>45.71</v>
      </c>
      <c r="K800" s="3" t="n">
        <v>0.05</v>
      </c>
      <c r="L800" s="3" t="n">
        <v>24.04</v>
      </c>
    </row>
    <row r="801">
      <c r="A801" s="3" t="inlineStr">
        <is>
          <t>ORD-10800</t>
        </is>
      </c>
      <c r="B801" s="6" t="n">
        <v>45943</v>
      </c>
      <c r="C801" s="3" t="inlineStr">
        <is>
          <t>Footwear</t>
        </is>
      </c>
      <c r="D801" s="3" t="inlineStr">
        <is>
          <t>Boots</t>
        </is>
      </c>
      <c r="E801" s="3" t="inlineStr">
        <is>
          <t>Ashanti</t>
        </is>
      </c>
      <c r="F801" s="3" t="inlineStr">
        <is>
          <t>Retail Shop</t>
        </is>
      </c>
      <c r="G801" s="3" t="inlineStr">
        <is>
          <t>Returning</t>
        </is>
      </c>
      <c r="H801" s="3" t="n">
        <v>3</v>
      </c>
      <c r="I801" s="3" t="n">
        <v>235</v>
      </c>
      <c r="J801" s="3" t="n">
        <v>144.09</v>
      </c>
      <c r="K801" s="3" t="n">
        <v>0</v>
      </c>
      <c r="L801" s="3" t="n">
        <v>0.75</v>
      </c>
    </row>
    <row r="802">
      <c r="A802" s="3" t="inlineStr">
        <is>
          <t>ORD-10801</t>
        </is>
      </c>
      <c r="B802" s="6" t="n">
        <v>45805</v>
      </c>
      <c r="C802" s="3" t="inlineStr">
        <is>
          <t>Footwear</t>
        </is>
      </c>
      <c r="D802" s="3" t="inlineStr">
        <is>
          <t>Boots</t>
        </is>
      </c>
      <c r="E802" s="3" t="inlineStr">
        <is>
          <t>Greater Accra</t>
        </is>
      </c>
      <c r="F802" s="3" t="inlineStr">
        <is>
          <t>Phone/WhatsApp</t>
        </is>
      </c>
      <c r="G802" s="3" t="inlineStr">
        <is>
          <t>Returning</t>
        </is>
      </c>
      <c r="H802" s="3" t="n">
        <v>4</v>
      </c>
      <c r="I802" s="3" t="n">
        <v>180</v>
      </c>
      <c r="J802" s="3" t="n">
        <v>95.09</v>
      </c>
      <c r="K802" s="3" t="n">
        <v>0</v>
      </c>
      <c r="L802" s="3" t="n">
        <v>24.37</v>
      </c>
    </row>
    <row r="803">
      <c r="A803" s="3" t="inlineStr">
        <is>
          <t>ORD-10802</t>
        </is>
      </c>
      <c r="B803" s="6" t="n">
        <v>45739</v>
      </c>
      <c r="C803" s="3" t="inlineStr">
        <is>
          <t>Clothing</t>
        </is>
      </c>
      <c r="D803" s="3" t="inlineStr">
        <is>
          <t>Shirts</t>
        </is>
      </c>
      <c r="E803" s="3" t="inlineStr">
        <is>
          <t>Greater Accra</t>
        </is>
      </c>
      <c r="F803" s="3" t="inlineStr">
        <is>
          <t>Retail Shop</t>
        </is>
      </c>
      <c r="G803" s="3" t="inlineStr">
        <is>
          <t>New</t>
        </is>
      </c>
      <c r="H803" s="3" t="n">
        <v>2</v>
      </c>
      <c r="I803" s="3" t="n">
        <v>90</v>
      </c>
      <c r="J803" s="3" t="n">
        <v>47.38</v>
      </c>
      <c r="K803" s="3" t="n">
        <v>0</v>
      </c>
      <c r="L803" s="3" t="n">
        <v>1.08</v>
      </c>
    </row>
    <row r="804">
      <c r="A804" s="3" t="inlineStr">
        <is>
          <t>ORD-10803</t>
        </is>
      </c>
      <c r="B804" s="6" t="n">
        <v>45979</v>
      </c>
      <c r="C804" s="3" t="inlineStr">
        <is>
          <t>Clothing</t>
        </is>
      </c>
      <c r="D804" s="3" t="inlineStr">
        <is>
          <t>Trousers</t>
        </is>
      </c>
      <c r="E804" s="3" t="inlineStr">
        <is>
          <t>Greater Accra</t>
        </is>
      </c>
      <c r="F804" s="3" t="inlineStr">
        <is>
          <t>Retail Shop</t>
        </is>
      </c>
      <c r="G804" s="3" t="inlineStr">
        <is>
          <t>Returning</t>
        </is>
      </c>
      <c r="H804" s="3" t="n">
        <v>2</v>
      </c>
      <c r="I804" s="3" t="n">
        <v>190</v>
      </c>
      <c r="J804" s="3" t="n">
        <v>92.31999999999999</v>
      </c>
      <c r="K804" s="3" t="n">
        <v>0</v>
      </c>
      <c r="L804" s="3" t="n">
        <v>1.93</v>
      </c>
    </row>
    <row r="805">
      <c r="A805" s="3" t="inlineStr">
        <is>
          <t>ORD-10804</t>
        </is>
      </c>
      <c r="B805" s="6" t="n">
        <v>45947</v>
      </c>
      <c r="C805" s="3" t="inlineStr">
        <is>
          <t>Clothing</t>
        </is>
      </c>
      <c r="D805" s="3" t="inlineStr">
        <is>
          <t>Jackets</t>
        </is>
      </c>
      <c r="E805" s="3" t="inlineStr">
        <is>
          <t>Greater Accra</t>
        </is>
      </c>
      <c r="F805" s="3" t="inlineStr">
        <is>
          <t>Phone/WhatsApp</t>
        </is>
      </c>
      <c r="G805" s="3" t="inlineStr">
        <is>
          <t>Returning</t>
        </is>
      </c>
      <c r="H805" s="3" t="n">
        <v>3</v>
      </c>
      <c r="I805" s="3" t="n">
        <v>130</v>
      </c>
      <c r="J805" s="3" t="n">
        <v>65.84999999999999</v>
      </c>
      <c r="K805" s="3" t="n">
        <v>0.15</v>
      </c>
      <c r="L805" s="3" t="n">
        <v>39.54</v>
      </c>
    </row>
    <row r="806">
      <c r="A806" s="3" t="inlineStr">
        <is>
          <t>ORD-10805</t>
        </is>
      </c>
      <c r="B806" s="6" t="n">
        <v>46004</v>
      </c>
      <c r="C806" s="3" t="inlineStr">
        <is>
          <t>Accessories</t>
        </is>
      </c>
      <c r="D806" s="3" t="inlineStr">
        <is>
          <t>Sunglasses</t>
        </is>
      </c>
      <c r="E806" s="3" t="inlineStr">
        <is>
          <t>Greater Accra</t>
        </is>
      </c>
      <c r="F806" s="3" t="inlineStr">
        <is>
          <t>Retail Shop</t>
        </is>
      </c>
      <c r="G806" s="3" t="inlineStr">
        <is>
          <t>Returning</t>
        </is>
      </c>
      <c r="H806" s="3" t="n">
        <v>2</v>
      </c>
      <c r="I806" s="3" t="n">
        <v>80</v>
      </c>
      <c r="J806" s="3" t="n">
        <v>42.6</v>
      </c>
      <c r="K806" s="3" t="n">
        <v>0.1</v>
      </c>
      <c r="L806" s="3" t="n">
        <v>8.800000000000001</v>
      </c>
    </row>
    <row r="807">
      <c r="A807" s="3" t="inlineStr">
        <is>
          <t>ORD-10806</t>
        </is>
      </c>
      <c r="B807" s="6" t="n">
        <v>45943</v>
      </c>
      <c r="C807" s="3" t="inlineStr">
        <is>
          <t>Footwear</t>
        </is>
      </c>
      <c r="D807" s="3" t="inlineStr">
        <is>
          <t>Sandals</t>
        </is>
      </c>
      <c r="E807" s="3" t="inlineStr">
        <is>
          <t>Ashanti</t>
        </is>
      </c>
      <c r="F807" s="3" t="inlineStr">
        <is>
          <t>Online</t>
        </is>
      </c>
      <c r="G807" s="3" t="inlineStr">
        <is>
          <t>Returning</t>
        </is>
      </c>
      <c r="H807" s="3" t="n">
        <v>4</v>
      </c>
      <c r="I807" s="3" t="n">
        <v>335</v>
      </c>
      <c r="J807" s="3" t="n">
        <v>194.2</v>
      </c>
      <c r="K807" s="3" t="n">
        <v>0.1</v>
      </c>
      <c r="L807" s="3" t="n">
        <v>9.039999999999999</v>
      </c>
    </row>
    <row r="808">
      <c r="A808" s="3" t="inlineStr">
        <is>
          <t>ORD-10807</t>
        </is>
      </c>
      <c r="B808" s="6" t="n">
        <v>45971</v>
      </c>
      <c r="C808" s="3" t="inlineStr">
        <is>
          <t>Home &amp; Lifestyle</t>
        </is>
      </c>
      <c r="D808" s="3" t="inlineStr">
        <is>
          <t>Backpacks</t>
        </is>
      </c>
      <c r="E808" s="3" t="inlineStr">
        <is>
          <t>Greater Accra</t>
        </is>
      </c>
      <c r="F808" s="3" t="inlineStr">
        <is>
          <t>Retail Shop</t>
        </is>
      </c>
      <c r="G808" s="3" t="inlineStr">
        <is>
          <t>Returning</t>
        </is>
      </c>
      <c r="H808" s="3" t="n">
        <v>1</v>
      </c>
      <c r="I808" s="3" t="n">
        <v>185</v>
      </c>
      <c r="J808" s="3" t="n">
        <v>100.82</v>
      </c>
      <c r="K808" s="3" t="n">
        <v>0.1</v>
      </c>
      <c r="L808" s="3" t="n">
        <v>0.44</v>
      </c>
    </row>
    <row r="809">
      <c r="A809" s="3" t="inlineStr">
        <is>
          <t>ORD-10808</t>
        </is>
      </c>
      <c r="B809" s="6" t="n">
        <v>45669</v>
      </c>
      <c r="C809" s="3" t="inlineStr">
        <is>
          <t>Footwear</t>
        </is>
      </c>
      <c r="D809" s="3" t="inlineStr">
        <is>
          <t>Boots</t>
        </is>
      </c>
      <c r="E809" s="3" t="inlineStr">
        <is>
          <t>Greater Accra</t>
        </is>
      </c>
      <c r="F809" s="3" t="inlineStr">
        <is>
          <t>Retail Shop</t>
        </is>
      </c>
      <c r="G809" s="3" t="inlineStr">
        <is>
          <t>Returning</t>
        </is>
      </c>
      <c r="H809" s="3" t="n">
        <v>2</v>
      </c>
      <c r="I809" s="3" t="n">
        <v>490</v>
      </c>
      <c r="J809" s="3" t="n">
        <v>265.46</v>
      </c>
      <c r="K809" s="3" t="n">
        <v>0.05</v>
      </c>
      <c r="L809" s="3" t="n">
        <v>9.199999999999999</v>
      </c>
    </row>
    <row r="810">
      <c r="A810" s="3" t="inlineStr">
        <is>
          <t>ORD-10809</t>
        </is>
      </c>
      <c r="B810" s="6" t="n">
        <v>45846</v>
      </c>
      <c r="C810" s="3" t="inlineStr">
        <is>
          <t>Clothing</t>
        </is>
      </c>
      <c r="D810" s="3" t="inlineStr">
        <is>
          <t>Trousers</t>
        </is>
      </c>
      <c r="E810" s="3" t="inlineStr">
        <is>
          <t>Greater Accra</t>
        </is>
      </c>
      <c r="F810" s="3" t="inlineStr">
        <is>
          <t>Retail Shop</t>
        </is>
      </c>
      <c r="G810" s="3" t="inlineStr">
        <is>
          <t>Returning</t>
        </is>
      </c>
      <c r="H810" s="3" t="n">
        <v>4</v>
      </c>
      <c r="I810" s="3" t="n">
        <v>145</v>
      </c>
      <c r="J810" s="3" t="n">
        <v>78.02</v>
      </c>
      <c r="K810" s="3" t="n">
        <v>0.05</v>
      </c>
      <c r="L810" s="3" t="n">
        <v>1.78</v>
      </c>
    </row>
    <row r="811">
      <c r="A811" s="3" t="inlineStr">
        <is>
          <t>ORD-10810</t>
        </is>
      </c>
      <c r="B811" s="6" t="n">
        <v>45748</v>
      </c>
      <c r="C811" s="3" t="inlineStr">
        <is>
          <t>Clothing</t>
        </is>
      </c>
      <c r="D811" s="3" t="inlineStr">
        <is>
          <t>Trousers</t>
        </is>
      </c>
      <c r="E811" s="3" t="inlineStr">
        <is>
          <t>Greater Accra</t>
        </is>
      </c>
      <c r="F811" s="3" t="inlineStr">
        <is>
          <t>Retail Shop</t>
        </is>
      </c>
      <c r="G811" s="3" t="inlineStr">
        <is>
          <t>Returning</t>
        </is>
      </c>
      <c r="H811" s="3" t="n">
        <v>6</v>
      </c>
      <c r="I811" s="3" t="n">
        <v>185</v>
      </c>
      <c r="J811" s="3" t="n">
        <v>85.09</v>
      </c>
      <c r="K811" s="3" t="n">
        <v>0.15</v>
      </c>
      <c r="L811" s="3" t="n">
        <v>4.18</v>
      </c>
    </row>
    <row r="812">
      <c r="A812" s="3" t="inlineStr">
        <is>
          <t>ORD-10811</t>
        </is>
      </c>
      <c r="B812" s="6" t="n">
        <v>45750</v>
      </c>
      <c r="C812" s="3" t="inlineStr">
        <is>
          <t>Home &amp; Lifestyle</t>
        </is>
      </c>
      <c r="D812" s="3" t="inlineStr">
        <is>
          <t>Backpacks</t>
        </is>
      </c>
      <c r="E812" s="3" t="inlineStr">
        <is>
          <t>Greater Accra</t>
        </is>
      </c>
      <c r="F812" s="3" t="inlineStr">
        <is>
          <t>Retail Shop</t>
        </is>
      </c>
      <c r="G812" s="3" t="inlineStr">
        <is>
          <t>Returning</t>
        </is>
      </c>
      <c r="H812" s="3" t="n">
        <v>1</v>
      </c>
      <c r="I812" s="3" t="n">
        <v>80</v>
      </c>
      <c r="J812" s="3" t="n">
        <v>43.68</v>
      </c>
      <c r="K812" s="3" t="n">
        <v>0.05</v>
      </c>
      <c r="L812" s="3" t="n">
        <v>1.29</v>
      </c>
    </row>
    <row r="813">
      <c r="A813" s="3" t="inlineStr">
        <is>
          <t>ORD-10812</t>
        </is>
      </c>
      <c r="B813" s="6" t="n">
        <v>45960</v>
      </c>
      <c r="C813" s="3" t="inlineStr">
        <is>
          <t>Footwear</t>
        </is>
      </c>
      <c r="D813" s="3" t="inlineStr">
        <is>
          <t>Formal Shoes</t>
        </is>
      </c>
      <c r="E813" s="3" t="inlineStr">
        <is>
          <t>Western</t>
        </is>
      </c>
      <c r="F813" s="3" t="inlineStr">
        <is>
          <t>Retail Shop</t>
        </is>
      </c>
      <c r="G813" s="3" t="inlineStr">
        <is>
          <t>New</t>
        </is>
      </c>
      <c r="H813" s="3" t="n">
        <v>4</v>
      </c>
      <c r="I813" s="3" t="n">
        <v>595</v>
      </c>
      <c r="J813" s="3" t="n">
        <v>357.39</v>
      </c>
      <c r="K813" s="3" t="n">
        <v>0.1</v>
      </c>
      <c r="L813" s="3" t="n">
        <v>2.68</v>
      </c>
    </row>
    <row r="814">
      <c r="A814" s="3" t="inlineStr">
        <is>
          <t>ORD-10813</t>
        </is>
      </c>
      <c r="B814" s="6" t="n">
        <v>45839</v>
      </c>
      <c r="C814" s="3" t="inlineStr">
        <is>
          <t>Accessories</t>
        </is>
      </c>
      <c r="D814" s="3" t="inlineStr">
        <is>
          <t>Belts</t>
        </is>
      </c>
      <c r="E814" s="3" t="inlineStr">
        <is>
          <t>Greater Accra</t>
        </is>
      </c>
      <c r="F814" s="3" t="inlineStr">
        <is>
          <t>Retail Shop</t>
        </is>
      </c>
      <c r="G814" s="3" t="inlineStr">
        <is>
          <t>Returning</t>
        </is>
      </c>
      <c r="H814" s="3" t="n">
        <v>2</v>
      </c>
      <c r="I814" s="3" t="n">
        <v>50</v>
      </c>
      <c r="J814" s="3" t="n">
        <v>26.44</v>
      </c>
      <c r="K814" s="3" t="n">
        <v>0.2</v>
      </c>
      <c r="L814" s="3" t="n">
        <v>4.21</v>
      </c>
    </row>
    <row r="815">
      <c r="A815" s="3" t="inlineStr">
        <is>
          <t>ORD-10814</t>
        </is>
      </c>
      <c r="B815" s="6" t="n">
        <v>46018</v>
      </c>
      <c r="C815" s="3" t="inlineStr">
        <is>
          <t>Accessories</t>
        </is>
      </c>
      <c r="D815" s="3" t="inlineStr">
        <is>
          <t>Bags</t>
        </is>
      </c>
      <c r="E815" s="3" t="inlineStr">
        <is>
          <t>Western</t>
        </is>
      </c>
      <c r="F815" s="3" t="inlineStr">
        <is>
          <t>Retail Shop</t>
        </is>
      </c>
      <c r="G815" s="3" t="inlineStr">
        <is>
          <t>New</t>
        </is>
      </c>
      <c r="H815" s="3" t="n">
        <v>8</v>
      </c>
      <c r="I815" s="3" t="n">
        <v>95</v>
      </c>
      <c r="J815" s="3" t="n">
        <v>41.6</v>
      </c>
      <c r="K815" s="3" t="n">
        <v>0</v>
      </c>
      <c r="L815" s="3" t="n">
        <v>0.52</v>
      </c>
    </row>
    <row r="816">
      <c r="A816" s="3" t="inlineStr">
        <is>
          <t>ORD-10815</t>
        </is>
      </c>
      <c r="B816" s="6" t="n">
        <v>45711</v>
      </c>
      <c r="C816" s="3" t="inlineStr">
        <is>
          <t>Footwear</t>
        </is>
      </c>
      <c r="D816" s="3" t="inlineStr">
        <is>
          <t>Boots</t>
        </is>
      </c>
      <c r="E816" s="3" t="inlineStr">
        <is>
          <t>Greater Accra</t>
        </is>
      </c>
      <c r="F816" s="3" t="inlineStr">
        <is>
          <t>Phone/WhatsApp</t>
        </is>
      </c>
      <c r="G816" s="3" t="inlineStr">
        <is>
          <t>New</t>
        </is>
      </c>
      <c r="H816" s="3" t="n">
        <v>2</v>
      </c>
      <c r="I816" s="3" t="n">
        <v>280</v>
      </c>
      <c r="J816" s="3" t="n">
        <v>161.56</v>
      </c>
      <c r="K816" s="3" t="n">
        <v>0.05</v>
      </c>
      <c r="L816" s="3" t="n">
        <v>10.34</v>
      </c>
    </row>
    <row r="817">
      <c r="A817" s="3" t="inlineStr">
        <is>
          <t>ORD-10816</t>
        </is>
      </c>
      <c r="B817" s="6" t="n">
        <v>45688</v>
      </c>
      <c r="C817" s="3" t="inlineStr">
        <is>
          <t>Home &amp; Lifestyle</t>
        </is>
      </c>
      <c r="D817" s="3" t="inlineStr">
        <is>
          <t>Wallets</t>
        </is>
      </c>
      <c r="E817" s="3" t="inlineStr">
        <is>
          <t>Central</t>
        </is>
      </c>
      <c r="F817" s="3" t="inlineStr">
        <is>
          <t>Retail Shop</t>
        </is>
      </c>
      <c r="G817" s="3" t="inlineStr">
        <is>
          <t>Returning</t>
        </is>
      </c>
      <c r="H817" s="3" t="n">
        <v>1</v>
      </c>
      <c r="I817" s="3" t="n">
        <v>85</v>
      </c>
      <c r="J817" s="3" t="n">
        <v>42.18</v>
      </c>
      <c r="K817" s="3" t="n">
        <v>0.1</v>
      </c>
      <c r="L817" s="3" t="n">
        <v>7.1</v>
      </c>
    </row>
    <row r="818">
      <c r="A818" s="3" t="inlineStr">
        <is>
          <t>ORD-10817</t>
        </is>
      </c>
      <c r="B818" s="6" t="n">
        <v>45750</v>
      </c>
      <c r="C818" s="3" t="inlineStr">
        <is>
          <t>Clothing</t>
        </is>
      </c>
      <c r="D818" s="3" t="inlineStr">
        <is>
          <t>Dresses</t>
        </is>
      </c>
      <c r="E818" s="3" t="inlineStr">
        <is>
          <t>Greater Accra</t>
        </is>
      </c>
      <c r="F818" s="3" t="inlineStr">
        <is>
          <t>Online</t>
        </is>
      </c>
      <c r="G818" s="3" t="inlineStr">
        <is>
          <t>Returning</t>
        </is>
      </c>
      <c r="H818" s="3" t="n">
        <v>4</v>
      </c>
      <c r="I818" s="3" t="n">
        <v>145</v>
      </c>
      <c r="J818" s="3" t="n">
        <v>66.62</v>
      </c>
      <c r="K818" s="3" t="n">
        <v>0.2</v>
      </c>
      <c r="L818" s="3" t="n">
        <v>12.93</v>
      </c>
    </row>
    <row r="819">
      <c r="A819" s="3" t="inlineStr">
        <is>
          <t>ORD-10818</t>
        </is>
      </c>
      <c r="B819" s="6" t="n">
        <v>45785</v>
      </c>
      <c r="C819" s="3" t="inlineStr">
        <is>
          <t>Accessories</t>
        </is>
      </c>
      <c r="D819" s="3" t="inlineStr">
        <is>
          <t>Bags</t>
        </is>
      </c>
      <c r="E819" s="3" t="inlineStr">
        <is>
          <t>Greater Accra</t>
        </is>
      </c>
      <c r="F819" s="3" t="inlineStr">
        <is>
          <t>Retail Shop</t>
        </is>
      </c>
      <c r="G819" s="3" t="inlineStr">
        <is>
          <t>New</t>
        </is>
      </c>
      <c r="H819" s="3" t="n">
        <v>2</v>
      </c>
      <c r="I819" s="3" t="n">
        <v>40</v>
      </c>
      <c r="J819" s="3" t="n">
        <v>20.81</v>
      </c>
      <c r="K819" s="3" t="n">
        <v>0.05</v>
      </c>
      <c r="L819" s="3" t="n">
        <v>4.58</v>
      </c>
    </row>
    <row r="820">
      <c r="A820" s="3" t="inlineStr">
        <is>
          <t>ORD-10819</t>
        </is>
      </c>
      <c r="B820" s="6" t="n">
        <v>45808</v>
      </c>
      <c r="C820" s="3" t="inlineStr">
        <is>
          <t>Footwear</t>
        </is>
      </c>
      <c r="D820" s="3" t="inlineStr">
        <is>
          <t>Sandals</t>
        </is>
      </c>
      <c r="E820" s="3" t="inlineStr">
        <is>
          <t>Greater Accra</t>
        </is>
      </c>
      <c r="F820" s="3" t="inlineStr">
        <is>
          <t>Online</t>
        </is>
      </c>
      <c r="G820" s="3" t="inlineStr">
        <is>
          <t>Returning</t>
        </is>
      </c>
      <c r="H820" s="3" t="n">
        <v>3</v>
      </c>
      <c r="I820" s="3" t="n">
        <v>320</v>
      </c>
      <c r="J820" s="3" t="n">
        <v>181.32</v>
      </c>
      <c r="K820" s="3" t="n">
        <v>0</v>
      </c>
      <c r="L820" s="3" t="n">
        <v>12.6</v>
      </c>
    </row>
    <row r="821">
      <c r="A821" s="3" t="inlineStr">
        <is>
          <t>ORD-10820</t>
        </is>
      </c>
      <c r="B821" s="6" t="n">
        <v>45782</v>
      </c>
      <c r="C821" s="3" t="inlineStr">
        <is>
          <t>Footwear</t>
        </is>
      </c>
      <c r="D821" s="3" t="inlineStr">
        <is>
          <t>Sandals</t>
        </is>
      </c>
      <c r="E821" s="3" t="inlineStr">
        <is>
          <t>Greater Accra</t>
        </is>
      </c>
      <c r="F821" s="3" t="inlineStr">
        <is>
          <t>Retail Shop</t>
        </is>
      </c>
      <c r="G821" s="3" t="inlineStr">
        <is>
          <t>Returning</t>
        </is>
      </c>
      <c r="H821" s="3" t="n">
        <v>1</v>
      </c>
      <c r="I821" s="3" t="n">
        <v>400</v>
      </c>
      <c r="J821" s="3" t="n">
        <v>229.8</v>
      </c>
      <c r="K821" s="3" t="n">
        <v>0.2</v>
      </c>
      <c r="L821" s="3" t="n">
        <v>0.66</v>
      </c>
    </row>
    <row r="822">
      <c r="A822" s="3" t="inlineStr">
        <is>
          <t>ORD-10821</t>
        </is>
      </c>
      <c r="B822" s="6" t="n">
        <v>45677</v>
      </c>
      <c r="C822" s="3" t="inlineStr">
        <is>
          <t>Footwear</t>
        </is>
      </c>
      <c r="D822" s="3" t="inlineStr">
        <is>
          <t>Boots</t>
        </is>
      </c>
      <c r="E822" s="3" t="inlineStr">
        <is>
          <t>Western</t>
        </is>
      </c>
      <c r="F822" s="3" t="inlineStr">
        <is>
          <t>Retail Shop</t>
        </is>
      </c>
      <c r="G822" s="3" t="inlineStr">
        <is>
          <t>New</t>
        </is>
      </c>
      <c r="H822" s="3" t="n">
        <v>4</v>
      </c>
      <c r="I822" s="3" t="n">
        <v>180</v>
      </c>
      <c r="J822" s="3" t="n">
        <v>91.3</v>
      </c>
      <c r="K822" s="3" t="n">
        <v>0</v>
      </c>
      <c r="L822" s="3" t="n">
        <v>11.85</v>
      </c>
    </row>
    <row r="823">
      <c r="A823" s="3" t="inlineStr">
        <is>
          <t>ORD-10822</t>
        </is>
      </c>
      <c r="B823" s="6" t="n">
        <v>45758</v>
      </c>
      <c r="C823" s="3" t="inlineStr">
        <is>
          <t>Footwear</t>
        </is>
      </c>
      <c r="D823" s="3" t="inlineStr">
        <is>
          <t>Formal Shoes</t>
        </is>
      </c>
      <c r="E823" s="3" t="inlineStr">
        <is>
          <t>Northern</t>
        </is>
      </c>
      <c r="F823" s="3" t="inlineStr">
        <is>
          <t>Online</t>
        </is>
      </c>
      <c r="G823" s="3" t="inlineStr">
        <is>
          <t>Returning</t>
        </is>
      </c>
      <c r="H823" s="3" t="n">
        <v>2</v>
      </c>
      <c r="I823" s="3" t="n">
        <v>260</v>
      </c>
      <c r="J823" s="3" t="n">
        <v>140.93</v>
      </c>
      <c r="K823" s="3" t="n">
        <v>0</v>
      </c>
      <c r="L823" s="3" t="n">
        <v>13.06</v>
      </c>
    </row>
    <row r="824">
      <c r="A824" s="3" t="inlineStr">
        <is>
          <t>ORD-10823</t>
        </is>
      </c>
      <c r="B824" s="6" t="n">
        <v>45745</v>
      </c>
      <c r="C824" s="3" t="inlineStr">
        <is>
          <t>Home &amp; Lifestyle</t>
        </is>
      </c>
      <c r="D824" s="3" t="inlineStr">
        <is>
          <t>Travel Mugs</t>
        </is>
      </c>
      <c r="E824" s="3" t="inlineStr">
        <is>
          <t>Greater Accra</t>
        </is>
      </c>
      <c r="F824" s="3" t="inlineStr">
        <is>
          <t>Retail Shop</t>
        </is>
      </c>
      <c r="G824" s="3" t="inlineStr">
        <is>
          <t>Returning</t>
        </is>
      </c>
      <c r="H824" s="3" t="n">
        <v>1</v>
      </c>
      <c r="I824" s="3" t="n">
        <v>120</v>
      </c>
      <c r="J824" s="3" t="n">
        <v>60.65</v>
      </c>
      <c r="K824" s="3" t="n">
        <v>0.05</v>
      </c>
      <c r="L824" s="3" t="n">
        <v>0.66</v>
      </c>
    </row>
    <row r="825">
      <c r="A825" s="3" t="inlineStr">
        <is>
          <t>ORD-10824</t>
        </is>
      </c>
      <c r="B825" s="6" t="n">
        <v>45945</v>
      </c>
      <c r="C825" s="3" t="inlineStr">
        <is>
          <t>Footwear</t>
        </is>
      </c>
      <c r="D825" s="3" t="inlineStr">
        <is>
          <t>Sneakers</t>
        </is>
      </c>
      <c r="E825" s="3" t="inlineStr">
        <is>
          <t>Greater Accra</t>
        </is>
      </c>
      <c r="F825" s="3" t="inlineStr">
        <is>
          <t>Retail Shop</t>
        </is>
      </c>
      <c r="G825" s="3" t="inlineStr">
        <is>
          <t>Returning</t>
        </is>
      </c>
      <c r="H825" s="3" t="n">
        <v>2</v>
      </c>
      <c r="I825" s="3" t="n">
        <v>220</v>
      </c>
      <c r="J825" s="3" t="n">
        <v>125.52</v>
      </c>
      <c r="K825" s="3" t="n">
        <v>0.1</v>
      </c>
      <c r="L825" s="3" t="n">
        <v>8.07</v>
      </c>
    </row>
    <row r="826">
      <c r="A826" s="3" t="inlineStr">
        <is>
          <t>ORD-10825</t>
        </is>
      </c>
      <c r="B826" s="6" t="n">
        <v>45873</v>
      </c>
      <c r="C826" s="3" t="inlineStr">
        <is>
          <t>Clothing</t>
        </is>
      </c>
      <c r="D826" s="3" t="inlineStr">
        <is>
          <t>Shirts</t>
        </is>
      </c>
      <c r="E826" s="3" t="inlineStr">
        <is>
          <t>Northern</t>
        </is>
      </c>
      <c r="F826" s="3" t="inlineStr">
        <is>
          <t>Retail Shop</t>
        </is>
      </c>
      <c r="G826" s="3" t="inlineStr">
        <is>
          <t>New</t>
        </is>
      </c>
      <c r="H826" s="3" t="n">
        <v>1</v>
      </c>
      <c r="I826" s="3" t="n">
        <v>160</v>
      </c>
      <c r="J826" s="3" t="n">
        <v>79.95999999999999</v>
      </c>
      <c r="K826" s="3" t="n">
        <v>0.05</v>
      </c>
      <c r="L826" s="3" t="n">
        <v>9.949999999999999</v>
      </c>
    </row>
    <row r="827">
      <c r="A827" s="3" t="inlineStr">
        <is>
          <t>ORD-10826</t>
        </is>
      </c>
      <c r="B827" s="6" t="n">
        <v>45994</v>
      </c>
      <c r="C827" s="3" t="inlineStr">
        <is>
          <t>Footwear</t>
        </is>
      </c>
      <c r="D827" s="3" t="inlineStr">
        <is>
          <t>Sandals</t>
        </is>
      </c>
      <c r="E827" s="3" t="inlineStr">
        <is>
          <t>Western</t>
        </is>
      </c>
      <c r="F827" s="3" t="inlineStr">
        <is>
          <t>Phone/WhatsApp</t>
        </is>
      </c>
      <c r="G827" s="3" t="inlineStr">
        <is>
          <t>Returning</t>
        </is>
      </c>
      <c r="H827" s="3" t="n">
        <v>8</v>
      </c>
      <c r="I827" s="3" t="n">
        <v>395</v>
      </c>
      <c r="J827" s="3" t="n">
        <v>228.38</v>
      </c>
      <c r="K827" s="3" t="n">
        <v>0</v>
      </c>
      <c r="L827" s="3" t="n">
        <v>19.57</v>
      </c>
    </row>
    <row r="828">
      <c r="A828" s="3" t="inlineStr">
        <is>
          <t>ORD-10827</t>
        </is>
      </c>
      <c r="B828" s="6" t="n">
        <v>45913</v>
      </c>
      <c r="C828" s="3" t="inlineStr">
        <is>
          <t>Clothing</t>
        </is>
      </c>
      <c r="D828" s="3" t="inlineStr">
        <is>
          <t>Dresses</t>
        </is>
      </c>
      <c r="E828" s="3" t="inlineStr">
        <is>
          <t>Greater Accra</t>
        </is>
      </c>
      <c r="F828" s="3" t="inlineStr">
        <is>
          <t>Retail Shop</t>
        </is>
      </c>
      <c r="G828" s="3" t="inlineStr">
        <is>
          <t>Returning</t>
        </is>
      </c>
      <c r="H828" s="3" t="n">
        <v>1</v>
      </c>
      <c r="I828" s="3" t="n">
        <v>115</v>
      </c>
      <c r="J828" s="3" t="n">
        <v>64.3</v>
      </c>
      <c r="K828" s="3" t="n">
        <v>0.15</v>
      </c>
      <c r="L828" s="3" t="n">
        <v>11.24</v>
      </c>
    </row>
    <row r="829">
      <c r="A829" s="3" t="inlineStr">
        <is>
          <t>ORD-10828</t>
        </is>
      </c>
      <c r="B829" s="6" t="n">
        <v>45740</v>
      </c>
      <c r="C829" s="3" t="inlineStr">
        <is>
          <t>Clothing</t>
        </is>
      </c>
      <c r="D829" s="3" t="inlineStr">
        <is>
          <t>Dresses</t>
        </is>
      </c>
      <c r="E829" s="3" t="inlineStr">
        <is>
          <t>Ashanti</t>
        </is>
      </c>
      <c r="F829" s="3" t="inlineStr">
        <is>
          <t>Retail Shop</t>
        </is>
      </c>
      <c r="G829" s="3" t="inlineStr">
        <is>
          <t>New</t>
        </is>
      </c>
      <c r="H829" s="3" t="n">
        <v>2</v>
      </c>
      <c r="I829" s="3" t="n">
        <v>105</v>
      </c>
      <c r="J829" s="3" t="n">
        <v>48.28</v>
      </c>
      <c r="K829" s="3" t="n">
        <v>0</v>
      </c>
      <c r="L829" s="3" t="n">
        <v>3.54</v>
      </c>
    </row>
    <row r="830">
      <c r="A830" s="3" t="inlineStr">
        <is>
          <t>ORD-10829</t>
        </is>
      </c>
      <c r="B830" s="6" t="n">
        <v>45912</v>
      </c>
      <c r="C830" s="3" t="inlineStr">
        <is>
          <t>Accessories</t>
        </is>
      </c>
      <c r="D830" s="3" t="inlineStr">
        <is>
          <t>Bags</t>
        </is>
      </c>
      <c r="E830" s="3" t="inlineStr">
        <is>
          <t>Western</t>
        </is>
      </c>
      <c r="F830" s="3" t="inlineStr">
        <is>
          <t>Phone/WhatsApp</t>
        </is>
      </c>
      <c r="G830" s="3" t="inlineStr">
        <is>
          <t>New</t>
        </is>
      </c>
      <c r="H830" s="3" t="n">
        <v>1</v>
      </c>
      <c r="I830" s="3" t="n">
        <v>120</v>
      </c>
      <c r="J830" s="3" t="n">
        <v>54.17</v>
      </c>
      <c r="K830" s="3" t="n">
        <v>0</v>
      </c>
      <c r="L830" s="3" t="n">
        <v>32.41</v>
      </c>
    </row>
    <row r="831">
      <c r="A831" s="3" t="inlineStr">
        <is>
          <t>ORD-10830</t>
        </is>
      </c>
      <c r="B831" s="6" t="n">
        <v>45939</v>
      </c>
      <c r="C831" s="3" t="inlineStr">
        <is>
          <t>Accessories</t>
        </is>
      </c>
      <c r="D831" s="3" t="inlineStr">
        <is>
          <t>Watches</t>
        </is>
      </c>
      <c r="E831" s="3" t="inlineStr">
        <is>
          <t>Northern</t>
        </is>
      </c>
      <c r="F831" s="3" t="inlineStr">
        <is>
          <t>Phone/WhatsApp</t>
        </is>
      </c>
      <c r="G831" s="3" t="inlineStr">
        <is>
          <t>New</t>
        </is>
      </c>
      <c r="H831" s="3" t="n">
        <v>3</v>
      </c>
      <c r="I831" s="3" t="n">
        <v>105</v>
      </c>
      <c r="J831" s="3" t="n">
        <v>51.84</v>
      </c>
      <c r="K831" s="3" t="n">
        <v>0.1</v>
      </c>
      <c r="L831" s="3" t="n">
        <v>41.15</v>
      </c>
    </row>
    <row r="832">
      <c r="A832" s="3" t="inlineStr">
        <is>
          <t>ORD-10831</t>
        </is>
      </c>
      <c r="B832" s="6" t="n">
        <v>45733</v>
      </c>
      <c r="C832" s="3" t="inlineStr">
        <is>
          <t>Home &amp; Lifestyle</t>
        </is>
      </c>
      <c r="D832" s="3" t="inlineStr">
        <is>
          <t>Small Home Goods</t>
        </is>
      </c>
      <c r="E832" s="3" t="inlineStr">
        <is>
          <t>Northern</t>
        </is>
      </c>
      <c r="F832" s="3" t="inlineStr">
        <is>
          <t>Online</t>
        </is>
      </c>
      <c r="G832" s="3" t="inlineStr">
        <is>
          <t>Returning</t>
        </is>
      </c>
      <c r="H832" s="3" t="n">
        <v>1</v>
      </c>
      <c r="I832" s="3" t="n">
        <v>145</v>
      </c>
      <c r="J832" s="3" t="n">
        <v>78.38</v>
      </c>
      <c r="K832" s="3" t="n">
        <v>0</v>
      </c>
      <c r="L832" s="3" t="n">
        <v>15.28</v>
      </c>
    </row>
    <row r="833">
      <c r="A833" s="3" t="inlineStr">
        <is>
          <t>ORD-10832</t>
        </is>
      </c>
      <c r="B833" s="6" t="n">
        <v>45982</v>
      </c>
      <c r="C833" s="3" t="inlineStr">
        <is>
          <t>Home &amp; Lifestyle</t>
        </is>
      </c>
      <c r="D833" s="3" t="inlineStr">
        <is>
          <t>Small Home Goods</t>
        </is>
      </c>
      <c r="E833" s="3" t="inlineStr">
        <is>
          <t>Ashanti</t>
        </is>
      </c>
      <c r="F833" s="3" t="inlineStr">
        <is>
          <t>Retail Shop</t>
        </is>
      </c>
      <c r="G833" s="3" t="inlineStr">
        <is>
          <t>Returning</t>
        </is>
      </c>
      <c r="H833" s="3" t="n">
        <v>2</v>
      </c>
      <c r="I833" s="3" t="n">
        <v>125</v>
      </c>
      <c r="J833" s="3" t="n">
        <v>63.99</v>
      </c>
      <c r="K833" s="3" t="n">
        <v>0.2</v>
      </c>
      <c r="L833" s="3" t="n">
        <v>0.99</v>
      </c>
    </row>
    <row r="834">
      <c r="A834" s="3" t="inlineStr">
        <is>
          <t>ORD-10833</t>
        </is>
      </c>
      <c r="B834" s="6" t="n">
        <v>45750</v>
      </c>
      <c r="C834" s="3" t="inlineStr">
        <is>
          <t>Accessories</t>
        </is>
      </c>
      <c r="D834" s="3" t="inlineStr">
        <is>
          <t>Belts</t>
        </is>
      </c>
      <c r="E834" s="3" t="inlineStr">
        <is>
          <t>Western</t>
        </is>
      </c>
      <c r="F834" s="3" t="inlineStr">
        <is>
          <t>Online</t>
        </is>
      </c>
      <c r="G834" s="3" t="inlineStr">
        <is>
          <t>New</t>
        </is>
      </c>
      <c r="H834" s="3" t="n">
        <v>1</v>
      </c>
      <c r="I834" s="3" t="n">
        <v>95</v>
      </c>
      <c r="J834" s="3" t="n">
        <v>45.45</v>
      </c>
      <c r="K834" s="3" t="n">
        <v>0</v>
      </c>
      <c r="L834" s="3" t="n">
        <v>25.13</v>
      </c>
    </row>
    <row r="835">
      <c r="A835" s="3" t="inlineStr">
        <is>
          <t>ORD-10834</t>
        </is>
      </c>
      <c r="B835" s="6" t="n">
        <v>45694</v>
      </c>
      <c r="C835" s="3" t="inlineStr">
        <is>
          <t>Footwear</t>
        </is>
      </c>
      <c r="D835" s="3" t="inlineStr">
        <is>
          <t>Sneakers</t>
        </is>
      </c>
      <c r="E835" s="3" t="inlineStr">
        <is>
          <t>Ashanti</t>
        </is>
      </c>
      <c r="F835" s="3" t="inlineStr">
        <is>
          <t>Retail Shop</t>
        </is>
      </c>
      <c r="G835" s="3" t="inlineStr">
        <is>
          <t>New</t>
        </is>
      </c>
      <c r="H835" s="3" t="n">
        <v>3</v>
      </c>
      <c r="I835" s="3" t="n">
        <v>435</v>
      </c>
      <c r="J835" s="3" t="n">
        <v>238.65</v>
      </c>
      <c r="K835" s="3" t="n">
        <v>0.2</v>
      </c>
      <c r="L835" s="3" t="n">
        <v>6.94</v>
      </c>
    </row>
    <row r="836">
      <c r="A836" s="3" t="inlineStr">
        <is>
          <t>ORD-10835</t>
        </is>
      </c>
      <c r="B836" s="6" t="n">
        <v>45700</v>
      </c>
      <c r="C836" s="3" t="inlineStr">
        <is>
          <t>Footwear</t>
        </is>
      </c>
      <c r="D836" s="3" t="inlineStr">
        <is>
          <t>Boots</t>
        </is>
      </c>
      <c r="E836" s="3" t="inlineStr">
        <is>
          <t>Greater Accra</t>
        </is>
      </c>
      <c r="F836" s="3" t="inlineStr">
        <is>
          <t>Retail Shop</t>
        </is>
      </c>
      <c r="G836" s="3" t="inlineStr">
        <is>
          <t>Returning</t>
        </is>
      </c>
      <c r="H836" s="3" t="n">
        <v>3</v>
      </c>
      <c r="I836" s="3" t="n">
        <v>160</v>
      </c>
      <c r="J836" s="3" t="n">
        <v>96.33</v>
      </c>
      <c r="K836" s="3" t="n">
        <v>0.1</v>
      </c>
      <c r="L836" s="3" t="n">
        <v>2.79</v>
      </c>
    </row>
    <row r="837">
      <c r="A837" s="3" t="inlineStr">
        <is>
          <t>ORD-10836</t>
        </is>
      </c>
      <c r="B837" s="6" t="n">
        <v>45930</v>
      </c>
      <c r="C837" s="3" t="inlineStr">
        <is>
          <t>Clothing</t>
        </is>
      </c>
      <c r="D837" s="3" t="inlineStr">
        <is>
          <t>Dresses</t>
        </is>
      </c>
      <c r="E837" s="3" t="inlineStr">
        <is>
          <t>Greater Accra</t>
        </is>
      </c>
      <c r="F837" s="3" t="inlineStr">
        <is>
          <t>Online</t>
        </is>
      </c>
      <c r="G837" s="3" t="inlineStr">
        <is>
          <t>New</t>
        </is>
      </c>
      <c r="H837" s="3" t="n">
        <v>2</v>
      </c>
      <c r="I837" s="3" t="n">
        <v>120</v>
      </c>
      <c r="J837" s="3" t="n">
        <v>63.78</v>
      </c>
      <c r="K837" s="3" t="n">
        <v>0</v>
      </c>
      <c r="L837" s="3" t="n">
        <v>33.94</v>
      </c>
    </row>
    <row r="838">
      <c r="A838" s="3" t="inlineStr">
        <is>
          <t>ORD-10837</t>
        </is>
      </c>
      <c r="B838" s="6" t="n">
        <v>45875</v>
      </c>
      <c r="C838" s="3" t="inlineStr">
        <is>
          <t>Footwear</t>
        </is>
      </c>
      <c r="D838" s="3" t="inlineStr">
        <is>
          <t>Sneakers</t>
        </is>
      </c>
      <c r="E838" s="3" t="inlineStr">
        <is>
          <t>Northern</t>
        </is>
      </c>
      <c r="F838" s="3" t="inlineStr">
        <is>
          <t>Retail Shop</t>
        </is>
      </c>
      <c r="G838" s="3" t="inlineStr">
        <is>
          <t>New</t>
        </is>
      </c>
      <c r="H838" s="3" t="n">
        <v>2</v>
      </c>
      <c r="I838" s="3" t="n">
        <v>315</v>
      </c>
      <c r="J838" s="3" t="n">
        <v>169.55</v>
      </c>
      <c r="K838" s="3" t="n">
        <v>0</v>
      </c>
      <c r="L838" s="3" t="n">
        <v>2.28</v>
      </c>
    </row>
    <row r="839">
      <c r="A839" s="3" t="inlineStr">
        <is>
          <t>ORD-10838</t>
        </is>
      </c>
      <c r="B839" s="6" t="n">
        <v>45965</v>
      </c>
      <c r="C839" s="3" t="inlineStr">
        <is>
          <t>Clothing</t>
        </is>
      </c>
      <c r="D839" s="3" t="inlineStr">
        <is>
          <t>Shirts</t>
        </is>
      </c>
      <c r="E839" s="3" t="inlineStr">
        <is>
          <t>Greater Accra</t>
        </is>
      </c>
      <c r="F839" s="3" t="inlineStr">
        <is>
          <t>Online</t>
        </is>
      </c>
      <c r="G839" s="3" t="inlineStr">
        <is>
          <t>Returning</t>
        </is>
      </c>
      <c r="H839" s="3" t="n">
        <v>1</v>
      </c>
      <c r="I839" s="3" t="n">
        <v>140</v>
      </c>
      <c r="J839" s="3" t="n">
        <v>74.84999999999999</v>
      </c>
      <c r="K839" s="3" t="n">
        <v>0.15</v>
      </c>
      <c r="L839" s="3" t="n">
        <v>22.75</v>
      </c>
    </row>
    <row r="840">
      <c r="A840" s="3" t="inlineStr">
        <is>
          <t>ORD-10839</t>
        </is>
      </c>
      <c r="B840" s="6" t="n">
        <v>45697</v>
      </c>
      <c r="C840" s="3" t="inlineStr">
        <is>
          <t>Clothing</t>
        </is>
      </c>
      <c r="D840" s="3" t="inlineStr">
        <is>
          <t>Jackets</t>
        </is>
      </c>
      <c r="E840" s="3" t="inlineStr">
        <is>
          <t>Northern</t>
        </is>
      </c>
      <c r="F840" s="3" t="inlineStr">
        <is>
          <t>Phone/WhatsApp</t>
        </is>
      </c>
      <c r="G840" s="3" t="inlineStr">
        <is>
          <t>New</t>
        </is>
      </c>
      <c r="H840" s="3" t="n">
        <v>1</v>
      </c>
      <c r="I840" s="3" t="n">
        <v>115</v>
      </c>
      <c r="J840" s="3" t="n">
        <v>55.31</v>
      </c>
      <c r="K840" s="3" t="n">
        <v>0</v>
      </c>
      <c r="L840" s="3" t="n">
        <v>40.7</v>
      </c>
    </row>
    <row r="841">
      <c r="A841" s="3" t="inlineStr">
        <is>
          <t>ORD-10840</t>
        </is>
      </c>
      <c r="B841" s="6" t="n">
        <v>46004</v>
      </c>
      <c r="C841" s="3" t="inlineStr">
        <is>
          <t>Footwear</t>
        </is>
      </c>
      <c r="D841" s="3" t="inlineStr">
        <is>
          <t>Sandals</t>
        </is>
      </c>
      <c r="E841" s="3" t="inlineStr">
        <is>
          <t>Greater Accra</t>
        </is>
      </c>
      <c r="F841" s="3" t="inlineStr">
        <is>
          <t>Retail Shop</t>
        </is>
      </c>
      <c r="G841" s="3" t="inlineStr">
        <is>
          <t>Returning</t>
        </is>
      </c>
      <c r="H841" s="3" t="n">
        <v>2</v>
      </c>
      <c r="I841" s="3" t="n">
        <v>280</v>
      </c>
      <c r="J841" s="3" t="n">
        <v>164.06</v>
      </c>
      <c r="K841" s="3" t="n">
        <v>0.1</v>
      </c>
      <c r="L841" s="3" t="n">
        <v>3.02</v>
      </c>
    </row>
    <row r="842">
      <c r="A842" s="3" t="inlineStr">
        <is>
          <t>ORD-10841</t>
        </is>
      </c>
      <c r="B842" s="6" t="n">
        <v>45693</v>
      </c>
      <c r="C842" s="3" t="inlineStr">
        <is>
          <t>Accessories</t>
        </is>
      </c>
      <c r="D842" s="3" t="inlineStr">
        <is>
          <t>Bags</t>
        </is>
      </c>
      <c r="E842" s="3" t="inlineStr">
        <is>
          <t>Greater Accra</t>
        </is>
      </c>
      <c r="F842" s="3" t="inlineStr">
        <is>
          <t>Retail Shop</t>
        </is>
      </c>
      <c r="G842" s="3" t="inlineStr">
        <is>
          <t>Returning</t>
        </is>
      </c>
      <c r="H842" s="3" t="n">
        <v>2</v>
      </c>
      <c r="I842" s="3" t="n">
        <v>90</v>
      </c>
      <c r="J842" s="3" t="n">
        <v>42.33</v>
      </c>
      <c r="K842" s="3" t="n">
        <v>0</v>
      </c>
      <c r="L842" s="3" t="n">
        <v>1.75</v>
      </c>
    </row>
    <row r="843">
      <c r="A843" s="3" t="inlineStr">
        <is>
          <t>ORD-10842</t>
        </is>
      </c>
      <c r="B843" s="6" t="n">
        <v>45794</v>
      </c>
      <c r="C843" s="3" t="inlineStr">
        <is>
          <t>Footwear</t>
        </is>
      </c>
      <c r="D843" s="3" t="inlineStr">
        <is>
          <t>Formal Shoes</t>
        </is>
      </c>
      <c r="E843" s="3" t="inlineStr">
        <is>
          <t>Greater Accra</t>
        </is>
      </c>
      <c r="F843" s="3" t="inlineStr">
        <is>
          <t>Retail Shop</t>
        </is>
      </c>
      <c r="G843" s="3" t="inlineStr">
        <is>
          <t>New</t>
        </is>
      </c>
      <c r="H843" s="3" t="n">
        <v>4</v>
      </c>
      <c r="I843" s="3" t="n">
        <v>325</v>
      </c>
      <c r="J843" s="3" t="n">
        <v>196.22</v>
      </c>
      <c r="K843" s="3" t="n">
        <v>0.2</v>
      </c>
      <c r="L843" s="3" t="n">
        <v>3.22</v>
      </c>
    </row>
    <row r="844">
      <c r="A844" s="3" t="inlineStr">
        <is>
          <t>ORD-10843</t>
        </is>
      </c>
      <c r="B844" s="6" t="n">
        <v>45688</v>
      </c>
      <c r="C844" s="3" t="inlineStr">
        <is>
          <t>Accessories</t>
        </is>
      </c>
      <c r="D844" s="3" t="inlineStr">
        <is>
          <t>Bags</t>
        </is>
      </c>
      <c r="E844" s="3" t="inlineStr">
        <is>
          <t>Greater Accra</t>
        </is>
      </c>
      <c r="F844" s="3" t="inlineStr">
        <is>
          <t>Retail Shop</t>
        </is>
      </c>
      <c r="G844" s="3" t="inlineStr">
        <is>
          <t>Returning</t>
        </is>
      </c>
      <c r="H844" s="3" t="n">
        <v>1</v>
      </c>
      <c r="I844" s="3" t="n">
        <v>110</v>
      </c>
      <c r="J844" s="3" t="n">
        <v>56.86</v>
      </c>
      <c r="K844" s="3" t="n">
        <v>0</v>
      </c>
      <c r="L844" s="3" t="n">
        <v>3.79</v>
      </c>
    </row>
    <row r="845">
      <c r="A845" s="3" t="inlineStr">
        <is>
          <t>ORD-10844</t>
        </is>
      </c>
      <c r="B845" s="6" t="n">
        <v>45900</v>
      </c>
      <c r="C845" s="3" t="inlineStr">
        <is>
          <t>Accessories</t>
        </is>
      </c>
      <c r="D845" s="3" t="inlineStr">
        <is>
          <t>Watches</t>
        </is>
      </c>
      <c r="E845" s="3" t="inlineStr">
        <is>
          <t>Greater Accra</t>
        </is>
      </c>
      <c r="F845" s="3" t="inlineStr">
        <is>
          <t>Online</t>
        </is>
      </c>
      <c r="G845" s="3" t="inlineStr">
        <is>
          <t>Returning</t>
        </is>
      </c>
      <c r="H845" s="3" t="n">
        <v>4</v>
      </c>
      <c r="I845" s="3" t="n">
        <v>75</v>
      </c>
      <c r="J845" s="3" t="n">
        <v>32.92</v>
      </c>
      <c r="K845" s="3" t="n">
        <v>0</v>
      </c>
      <c r="L845" s="3" t="n">
        <v>35.95</v>
      </c>
    </row>
    <row r="846">
      <c r="A846" s="3" t="inlineStr">
        <is>
          <t>ORD-10845</t>
        </is>
      </c>
      <c r="B846" s="6" t="n">
        <v>45738</v>
      </c>
      <c r="C846" s="3" t="inlineStr">
        <is>
          <t>Accessories</t>
        </is>
      </c>
      <c r="D846" s="3" t="inlineStr">
        <is>
          <t>Sunglasses</t>
        </is>
      </c>
      <c r="E846" s="3" t="inlineStr">
        <is>
          <t>Greater Accra</t>
        </is>
      </c>
      <c r="F846" s="3" t="inlineStr">
        <is>
          <t>Retail Shop</t>
        </is>
      </c>
      <c r="G846" s="3" t="inlineStr">
        <is>
          <t>New</t>
        </is>
      </c>
      <c r="H846" s="3" t="n">
        <v>4</v>
      </c>
      <c r="I846" s="3" t="n">
        <v>85</v>
      </c>
      <c r="J846" s="3" t="n">
        <v>40.6</v>
      </c>
      <c r="K846" s="3" t="n">
        <v>0</v>
      </c>
      <c r="L846" s="3" t="n">
        <v>2.32</v>
      </c>
    </row>
    <row r="847">
      <c r="A847" s="3" t="inlineStr">
        <is>
          <t>ORD-10846</t>
        </is>
      </c>
      <c r="B847" s="6" t="n">
        <v>45679</v>
      </c>
      <c r="C847" s="3" t="inlineStr">
        <is>
          <t>Footwear</t>
        </is>
      </c>
      <c r="D847" s="3" t="inlineStr">
        <is>
          <t>Sneakers</t>
        </is>
      </c>
      <c r="E847" s="3" t="inlineStr">
        <is>
          <t>Central</t>
        </is>
      </c>
      <c r="F847" s="3" t="inlineStr">
        <is>
          <t>Retail Shop</t>
        </is>
      </c>
      <c r="G847" s="3" t="inlineStr">
        <is>
          <t>Returning</t>
        </is>
      </c>
      <c r="H847" s="3" t="n">
        <v>5</v>
      </c>
      <c r="I847" s="3" t="n">
        <v>205</v>
      </c>
      <c r="J847" s="3" t="n">
        <v>122.26</v>
      </c>
      <c r="K847" s="3" t="n">
        <v>0</v>
      </c>
      <c r="L847" s="3" t="n">
        <v>1.93</v>
      </c>
    </row>
    <row r="848">
      <c r="A848" s="3" t="inlineStr">
        <is>
          <t>ORD-10847</t>
        </is>
      </c>
      <c r="B848" s="6" t="n">
        <v>45991</v>
      </c>
      <c r="C848" s="3" t="inlineStr">
        <is>
          <t>Home &amp; Lifestyle</t>
        </is>
      </c>
      <c r="D848" s="3" t="inlineStr">
        <is>
          <t>Travel Mugs</t>
        </is>
      </c>
      <c r="E848" s="3" t="inlineStr">
        <is>
          <t>Ashanti</t>
        </is>
      </c>
      <c r="F848" s="3" t="inlineStr">
        <is>
          <t>Online</t>
        </is>
      </c>
      <c r="G848" s="3" t="inlineStr">
        <is>
          <t>Returning</t>
        </is>
      </c>
      <c r="H848" s="3" t="n">
        <v>2</v>
      </c>
      <c r="I848" s="3" t="n">
        <v>85</v>
      </c>
      <c r="J848" s="3" t="n">
        <v>46.53</v>
      </c>
      <c r="K848" s="3" t="n">
        <v>0.15</v>
      </c>
      <c r="L848" s="3" t="n">
        <v>14.83</v>
      </c>
    </row>
    <row r="849">
      <c r="A849" s="3" t="inlineStr">
        <is>
          <t>ORD-10848</t>
        </is>
      </c>
      <c r="B849" s="6" t="n">
        <v>45663</v>
      </c>
      <c r="C849" s="3" t="inlineStr">
        <is>
          <t>Accessories</t>
        </is>
      </c>
      <c r="D849" s="3" t="inlineStr">
        <is>
          <t>Watches</t>
        </is>
      </c>
      <c r="E849" s="3" t="inlineStr">
        <is>
          <t>Greater Accra</t>
        </is>
      </c>
      <c r="F849" s="3" t="inlineStr">
        <is>
          <t>Phone/WhatsApp</t>
        </is>
      </c>
      <c r="G849" s="3" t="inlineStr">
        <is>
          <t>New</t>
        </is>
      </c>
      <c r="H849" s="3" t="n">
        <v>6</v>
      </c>
      <c r="I849" s="3" t="n">
        <v>105</v>
      </c>
      <c r="J849" s="3" t="n">
        <v>50.57</v>
      </c>
      <c r="K849" s="3" t="n">
        <v>0.05</v>
      </c>
      <c r="L849" s="3" t="n">
        <v>34.18</v>
      </c>
    </row>
    <row r="850">
      <c r="A850" s="3" t="inlineStr">
        <is>
          <t>ORD-10849</t>
        </is>
      </c>
      <c r="B850" s="6" t="n">
        <v>45904</v>
      </c>
      <c r="C850" s="3" t="inlineStr">
        <is>
          <t>Footwear</t>
        </is>
      </c>
      <c r="D850" s="3" t="inlineStr">
        <is>
          <t>Boots</t>
        </is>
      </c>
      <c r="E850" s="3" t="inlineStr">
        <is>
          <t>Greater Accra</t>
        </is>
      </c>
      <c r="F850" s="3" t="inlineStr">
        <is>
          <t>Retail Shop</t>
        </is>
      </c>
      <c r="G850" s="3" t="inlineStr">
        <is>
          <t>New</t>
        </is>
      </c>
      <c r="H850" s="3" t="n">
        <v>5</v>
      </c>
      <c r="I850" s="3" t="n">
        <v>285</v>
      </c>
      <c r="J850" s="3" t="n">
        <v>158.28</v>
      </c>
      <c r="K850" s="3" t="n">
        <v>0</v>
      </c>
      <c r="L850" s="3" t="n">
        <v>0.06</v>
      </c>
    </row>
    <row r="851">
      <c r="A851" s="3" t="inlineStr">
        <is>
          <t>ORD-10850</t>
        </is>
      </c>
      <c r="B851" s="6" t="n">
        <v>46014</v>
      </c>
      <c r="C851" s="3" t="inlineStr">
        <is>
          <t>Home &amp; Lifestyle</t>
        </is>
      </c>
      <c r="D851" s="3" t="inlineStr">
        <is>
          <t>Travel Mugs</t>
        </is>
      </c>
      <c r="E851" s="3" t="inlineStr">
        <is>
          <t>Greater Accra</t>
        </is>
      </c>
      <c r="F851" s="3" t="inlineStr">
        <is>
          <t>Retail Shop</t>
        </is>
      </c>
      <c r="G851" s="3" t="inlineStr">
        <is>
          <t>New</t>
        </is>
      </c>
      <c r="H851" s="3" t="n">
        <v>2</v>
      </c>
      <c r="I851" s="3" t="n">
        <v>125</v>
      </c>
      <c r="J851" s="3" t="n">
        <v>60.75</v>
      </c>
      <c r="K851" s="3" t="n">
        <v>0.2</v>
      </c>
      <c r="L851" s="3" t="n">
        <v>8.630000000000001</v>
      </c>
    </row>
    <row r="852">
      <c r="A852" s="3" t="inlineStr">
        <is>
          <t>ORD-10851</t>
        </is>
      </c>
      <c r="B852" s="6" t="n">
        <v>45767</v>
      </c>
      <c r="C852" s="3" t="inlineStr">
        <is>
          <t>Accessories</t>
        </is>
      </c>
      <c r="D852" s="3" t="inlineStr">
        <is>
          <t>Watches</t>
        </is>
      </c>
      <c r="E852" s="3" t="inlineStr">
        <is>
          <t>Greater Accra</t>
        </is>
      </c>
      <c r="F852" s="3" t="inlineStr">
        <is>
          <t>Phone/WhatsApp</t>
        </is>
      </c>
      <c r="G852" s="3" t="inlineStr">
        <is>
          <t>Returning</t>
        </is>
      </c>
      <c r="H852" s="3" t="n">
        <v>4</v>
      </c>
      <c r="I852" s="3" t="n">
        <v>160</v>
      </c>
      <c r="J852" s="3" t="n">
        <v>69.64</v>
      </c>
      <c r="K852" s="3" t="n">
        <v>0.1</v>
      </c>
      <c r="L852" s="3" t="n">
        <v>43.82</v>
      </c>
    </row>
    <row r="853">
      <c r="A853" s="3" t="inlineStr">
        <is>
          <t>ORD-10852</t>
        </is>
      </c>
      <c r="B853" s="6" t="n">
        <v>45814</v>
      </c>
      <c r="C853" s="3" t="inlineStr">
        <is>
          <t>Footwear</t>
        </is>
      </c>
      <c r="D853" s="3" t="inlineStr">
        <is>
          <t>Boots</t>
        </is>
      </c>
      <c r="E853" s="3" t="inlineStr">
        <is>
          <t>Greater Accra</t>
        </is>
      </c>
      <c r="F853" s="3" t="inlineStr">
        <is>
          <t>Online</t>
        </is>
      </c>
      <c r="G853" s="3" t="inlineStr">
        <is>
          <t>Returning</t>
        </is>
      </c>
      <c r="H853" s="3" t="n">
        <v>1</v>
      </c>
      <c r="I853" s="3" t="n">
        <v>290</v>
      </c>
      <c r="J853" s="3" t="n">
        <v>151.4</v>
      </c>
      <c r="K853" s="3" t="n">
        <v>0.2</v>
      </c>
      <c r="L853" s="3" t="n">
        <v>27.54</v>
      </c>
    </row>
    <row r="854">
      <c r="A854" s="3" t="inlineStr">
        <is>
          <t>ORD-10853</t>
        </is>
      </c>
      <c r="B854" s="6" t="n">
        <v>45910</v>
      </c>
      <c r="C854" s="3" t="inlineStr">
        <is>
          <t>Home &amp; Lifestyle</t>
        </is>
      </c>
      <c r="D854" s="3" t="inlineStr">
        <is>
          <t>Travel Mugs</t>
        </is>
      </c>
      <c r="E854" s="3" t="inlineStr">
        <is>
          <t>Greater Accra</t>
        </is>
      </c>
      <c r="F854" s="3" t="inlineStr">
        <is>
          <t>Retail Shop</t>
        </is>
      </c>
      <c r="G854" s="3" t="inlineStr">
        <is>
          <t>New</t>
        </is>
      </c>
      <c r="H854" s="3" t="n">
        <v>1</v>
      </c>
      <c r="I854" s="3" t="n">
        <v>130</v>
      </c>
      <c r="J854" s="3" t="n">
        <v>74.31999999999999</v>
      </c>
      <c r="K854" s="3" t="n">
        <v>0.05</v>
      </c>
      <c r="L854" s="3" t="n">
        <v>2.16</v>
      </c>
    </row>
    <row r="855">
      <c r="A855" s="3" t="inlineStr">
        <is>
          <t>ORD-10854</t>
        </is>
      </c>
      <c r="B855" s="6" t="n">
        <v>45716</v>
      </c>
      <c r="C855" s="3" t="inlineStr">
        <is>
          <t>Home &amp; Lifestyle</t>
        </is>
      </c>
      <c r="D855" s="3" t="inlineStr">
        <is>
          <t>Backpacks</t>
        </is>
      </c>
      <c r="E855" s="3" t="inlineStr">
        <is>
          <t>Central</t>
        </is>
      </c>
      <c r="F855" s="3" t="inlineStr">
        <is>
          <t>Retail Shop</t>
        </is>
      </c>
      <c r="G855" s="3" t="inlineStr">
        <is>
          <t>Returning</t>
        </is>
      </c>
      <c r="H855" s="3" t="n">
        <v>1</v>
      </c>
      <c r="I855" s="3" t="n">
        <v>135</v>
      </c>
      <c r="J855" s="3" t="n">
        <v>78.68000000000001</v>
      </c>
      <c r="K855" s="3" t="n">
        <v>0.05</v>
      </c>
      <c r="L855" s="3" t="n">
        <v>0.99</v>
      </c>
    </row>
    <row r="856">
      <c r="A856" s="3" t="inlineStr">
        <is>
          <t>ORD-10855</t>
        </is>
      </c>
      <c r="B856" s="6" t="n">
        <v>45692</v>
      </c>
      <c r="C856" s="3" t="inlineStr">
        <is>
          <t>Home &amp; Lifestyle</t>
        </is>
      </c>
      <c r="D856" s="3" t="inlineStr">
        <is>
          <t>Backpacks</t>
        </is>
      </c>
      <c r="E856" s="3" t="inlineStr">
        <is>
          <t>Greater Accra</t>
        </is>
      </c>
      <c r="F856" s="3" t="inlineStr">
        <is>
          <t>Retail Shop</t>
        </is>
      </c>
      <c r="G856" s="3" t="inlineStr">
        <is>
          <t>Returning</t>
        </is>
      </c>
      <c r="H856" s="3" t="n">
        <v>1</v>
      </c>
      <c r="I856" s="3" t="n">
        <v>250</v>
      </c>
      <c r="J856" s="3" t="n">
        <v>135.02</v>
      </c>
      <c r="K856" s="3" t="n">
        <v>0</v>
      </c>
      <c r="L856" s="3" t="n">
        <v>6.79</v>
      </c>
    </row>
    <row r="857">
      <c r="A857" s="3" t="inlineStr">
        <is>
          <t>ORD-10856</t>
        </is>
      </c>
      <c r="B857" s="6" t="n">
        <v>45778</v>
      </c>
      <c r="C857" s="3" t="inlineStr">
        <is>
          <t>Clothing</t>
        </is>
      </c>
      <c r="D857" s="3" t="inlineStr">
        <is>
          <t>Jackets</t>
        </is>
      </c>
      <c r="E857" s="3" t="inlineStr">
        <is>
          <t>Western</t>
        </is>
      </c>
      <c r="F857" s="3" t="inlineStr">
        <is>
          <t>Online</t>
        </is>
      </c>
      <c r="G857" s="3" t="inlineStr">
        <is>
          <t>New</t>
        </is>
      </c>
      <c r="H857" s="3" t="n">
        <v>1</v>
      </c>
      <c r="I857" s="3" t="n">
        <v>110</v>
      </c>
      <c r="J857" s="3" t="n">
        <v>55.26</v>
      </c>
      <c r="K857" s="3" t="n">
        <v>0</v>
      </c>
      <c r="L857" s="3" t="n">
        <v>18.49</v>
      </c>
    </row>
    <row r="858">
      <c r="A858" s="3" t="inlineStr">
        <is>
          <t>ORD-10857</t>
        </is>
      </c>
      <c r="B858" s="6" t="n">
        <v>45813</v>
      </c>
      <c r="C858" s="3" t="inlineStr">
        <is>
          <t>Footwear</t>
        </is>
      </c>
      <c r="D858" s="3" t="inlineStr">
        <is>
          <t>Sneakers</t>
        </is>
      </c>
      <c r="E858" s="3" t="inlineStr">
        <is>
          <t>Ashanti</t>
        </is>
      </c>
      <c r="F858" s="3" t="inlineStr">
        <is>
          <t>Phone/WhatsApp</t>
        </is>
      </c>
      <c r="G858" s="3" t="inlineStr">
        <is>
          <t>New</t>
        </is>
      </c>
      <c r="H858" s="3" t="n">
        <v>5</v>
      </c>
      <c r="I858" s="3" t="n">
        <v>275</v>
      </c>
      <c r="J858" s="3" t="n">
        <v>147.54</v>
      </c>
      <c r="K858" s="3" t="n">
        <v>0.05</v>
      </c>
      <c r="L858" s="3" t="n">
        <v>40.31</v>
      </c>
    </row>
    <row r="859">
      <c r="A859" s="3" t="inlineStr">
        <is>
          <t>ORD-10858</t>
        </is>
      </c>
      <c r="B859" s="6" t="n">
        <v>45724</v>
      </c>
      <c r="C859" s="3" t="inlineStr">
        <is>
          <t>Clothing</t>
        </is>
      </c>
      <c r="D859" s="3" t="inlineStr">
        <is>
          <t>Jackets</t>
        </is>
      </c>
      <c r="E859" s="3" t="inlineStr">
        <is>
          <t>Ashanti</t>
        </is>
      </c>
      <c r="F859" s="3" t="inlineStr">
        <is>
          <t>Online</t>
        </is>
      </c>
      <c r="G859" s="3" t="inlineStr">
        <is>
          <t>Returning</t>
        </is>
      </c>
      <c r="H859" s="3" t="n">
        <v>2</v>
      </c>
      <c r="I859" s="3" t="n">
        <v>165</v>
      </c>
      <c r="J859" s="3" t="n">
        <v>92.70999999999999</v>
      </c>
      <c r="K859" s="3" t="n">
        <v>0</v>
      </c>
      <c r="L859" s="3" t="n">
        <v>18.55</v>
      </c>
    </row>
    <row r="860">
      <c r="A860" s="3" t="inlineStr">
        <is>
          <t>ORD-10859</t>
        </is>
      </c>
      <c r="B860" s="6" t="n">
        <v>45788</v>
      </c>
      <c r="C860" s="3" t="inlineStr">
        <is>
          <t>Clothing</t>
        </is>
      </c>
      <c r="D860" s="3" t="inlineStr">
        <is>
          <t>Shirts</t>
        </is>
      </c>
      <c r="E860" s="3" t="inlineStr">
        <is>
          <t>Ashanti</t>
        </is>
      </c>
      <c r="F860" s="3" t="inlineStr">
        <is>
          <t>Online</t>
        </is>
      </c>
      <c r="G860" s="3" t="inlineStr">
        <is>
          <t>New</t>
        </is>
      </c>
      <c r="H860" s="3" t="n">
        <v>3</v>
      </c>
      <c r="I860" s="3" t="n">
        <v>120</v>
      </c>
      <c r="J860" s="3" t="n">
        <v>61.69</v>
      </c>
      <c r="K860" s="3" t="n">
        <v>0.05</v>
      </c>
      <c r="L860" s="3" t="n">
        <v>33.25</v>
      </c>
    </row>
    <row r="861">
      <c r="A861" s="3" t="inlineStr">
        <is>
          <t>ORD-10860</t>
        </is>
      </c>
      <c r="B861" s="6" t="n">
        <v>45922</v>
      </c>
      <c r="C861" s="3" t="inlineStr">
        <is>
          <t>Home &amp; Lifestyle</t>
        </is>
      </c>
      <c r="D861" s="3" t="inlineStr">
        <is>
          <t>Backpacks</t>
        </is>
      </c>
      <c r="E861" s="3" t="inlineStr">
        <is>
          <t>Western</t>
        </is>
      </c>
      <c r="F861" s="3" t="inlineStr">
        <is>
          <t>Online</t>
        </is>
      </c>
      <c r="G861" s="3" t="inlineStr">
        <is>
          <t>Returning</t>
        </is>
      </c>
      <c r="H861" s="3" t="n">
        <v>2</v>
      </c>
      <c r="I861" s="3" t="n">
        <v>120</v>
      </c>
      <c r="J861" s="3" t="n">
        <v>72.55</v>
      </c>
      <c r="K861" s="3" t="n">
        <v>0</v>
      </c>
      <c r="L861" s="3" t="n">
        <v>12.44</v>
      </c>
    </row>
    <row r="862">
      <c r="A862" s="3" t="inlineStr">
        <is>
          <t>ORD-10861</t>
        </is>
      </c>
      <c r="B862" s="6" t="n">
        <v>45869</v>
      </c>
      <c r="C862" s="3" t="inlineStr">
        <is>
          <t>Home &amp; Lifestyle</t>
        </is>
      </c>
      <c r="D862" s="3" t="inlineStr">
        <is>
          <t>Small Home Goods</t>
        </is>
      </c>
      <c r="E862" s="3" t="inlineStr">
        <is>
          <t>Greater Accra</t>
        </is>
      </c>
      <c r="F862" s="3" t="inlineStr">
        <is>
          <t>Phone/WhatsApp</t>
        </is>
      </c>
      <c r="G862" s="3" t="inlineStr">
        <is>
          <t>Returning</t>
        </is>
      </c>
      <c r="H862" s="3" t="n">
        <v>2</v>
      </c>
      <c r="I862" s="3" t="n">
        <v>130</v>
      </c>
      <c r="J862" s="3" t="n">
        <v>68.48</v>
      </c>
      <c r="K862" s="3" t="n">
        <v>0.15</v>
      </c>
      <c r="L862" s="3" t="n">
        <v>28.74</v>
      </c>
    </row>
    <row r="863">
      <c r="A863" s="3" t="inlineStr">
        <is>
          <t>ORD-10862</t>
        </is>
      </c>
      <c r="B863" s="6" t="n">
        <v>45986</v>
      </c>
      <c r="C863" s="3" t="inlineStr">
        <is>
          <t>Clothing</t>
        </is>
      </c>
      <c r="D863" s="3" t="inlineStr">
        <is>
          <t>Trousers</t>
        </is>
      </c>
      <c r="E863" s="3" t="inlineStr">
        <is>
          <t>Greater Accra</t>
        </is>
      </c>
      <c r="F863" s="3" t="inlineStr">
        <is>
          <t>Retail Shop</t>
        </is>
      </c>
      <c r="G863" s="3" t="inlineStr">
        <is>
          <t>New</t>
        </is>
      </c>
      <c r="H863" s="3" t="n">
        <v>8</v>
      </c>
      <c r="I863" s="3" t="n">
        <v>240</v>
      </c>
      <c r="J863" s="3" t="n">
        <v>132.93</v>
      </c>
      <c r="K863" s="3" t="n">
        <v>0</v>
      </c>
      <c r="L863" s="3" t="n">
        <v>9.19</v>
      </c>
    </row>
    <row r="864">
      <c r="A864" s="3" t="inlineStr">
        <is>
          <t>ORD-10863</t>
        </is>
      </c>
      <c r="B864" s="6" t="n">
        <v>45918</v>
      </c>
      <c r="C864" s="3" t="inlineStr">
        <is>
          <t>Footwear</t>
        </is>
      </c>
      <c r="D864" s="3" t="inlineStr">
        <is>
          <t>Boots</t>
        </is>
      </c>
      <c r="E864" s="3" t="inlineStr">
        <is>
          <t>Greater Accra</t>
        </is>
      </c>
      <c r="F864" s="3" t="inlineStr">
        <is>
          <t>Phone/WhatsApp</t>
        </is>
      </c>
      <c r="G864" s="3" t="inlineStr">
        <is>
          <t>Returning</t>
        </is>
      </c>
      <c r="H864" s="3" t="n">
        <v>2</v>
      </c>
      <c r="I864" s="3" t="n">
        <v>285</v>
      </c>
      <c r="J864" s="3" t="n">
        <v>156.92</v>
      </c>
      <c r="K864" s="3" t="n">
        <v>0</v>
      </c>
      <c r="L864" s="3" t="n">
        <v>10.49</v>
      </c>
    </row>
    <row r="865">
      <c r="A865" s="3" t="inlineStr">
        <is>
          <t>ORD-10864</t>
        </is>
      </c>
      <c r="B865" s="6" t="n">
        <v>46016</v>
      </c>
      <c r="C865" s="3" t="inlineStr">
        <is>
          <t>Accessories</t>
        </is>
      </c>
      <c r="D865" s="3" t="inlineStr">
        <is>
          <t>Sunglasses</t>
        </is>
      </c>
      <c r="E865" s="3" t="inlineStr">
        <is>
          <t>Greater Accra</t>
        </is>
      </c>
      <c r="F865" s="3" t="inlineStr">
        <is>
          <t>Online</t>
        </is>
      </c>
      <c r="G865" s="3" t="inlineStr">
        <is>
          <t>New</t>
        </is>
      </c>
      <c r="H865" s="3" t="n">
        <v>1</v>
      </c>
      <c r="I865" s="3" t="n">
        <v>75</v>
      </c>
      <c r="J865" s="3" t="n">
        <v>38.24</v>
      </c>
      <c r="K865" s="3" t="n">
        <v>0</v>
      </c>
      <c r="L865" s="3" t="n">
        <v>16.34</v>
      </c>
    </row>
    <row r="866">
      <c r="A866" s="3" t="inlineStr">
        <is>
          <t>ORD-10865</t>
        </is>
      </c>
      <c r="B866" s="6" t="n">
        <v>45674</v>
      </c>
      <c r="C866" s="3" t="inlineStr">
        <is>
          <t>Footwear</t>
        </is>
      </c>
      <c r="D866" s="3" t="inlineStr">
        <is>
          <t>Sneakers</t>
        </is>
      </c>
      <c r="E866" s="3" t="inlineStr">
        <is>
          <t>Western</t>
        </is>
      </c>
      <c r="F866" s="3" t="inlineStr">
        <is>
          <t>Retail Shop</t>
        </is>
      </c>
      <c r="G866" s="3" t="inlineStr">
        <is>
          <t>New</t>
        </is>
      </c>
      <c r="H866" s="3" t="n">
        <v>3</v>
      </c>
      <c r="I866" s="3" t="n">
        <v>275</v>
      </c>
      <c r="J866" s="3" t="n">
        <v>142.21</v>
      </c>
      <c r="K866" s="3" t="n">
        <v>0</v>
      </c>
      <c r="L866" s="3" t="n">
        <v>10.43</v>
      </c>
    </row>
    <row r="867">
      <c r="A867" s="3" t="inlineStr">
        <is>
          <t>ORD-10866</t>
        </is>
      </c>
      <c r="B867" s="6" t="n">
        <v>45812</v>
      </c>
      <c r="C867" s="3" t="inlineStr">
        <is>
          <t>Home &amp; Lifestyle</t>
        </is>
      </c>
      <c r="D867" s="3" t="inlineStr">
        <is>
          <t>Travel Mugs</t>
        </is>
      </c>
      <c r="E867" s="3" t="inlineStr">
        <is>
          <t>Greater Accra</t>
        </is>
      </c>
      <c r="F867" s="3" t="inlineStr">
        <is>
          <t>Online</t>
        </is>
      </c>
      <c r="G867" s="3" t="inlineStr">
        <is>
          <t>Returning</t>
        </is>
      </c>
      <c r="H867" s="3" t="n">
        <v>3</v>
      </c>
      <c r="I867" s="3" t="n">
        <v>110</v>
      </c>
      <c r="J867" s="3" t="n">
        <v>56.3</v>
      </c>
      <c r="K867" s="3" t="n">
        <v>0.05</v>
      </c>
      <c r="L867" s="3" t="n">
        <v>37.09</v>
      </c>
    </row>
    <row r="868">
      <c r="A868" s="3" t="inlineStr">
        <is>
          <t>ORD-10867</t>
        </is>
      </c>
      <c r="B868" s="6" t="n">
        <v>45665</v>
      </c>
      <c r="C868" s="3" t="inlineStr">
        <is>
          <t>Footwear</t>
        </is>
      </c>
      <c r="D868" s="3" t="inlineStr">
        <is>
          <t>Boots</t>
        </is>
      </c>
      <c r="E868" s="3" t="inlineStr">
        <is>
          <t>Western</t>
        </is>
      </c>
      <c r="F868" s="3" t="inlineStr">
        <is>
          <t>Retail Shop</t>
        </is>
      </c>
      <c r="G868" s="3" t="inlineStr">
        <is>
          <t>Returning</t>
        </is>
      </c>
      <c r="H868" s="3" t="n">
        <v>1</v>
      </c>
      <c r="I868" s="3" t="n">
        <v>430</v>
      </c>
      <c r="J868" s="3" t="n">
        <v>228.88</v>
      </c>
      <c r="K868" s="3" t="n">
        <v>0.05</v>
      </c>
      <c r="L868" s="3" t="n">
        <v>11.24</v>
      </c>
    </row>
    <row r="869">
      <c r="A869" s="3" t="inlineStr">
        <is>
          <t>ORD-10868</t>
        </is>
      </c>
      <c r="B869" s="6" t="n">
        <v>45948</v>
      </c>
      <c r="C869" s="3" t="inlineStr">
        <is>
          <t>Footwear</t>
        </is>
      </c>
      <c r="D869" s="3" t="inlineStr">
        <is>
          <t>Sneakers</t>
        </is>
      </c>
      <c r="E869" s="3" t="inlineStr">
        <is>
          <t>Greater Accra</t>
        </is>
      </c>
      <c r="F869" s="3" t="inlineStr">
        <is>
          <t>Online</t>
        </is>
      </c>
      <c r="G869" s="3" t="inlineStr">
        <is>
          <t>Returning</t>
        </is>
      </c>
      <c r="H869" s="3" t="n">
        <v>5</v>
      </c>
      <c r="I869" s="3" t="n">
        <v>235</v>
      </c>
      <c r="J869" s="3" t="n">
        <v>141.57</v>
      </c>
      <c r="K869" s="3" t="n">
        <v>0</v>
      </c>
      <c r="L869" s="3" t="n">
        <v>9.75</v>
      </c>
    </row>
    <row r="870">
      <c r="A870" s="3" t="inlineStr">
        <is>
          <t>ORD-10869</t>
        </is>
      </c>
      <c r="B870" s="6" t="n">
        <v>45747</v>
      </c>
      <c r="C870" s="3" t="inlineStr">
        <is>
          <t>Clothing</t>
        </is>
      </c>
      <c r="D870" s="3" t="inlineStr">
        <is>
          <t>Dresses</t>
        </is>
      </c>
      <c r="E870" s="3" t="inlineStr">
        <is>
          <t>Western</t>
        </is>
      </c>
      <c r="F870" s="3" t="inlineStr">
        <is>
          <t>Retail Shop</t>
        </is>
      </c>
      <c r="G870" s="3" t="inlineStr">
        <is>
          <t>Returning</t>
        </is>
      </c>
      <c r="H870" s="3" t="n">
        <v>1</v>
      </c>
      <c r="I870" s="3" t="n">
        <v>245</v>
      </c>
      <c r="J870" s="3" t="n">
        <v>114.39</v>
      </c>
      <c r="K870" s="3" t="n">
        <v>0.05</v>
      </c>
      <c r="L870" s="3" t="n">
        <v>10.13</v>
      </c>
    </row>
    <row r="871">
      <c r="A871" s="3" t="inlineStr">
        <is>
          <t>ORD-10870</t>
        </is>
      </c>
      <c r="B871" s="6" t="n">
        <v>45866</v>
      </c>
      <c r="C871" s="3" t="inlineStr">
        <is>
          <t>Footwear</t>
        </is>
      </c>
      <c r="D871" s="3" t="inlineStr">
        <is>
          <t>Sneakers</t>
        </is>
      </c>
      <c r="E871" s="3" t="inlineStr">
        <is>
          <t>Western</t>
        </is>
      </c>
      <c r="F871" s="3" t="inlineStr">
        <is>
          <t>Phone/WhatsApp</t>
        </is>
      </c>
      <c r="G871" s="3" t="inlineStr">
        <is>
          <t>Returning</t>
        </is>
      </c>
      <c r="H871" s="3" t="n">
        <v>3</v>
      </c>
      <c r="I871" s="3" t="n">
        <v>260</v>
      </c>
      <c r="J871" s="3" t="n">
        <v>144.65</v>
      </c>
      <c r="K871" s="3" t="n">
        <v>0</v>
      </c>
      <c r="L871" s="3" t="n">
        <v>8.4</v>
      </c>
    </row>
    <row r="872">
      <c r="A872" s="3" t="inlineStr">
        <is>
          <t>ORD-10871</t>
        </is>
      </c>
      <c r="B872" s="6" t="n">
        <v>45843</v>
      </c>
      <c r="C872" s="3" t="inlineStr">
        <is>
          <t>Accessories</t>
        </is>
      </c>
      <c r="D872" s="3" t="inlineStr">
        <is>
          <t>Sunglasses</t>
        </is>
      </c>
      <c r="E872" s="3" t="inlineStr">
        <is>
          <t>Greater Accra</t>
        </is>
      </c>
      <c r="F872" s="3" t="inlineStr">
        <is>
          <t>Online</t>
        </is>
      </c>
      <c r="G872" s="3" t="inlineStr">
        <is>
          <t>New</t>
        </is>
      </c>
      <c r="H872" s="3" t="n">
        <v>2</v>
      </c>
      <c r="I872" s="3" t="n">
        <v>135</v>
      </c>
      <c r="J872" s="3" t="n">
        <v>65.12</v>
      </c>
      <c r="K872" s="3" t="n">
        <v>0</v>
      </c>
      <c r="L872" s="3" t="n">
        <v>38.93</v>
      </c>
    </row>
    <row r="873">
      <c r="A873" s="3" t="inlineStr">
        <is>
          <t>ORD-10872</t>
        </is>
      </c>
      <c r="B873" s="6" t="n">
        <v>45792</v>
      </c>
      <c r="C873" s="3" t="inlineStr">
        <is>
          <t>Accessories</t>
        </is>
      </c>
      <c r="D873" s="3" t="inlineStr">
        <is>
          <t>Belts</t>
        </is>
      </c>
      <c r="E873" s="3" t="inlineStr">
        <is>
          <t>Ashanti</t>
        </is>
      </c>
      <c r="F873" s="3" t="inlineStr">
        <is>
          <t>Retail Shop</t>
        </is>
      </c>
      <c r="G873" s="3" t="inlineStr">
        <is>
          <t>Returning</t>
        </is>
      </c>
      <c r="H873" s="3" t="n">
        <v>4</v>
      </c>
      <c r="I873" s="3" t="n">
        <v>100</v>
      </c>
      <c r="J873" s="3" t="n">
        <v>43.91</v>
      </c>
      <c r="K873" s="3" t="n">
        <v>0.05</v>
      </c>
      <c r="L873" s="3" t="n">
        <v>4.21</v>
      </c>
    </row>
    <row r="874">
      <c r="A874" s="3" t="inlineStr">
        <is>
          <t>ORD-10873</t>
        </is>
      </c>
      <c r="B874" s="6" t="n">
        <v>46003</v>
      </c>
      <c r="C874" s="3" t="inlineStr">
        <is>
          <t>Footwear</t>
        </is>
      </c>
      <c r="D874" s="3" t="inlineStr">
        <is>
          <t>Formal Shoes</t>
        </is>
      </c>
      <c r="E874" s="3" t="inlineStr">
        <is>
          <t>Greater Accra</t>
        </is>
      </c>
      <c r="F874" s="3" t="inlineStr">
        <is>
          <t>Retail Shop</t>
        </is>
      </c>
      <c r="G874" s="3" t="inlineStr">
        <is>
          <t>Returning</t>
        </is>
      </c>
      <c r="H874" s="3" t="n">
        <v>4</v>
      </c>
      <c r="I874" s="3" t="n">
        <v>505</v>
      </c>
      <c r="J874" s="3" t="n">
        <v>257.07</v>
      </c>
      <c r="K874" s="3" t="n">
        <v>0</v>
      </c>
      <c r="L874" s="3" t="n">
        <v>0.75</v>
      </c>
    </row>
    <row r="875">
      <c r="A875" s="3" t="inlineStr">
        <is>
          <t>ORD-10874</t>
        </is>
      </c>
      <c r="B875" s="6" t="n">
        <v>45926</v>
      </c>
      <c r="C875" s="3" t="inlineStr">
        <is>
          <t>Footwear</t>
        </is>
      </c>
      <c r="D875" s="3" t="inlineStr">
        <is>
          <t>Formal Shoes</t>
        </is>
      </c>
      <c r="E875" s="3" t="inlineStr">
        <is>
          <t>Western</t>
        </is>
      </c>
      <c r="F875" s="3" t="inlineStr">
        <is>
          <t>Retail Shop</t>
        </is>
      </c>
      <c r="G875" s="3" t="inlineStr">
        <is>
          <t>Returning</t>
        </is>
      </c>
      <c r="H875" s="3" t="n">
        <v>1</v>
      </c>
      <c r="I875" s="3" t="n">
        <v>300</v>
      </c>
      <c r="J875" s="3" t="n">
        <v>189.27</v>
      </c>
      <c r="K875" s="3" t="n">
        <v>0</v>
      </c>
      <c r="L875" s="3" t="n">
        <v>2.64</v>
      </c>
    </row>
    <row r="876">
      <c r="A876" s="3" t="inlineStr">
        <is>
          <t>ORD-10875</t>
        </is>
      </c>
      <c r="B876" s="6" t="n">
        <v>45934</v>
      </c>
      <c r="C876" s="3" t="inlineStr">
        <is>
          <t>Footwear</t>
        </is>
      </c>
      <c r="D876" s="3" t="inlineStr">
        <is>
          <t>Sandals</t>
        </is>
      </c>
      <c r="E876" s="3" t="inlineStr">
        <is>
          <t>Greater Accra</t>
        </is>
      </c>
      <c r="F876" s="3" t="inlineStr">
        <is>
          <t>Retail Shop</t>
        </is>
      </c>
      <c r="G876" s="3" t="inlineStr">
        <is>
          <t>New</t>
        </is>
      </c>
      <c r="H876" s="3" t="n">
        <v>6</v>
      </c>
      <c r="I876" s="3" t="n">
        <v>170</v>
      </c>
      <c r="J876" s="3" t="n">
        <v>99.56</v>
      </c>
      <c r="K876" s="3" t="n">
        <v>0</v>
      </c>
      <c r="L876" s="3" t="n">
        <v>8.75</v>
      </c>
    </row>
    <row r="877">
      <c r="A877" s="3" t="inlineStr">
        <is>
          <t>ORD-10876</t>
        </is>
      </c>
      <c r="B877" s="6" t="n">
        <v>45958</v>
      </c>
      <c r="C877" s="3" t="inlineStr">
        <is>
          <t>Footwear</t>
        </is>
      </c>
      <c r="D877" s="3" t="inlineStr">
        <is>
          <t>Boots</t>
        </is>
      </c>
      <c r="E877" s="3" t="inlineStr">
        <is>
          <t>Ashanti</t>
        </is>
      </c>
      <c r="F877" s="3" t="inlineStr">
        <is>
          <t>Phone/WhatsApp</t>
        </is>
      </c>
      <c r="G877" s="3" t="inlineStr">
        <is>
          <t>Returning</t>
        </is>
      </c>
      <c r="H877" s="3" t="n">
        <v>3</v>
      </c>
      <c r="I877" s="3" t="n">
        <v>240</v>
      </c>
      <c r="J877" s="3" t="n">
        <v>124.16</v>
      </c>
      <c r="K877" s="3" t="n">
        <v>0.05</v>
      </c>
      <c r="L877" s="3" t="n">
        <v>12.41</v>
      </c>
    </row>
    <row r="878">
      <c r="A878" s="3" t="inlineStr">
        <is>
          <t>ORD-10877</t>
        </is>
      </c>
      <c r="B878" s="6" t="n">
        <v>45704</v>
      </c>
      <c r="C878" s="3" t="inlineStr">
        <is>
          <t>Home &amp; Lifestyle</t>
        </is>
      </c>
      <c r="D878" s="3" t="inlineStr">
        <is>
          <t>Travel Mugs</t>
        </is>
      </c>
      <c r="E878" s="3" t="inlineStr">
        <is>
          <t>Western</t>
        </is>
      </c>
      <c r="F878" s="3" t="inlineStr">
        <is>
          <t>Online</t>
        </is>
      </c>
      <c r="G878" s="3" t="inlineStr">
        <is>
          <t>Returning</t>
        </is>
      </c>
      <c r="H878" s="3" t="n">
        <v>1</v>
      </c>
      <c r="I878" s="3" t="n">
        <v>130</v>
      </c>
      <c r="J878" s="3" t="n">
        <v>73.58</v>
      </c>
      <c r="K878" s="3" t="n">
        <v>0.2</v>
      </c>
      <c r="L878" s="3" t="n">
        <v>23.66</v>
      </c>
    </row>
    <row r="879">
      <c r="A879" s="3" t="inlineStr">
        <is>
          <t>ORD-10878</t>
        </is>
      </c>
      <c r="B879" s="6" t="n">
        <v>46014</v>
      </c>
      <c r="C879" s="3" t="inlineStr">
        <is>
          <t>Footwear</t>
        </is>
      </c>
      <c r="D879" s="3" t="inlineStr">
        <is>
          <t>Sandals</t>
        </is>
      </c>
      <c r="E879" s="3" t="inlineStr">
        <is>
          <t>Greater Accra</t>
        </is>
      </c>
      <c r="F879" s="3" t="inlineStr">
        <is>
          <t>Phone/WhatsApp</t>
        </is>
      </c>
      <c r="G879" s="3" t="inlineStr">
        <is>
          <t>New</t>
        </is>
      </c>
      <c r="H879" s="3" t="n">
        <v>1</v>
      </c>
      <c r="I879" s="3" t="n">
        <v>155</v>
      </c>
      <c r="J879" s="3" t="n">
        <v>90.3</v>
      </c>
      <c r="K879" s="3" t="n">
        <v>0.2</v>
      </c>
      <c r="L879" s="3" t="n">
        <v>27.97</v>
      </c>
    </row>
    <row r="880">
      <c r="A880" s="3" t="inlineStr">
        <is>
          <t>ORD-10879</t>
        </is>
      </c>
      <c r="B880" s="6" t="n">
        <v>45760</v>
      </c>
      <c r="C880" s="3" t="inlineStr">
        <is>
          <t>Clothing</t>
        </is>
      </c>
      <c r="D880" s="3" t="inlineStr">
        <is>
          <t>Trousers</t>
        </is>
      </c>
      <c r="E880" s="3" t="inlineStr">
        <is>
          <t>Ashanti</t>
        </is>
      </c>
      <c r="F880" s="3" t="inlineStr">
        <is>
          <t>Online</t>
        </is>
      </c>
      <c r="G880" s="3" t="inlineStr">
        <is>
          <t>Returning</t>
        </is>
      </c>
      <c r="H880" s="3" t="n">
        <v>2</v>
      </c>
      <c r="I880" s="3" t="n">
        <v>145</v>
      </c>
      <c r="J880" s="3" t="n">
        <v>70.62</v>
      </c>
      <c r="K880" s="3" t="n">
        <v>0</v>
      </c>
      <c r="L880" s="3" t="n">
        <v>9.039999999999999</v>
      </c>
    </row>
    <row r="881">
      <c r="A881" s="3" t="inlineStr">
        <is>
          <t>ORD-10880</t>
        </is>
      </c>
      <c r="B881" s="6" t="n">
        <v>45907</v>
      </c>
      <c r="C881" s="3" t="inlineStr">
        <is>
          <t>Home &amp; Lifestyle</t>
        </is>
      </c>
      <c r="D881" s="3" t="inlineStr">
        <is>
          <t>Small Home Goods</t>
        </is>
      </c>
      <c r="E881" s="3" t="inlineStr">
        <is>
          <t>Greater Accra</t>
        </is>
      </c>
      <c r="F881" s="3" t="inlineStr">
        <is>
          <t>Retail Shop</t>
        </is>
      </c>
      <c r="G881" s="3" t="inlineStr">
        <is>
          <t>New</t>
        </is>
      </c>
      <c r="H881" s="3" t="n">
        <v>1</v>
      </c>
      <c r="I881" s="3" t="n">
        <v>125</v>
      </c>
      <c r="J881" s="3" t="n">
        <v>75.34999999999999</v>
      </c>
      <c r="K881" s="3" t="n">
        <v>0.1</v>
      </c>
      <c r="L881" s="3" t="n">
        <v>2.85</v>
      </c>
    </row>
    <row r="882">
      <c r="A882" s="3" t="inlineStr">
        <is>
          <t>ORD-10881</t>
        </is>
      </c>
      <c r="B882" s="6" t="n">
        <v>45980</v>
      </c>
      <c r="C882" s="3" t="inlineStr">
        <is>
          <t>Clothing</t>
        </is>
      </c>
      <c r="D882" s="3" t="inlineStr">
        <is>
          <t>Trousers</t>
        </is>
      </c>
      <c r="E882" s="3" t="inlineStr">
        <is>
          <t>Greater Accra</t>
        </is>
      </c>
      <c r="F882" s="3" t="inlineStr">
        <is>
          <t>Retail Shop</t>
        </is>
      </c>
      <c r="G882" s="3" t="inlineStr">
        <is>
          <t>Returning</t>
        </is>
      </c>
      <c r="H882" s="3" t="n">
        <v>1</v>
      </c>
      <c r="I882" s="3" t="n">
        <v>120</v>
      </c>
      <c r="J882" s="3" t="n">
        <v>59.45</v>
      </c>
      <c r="K882" s="3" t="n">
        <v>0.15</v>
      </c>
      <c r="L882" s="3" t="n">
        <v>10.33</v>
      </c>
    </row>
    <row r="883">
      <c r="A883" s="3" t="inlineStr">
        <is>
          <t>ORD-10882</t>
        </is>
      </c>
      <c r="B883" s="6" t="n">
        <v>45893</v>
      </c>
      <c r="C883" s="3" t="inlineStr">
        <is>
          <t>Home &amp; Lifestyle</t>
        </is>
      </c>
      <c r="D883" s="3" t="inlineStr">
        <is>
          <t>Wallets</t>
        </is>
      </c>
      <c r="E883" s="3" t="inlineStr">
        <is>
          <t>Greater Accra</t>
        </is>
      </c>
      <c r="F883" s="3" t="inlineStr">
        <is>
          <t>Retail Shop</t>
        </is>
      </c>
      <c r="G883" s="3" t="inlineStr">
        <is>
          <t>New</t>
        </is>
      </c>
      <c r="H883" s="3" t="n">
        <v>2</v>
      </c>
      <c r="I883" s="3" t="n">
        <v>235</v>
      </c>
      <c r="J883" s="3" t="n">
        <v>131.02</v>
      </c>
      <c r="K883" s="3" t="n">
        <v>0</v>
      </c>
      <c r="L883" s="3" t="n">
        <v>10.19</v>
      </c>
    </row>
    <row r="884">
      <c r="A884" s="3" t="inlineStr">
        <is>
          <t>ORD-10883</t>
        </is>
      </c>
      <c r="B884" s="6" t="n">
        <v>46008</v>
      </c>
      <c r="C884" s="3" t="inlineStr">
        <is>
          <t>Clothing</t>
        </is>
      </c>
      <c r="D884" s="3" t="inlineStr">
        <is>
          <t>Trousers</t>
        </is>
      </c>
      <c r="E884" s="3" t="inlineStr">
        <is>
          <t>Greater Accra</t>
        </is>
      </c>
      <c r="F884" s="3" t="inlineStr">
        <is>
          <t>Phone/WhatsApp</t>
        </is>
      </c>
      <c r="G884" s="3" t="inlineStr">
        <is>
          <t>New</t>
        </is>
      </c>
      <c r="H884" s="3" t="n">
        <v>6</v>
      </c>
      <c r="I884" s="3" t="n">
        <v>110</v>
      </c>
      <c r="J884" s="3" t="n">
        <v>56.6</v>
      </c>
      <c r="K884" s="3" t="n">
        <v>0.1</v>
      </c>
      <c r="L884" s="3" t="n">
        <v>25.01</v>
      </c>
    </row>
    <row r="885">
      <c r="A885" s="3" t="inlineStr">
        <is>
          <t>ORD-10884</t>
        </is>
      </c>
      <c r="B885" s="6" t="n">
        <v>45826</v>
      </c>
      <c r="C885" s="3" t="inlineStr">
        <is>
          <t>Accessories</t>
        </is>
      </c>
      <c r="D885" s="3" t="inlineStr">
        <is>
          <t>Sunglasses</t>
        </is>
      </c>
      <c r="E885" s="3" t="inlineStr">
        <is>
          <t>Greater Accra</t>
        </is>
      </c>
      <c r="F885" s="3" t="inlineStr">
        <is>
          <t>Phone/WhatsApp</t>
        </is>
      </c>
      <c r="G885" s="3" t="inlineStr">
        <is>
          <t>New</t>
        </is>
      </c>
      <c r="H885" s="3" t="n">
        <v>1</v>
      </c>
      <c r="I885" s="3" t="n">
        <v>70</v>
      </c>
      <c r="J885" s="3" t="n">
        <v>29.95</v>
      </c>
      <c r="K885" s="3" t="n">
        <v>0.15</v>
      </c>
      <c r="L885" s="3" t="n">
        <v>43.58</v>
      </c>
    </row>
    <row r="886">
      <c r="A886" s="3" t="inlineStr">
        <is>
          <t>ORD-10885</t>
        </is>
      </c>
      <c r="B886" s="6" t="n">
        <v>45697</v>
      </c>
      <c r="C886" s="3" t="inlineStr">
        <is>
          <t>Clothing</t>
        </is>
      </c>
      <c r="D886" s="3" t="inlineStr">
        <is>
          <t>Jackets</t>
        </is>
      </c>
      <c r="E886" s="3" t="inlineStr">
        <is>
          <t>Greater Accra</t>
        </is>
      </c>
      <c r="F886" s="3" t="inlineStr">
        <is>
          <t>Online</t>
        </is>
      </c>
      <c r="G886" s="3" t="inlineStr">
        <is>
          <t>Returning</t>
        </is>
      </c>
      <c r="H886" s="3" t="n">
        <v>1</v>
      </c>
      <c r="I886" s="3" t="n">
        <v>205</v>
      </c>
      <c r="J886" s="3" t="n">
        <v>104.73</v>
      </c>
      <c r="K886" s="3" t="n">
        <v>0.05</v>
      </c>
      <c r="L886" s="3" t="n">
        <v>22.97</v>
      </c>
    </row>
    <row r="887">
      <c r="A887" s="3" t="inlineStr">
        <is>
          <t>ORD-10886</t>
        </is>
      </c>
      <c r="B887" s="6" t="n">
        <v>45791</v>
      </c>
      <c r="C887" s="3" t="inlineStr">
        <is>
          <t>Footwear</t>
        </is>
      </c>
      <c r="D887" s="3" t="inlineStr">
        <is>
          <t>Boots</t>
        </is>
      </c>
      <c r="E887" s="3" t="inlineStr">
        <is>
          <t>Ashanti</t>
        </is>
      </c>
      <c r="F887" s="3" t="inlineStr">
        <is>
          <t>Retail Shop</t>
        </is>
      </c>
      <c r="G887" s="3" t="inlineStr">
        <is>
          <t>Returning</t>
        </is>
      </c>
      <c r="H887" s="3" t="n">
        <v>5</v>
      </c>
      <c r="I887" s="3" t="n">
        <v>205</v>
      </c>
      <c r="J887" s="3" t="n">
        <v>121.84</v>
      </c>
      <c r="K887" s="3" t="n">
        <v>0.05</v>
      </c>
      <c r="L887" s="3" t="n">
        <v>11.6</v>
      </c>
    </row>
    <row r="888">
      <c r="A888" s="3" t="inlineStr">
        <is>
          <t>ORD-10887</t>
        </is>
      </c>
      <c r="B888" s="6" t="n">
        <v>45910</v>
      </c>
      <c r="C888" s="3" t="inlineStr">
        <is>
          <t>Footwear</t>
        </is>
      </c>
      <c r="D888" s="3" t="inlineStr">
        <is>
          <t>Boots</t>
        </is>
      </c>
      <c r="E888" s="3" t="inlineStr">
        <is>
          <t>Ashanti</t>
        </is>
      </c>
      <c r="F888" s="3" t="inlineStr">
        <is>
          <t>Retail Shop</t>
        </is>
      </c>
      <c r="G888" s="3" t="inlineStr">
        <is>
          <t>New</t>
        </is>
      </c>
      <c r="H888" s="3" t="n">
        <v>5</v>
      </c>
      <c r="I888" s="3" t="n">
        <v>275</v>
      </c>
      <c r="J888" s="3" t="n">
        <v>164.92</v>
      </c>
      <c r="K888" s="3" t="n">
        <v>0</v>
      </c>
      <c r="L888" s="3" t="n">
        <v>9.69</v>
      </c>
    </row>
    <row r="889">
      <c r="A889" s="3" t="inlineStr">
        <is>
          <t>ORD-10888</t>
        </is>
      </c>
      <c r="B889" s="6" t="n">
        <v>45845</v>
      </c>
      <c r="C889" s="3" t="inlineStr">
        <is>
          <t>Footwear</t>
        </is>
      </c>
      <c r="D889" s="3" t="inlineStr">
        <is>
          <t>Boots</t>
        </is>
      </c>
      <c r="E889" s="3" t="inlineStr">
        <is>
          <t>Central</t>
        </is>
      </c>
      <c r="F889" s="3" t="inlineStr">
        <is>
          <t>Retail Shop</t>
        </is>
      </c>
      <c r="G889" s="3" t="inlineStr">
        <is>
          <t>Returning</t>
        </is>
      </c>
      <c r="H889" s="3" t="n">
        <v>10</v>
      </c>
      <c r="I889" s="3" t="n">
        <v>215</v>
      </c>
      <c r="J889" s="3" t="n">
        <v>121.69</v>
      </c>
      <c r="K889" s="3" t="n">
        <v>0</v>
      </c>
      <c r="L889" s="3" t="n">
        <v>1.76</v>
      </c>
    </row>
    <row r="890">
      <c r="A890" s="3" t="inlineStr">
        <is>
          <t>ORD-10889</t>
        </is>
      </c>
      <c r="B890" s="6" t="n">
        <v>45971</v>
      </c>
      <c r="C890" s="3" t="inlineStr">
        <is>
          <t>Clothing</t>
        </is>
      </c>
      <c r="D890" s="3" t="inlineStr">
        <is>
          <t>Trousers</t>
        </is>
      </c>
      <c r="E890" s="3" t="inlineStr">
        <is>
          <t>Ashanti</t>
        </is>
      </c>
      <c r="F890" s="3" t="inlineStr">
        <is>
          <t>Phone/WhatsApp</t>
        </is>
      </c>
      <c r="G890" s="3" t="inlineStr">
        <is>
          <t>Returning</t>
        </is>
      </c>
      <c r="H890" s="3" t="n">
        <v>2</v>
      </c>
      <c r="I890" s="3" t="n">
        <v>85</v>
      </c>
      <c r="J890" s="3" t="n">
        <v>44.5</v>
      </c>
      <c r="K890" s="3" t="n">
        <v>0.05</v>
      </c>
      <c r="L890" s="3" t="n">
        <v>44.21</v>
      </c>
    </row>
    <row r="891">
      <c r="A891" s="3" t="inlineStr">
        <is>
          <t>ORD-10890</t>
        </is>
      </c>
      <c r="B891" s="6" t="n">
        <v>45836</v>
      </c>
      <c r="C891" s="3" t="inlineStr">
        <is>
          <t>Clothing</t>
        </is>
      </c>
      <c r="D891" s="3" t="inlineStr">
        <is>
          <t>Dresses</t>
        </is>
      </c>
      <c r="E891" s="3" t="inlineStr">
        <is>
          <t>Ashanti</t>
        </is>
      </c>
      <c r="F891" s="3" t="inlineStr">
        <is>
          <t>Online</t>
        </is>
      </c>
      <c r="G891" s="3" t="inlineStr">
        <is>
          <t>Returning</t>
        </is>
      </c>
      <c r="H891" s="3" t="n">
        <v>1</v>
      </c>
      <c r="I891" s="3" t="n">
        <v>115</v>
      </c>
      <c r="J891" s="3" t="n">
        <v>64.01000000000001</v>
      </c>
      <c r="K891" s="3" t="n">
        <v>0.1</v>
      </c>
      <c r="L891" s="3" t="n">
        <v>21.54</v>
      </c>
    </row>
    <row r="892">
      <c r="A892" s="3" t="inlineStr">
        <is>
          <t>ORD-10891</t>
        </is>
      </c>
      <c r="B892" s="6" t="n">
        <v>45935</v>
      </c>
      <c r="C892" s="3" t="inlineStr">
        <is>
          <t>Footwear</t>
        </is>
      </c>
      <c r="D892" s="3" t="inlineStr">
        <is>
          <t>Formal Shoes</t>
        </is>
      </c>
      <c r="E892" s="3" t="inlineStr">
        <is>
          <t>Greater Accra</t>
        </is>
      </c>
      <c r="F892" s="3" t="inlineStr">
        <is>
          <t>Online</t>
        </is>
      </c>
      <c r="G892" s="3" t="inlineStr">
        <is>
          <t>Returning</t>
        </is>
      </c>
      <c r="H892" s="3" t="n">
        <v>1</v>
      </c>
      <c r="I892" s="3" t="n">
        <v>200</v>
      </c>
      <c r="J892" s="3" t="n">
        <v>103.32</v>
      </c>
      <c r="K892" s="3" t="n">
        <v>0</v>
      </c>
      <c r="L892" s="3" t="n">
        <v>32.05</v>
      </c>
    </row>
    <row r="893">
      <c r="A893" s="3" t="inlineStr">
        <is>
          <t>ORD-10892</t>
        </is>
      </c>
      <c r="B893" s="6" t="n">
        <v>45729</v>
      </c>
      <c r="C893" s="3" t="inlineStr">
        <is>
          <t>Accessories</t>
        </is>
      </c>
      <c r="D893" s="3" t="inlineStr">
        <is>
          <t>Sunglasses</t>
        </is>
      </c>
      <c r="E893" s="3" t="inlineStr">
        <is>
          <t>Greater Accra</t>
        </is>
      </c>
      <c r="F893" s="3" t="inlineStr">
        <is>
          <t>Phone/WhatsApp</t>
        </is>
      </c>
      <c r="G893" s="3" t="inlineStr">
        <is>
          <t>New</t>
        </is>
      </c>
      <c r="H893" s="3" t="n">
        <v>1</v>
      </c>
      <c r="I893" s="3" t="n">
        <v>35</v>
      </c>
      <c r="J893" s="3" t="n">
        <v>17.72</v>
      </c>
      <c r="K893" s="3" t="n">
        <v>0</v>
      </c>
      <c r="L893" s="3" t="n">
        <v>42.09</v>
      </c>
    </row>
    <row r="894">
      <c r="A894" s="3" t="inlineStr">
        <is>
          <t>ORD-10893</t>
        </is>
      </c>
      <c r="B894" s="6" t="n">
        <v>45841</v>
      </c>
      <c r="C894" s="3" t="inlineStr">
        <is>
          <t>Clothing</t>
        </is>
      </c>
      <c r="D894" s="3" t="inlineStr">
        <is>
          <t>Shirts</t>
        </is>
      </c>
      <c r="E894" s="3" t="inlineStr">
        <is>
          <t>Greater Accra</t>
        </is>
      </c>
      <c r="F894" s="3" t="inlineStr">
        <is>
          <t>Retail Shop</t>
        </is>
      </c>
      <c r="G894" s="3" t="inlineStr">
        <is>
          <t>New</t>
        </is>
      </c>
      <c r="H894" s="3" t="n">
        <v>1</v>
      </c>
      <c r="I894" s="3" t="n">
        <v>215</v>
      </c>
      <c r="J894" s="3" t="n">
        <v>120.16</v>
      </c>
      <c r="K894" s="3" t="n">
        <v>0</v>
      </c>
      <c r="L894" s="3" t="n">
        <v>11.76</v>
      </c>
    </row>
    <row r="895">
      <c r="A895" s="3" t="inlineStr">
        <is>
          <t>ORD-10894</t>
        </is>
      </c>
      <c r="B895" s="6" t="n">
        <v>45670</v>
      </c>
      <c r="C895" s="3" t="inlineStr">
        <is>
          <t>Accessories</t>
        </is>
      </c>
      <c r="D895" s="3" t="inlineStr">
        <is>
          <t>Bags</t>
        </is>
      </c>
      <c r="E895" s="3" t="inlineStr">
        <is>
          <t>Greater Accra</t>
        </is>
      </c>
      <c r="F895" s="3" t="inlineStr">
        <is>
          <t>Retail Shop</t>
        </is>
      </c>
      <c r="G895" s="3" t="inlineStr">
        <is>
          <t>Returning</t>
        </is>
      </c>
      <c r="H895" s="3" t="n">
        <v>1</v>
      </c>
      <c r="I895" s="3" t="n">
        <v>60</v>
      </c>
      <c r="J895" s="3" t="n">
        <v>28.98</v>
      </c>
      <c r="K895" s="3" t="n">
        <v>0.1</v>
      </c>
      <c r="L895" s="3" t="n">
        <v>11.94</v>
      </c>
    </row>
    <row r="896">
      <c r="A896" s="3" t="inlineStr">
        <is>
          <t>ORD-10895</t>
        </is>
      </c>
      <c r="B896" s="6" t="n">
        <v>46002</v>
      </c>
      <c r="C896" s="3" t="inlineStr">
        <is>
          <t>Home &amp; Lifestyle</t>
        </is>
      </c>
      <c r="D896" s="3" t="inlineStr">
        <is>
          <t>Wallets</t>
        </is>
      </c>
      <c r="E896" s="3" t="inlineStr">
        <is>
          <t>Ashanti</t>
        </is>
      </c>
      <c r="F896" s="3" t="inlineStr">
        <is>
          <t>Online</t>
        </is>
      </c>
      <c r="G896" s="3" t="inlineStr">
        <is>
          <t>Returning</t>
        </is>
      </c>
      <c r="H896" s="3" t="n">
        <v>5</v>
      </c>
      <c r="I896" s="3" t="n">
        <v>105</v>
      </c>
      <c r="J896" s="3" t="n">
        <v>60.76</v>
      </c>
      <c r="K896" s="3" t="n">
        <v>0</v>
      </c>
      <c r="L896" s="3" t="n">
        <v>13.36</v>
      </c>
    </row>
    <row r="897">
      <c r="A897" s="3" t="inlineStr">
        <is>
          <t>ORD-10896</t>
        </is>
      </c>
      <c r="B897" s="6" t="n">
        <v>45661</v>
      </c>
      <c r="C897" s="3" t="inlineStr">
        <is>
          <t>Footwear</t>
        </is>
      </c>
      <c r="D897" s="3" t="inlineStr">
        <is>
          <t>Sneakers</t>
        </is>
      </c>
      <c r="E897" s="3" t="inlineStr">
        <is>
          <t>Western</t>
        </is>
      </c>
      <c r="F897" s="3" t="inlineStr">
        <is>
          <t>Online</t>
        </is>
      </c>
      <c r="G897" s="3" t="inlineStr">
        <is>
          <t>Returning</t>
        </is>
      </c>
      <c r="H897" s="3" t="n">
        <v>8</v>
      </c>
      <c r="I897" s="3" t="n">
        <v>165</v>
      </c>
      <c r="J897" s="3" t="n">
        <v>86.11</v>
      </c>
      <c r="K897" s="3" t="n">
        <v>0</v>
      </c>
      <c r="L897" s="3" t="n">
        <v>22.73</v>
      </c>
    </row>
    <row r="898">
      <c r="A898" s="3" t="inlineStr">
        <is>
          <t>ORD-10897</t>
        </is>
      </c>
      <c r="B898" s="6" t="n">
        <v>45712</v>
      </c>
      <c r="C898" s="3" t="inlineStr">
        <is>
          <t>Footwear</t>
        </is>
      </c>
      <c r="D898" s="3" t="inlineStr">
        <is>
          <t>Sandals</t>
        </is>
      </c>
      <c r="E898" s="3" t="inlineStr">
        <is>
          <t>Western</t>
        </is>
      </c>
      <c r="F898" s="3" t="inlineStr">
        <is>
          <t>Retail Shop</t>
        </is>
      </c>
      <c r="G898" s="3" t="inlineStr">
        <is>
          <t>Returning</t>
        </is>
      </c>
      <c r="H898" s="3" t="n">
        <v>1</v>
      </c>
      <c r="I898" s="3" t="n">
        <v>350</v>
      </c>
      <c r="J898" s="3" t="n">
        <v>183.78</v>
      </c>
      <c r="K898" s="3" t="n">
        <v>0</v>
      </c>
      <c r="L898" s="3" t="n">
        <v>9.24</v>
      </c>
    </row>
    <row r="899">
      <c r="A899" s="3" t="inlineStr">
        <is>
          <t>ORD-10898</t>
        </is>
      </c>
      <c r="B899" s="6" t="n">
        <v>45938</v>
      </c>
      <c r="C899" s="3" t="inlineStr">
        <is>
          <t>Clothing</t>
        </is>
      </c>
      <c r="D899" s="3" t="inlineStr">
        <is>
          <t>Trousers</t>
        </is>
      </c>
      <c r="E899" s="3" t="inlineStr">
        <is>
          <t>Greater Accra</t>
        </is>
      </c>
      <c r="F899" s="3" t="inlineStr">
        <is>
          <t>Phone/WhatsApp</t>
        </is>
      </c>
      <c r="G899" s="3" t="inlineStr">
        <is>
          <t>Returning</t>
        </is>
      </c>
      <c r="H899" s="3" t="n">
        <v>1</v>
      </c>
      <c r="I899" s="3" t="n">
        <v>180</v>
      </c>
      <c r="J899" s="3" t="n">
        <v>93.67</v>
      </c>
      <c r="K899" s="3" t="n">
        <v>0</v>
      </c>
      <c r="L899" s="3" t="n">
        <v>32.52</v>
      </c>
    </row>
    <row r="900">
      <c r="A900" s="3" t="inlineStr">
        <is>
          <t>ORD-10899</t>
        </is>
      </c>
      <c r="B900" s="6" t="n">
        <v>45993</v>
      </c>
      <c r="C900" s="3" t="inlineStr">
        <is>
          <t>Home &amp; Lifestyle</t>
        </is>
      </c>
      <c r="D900" s="3" t="inlineStr">
        <is>
          <t>Wallets</t>
        </is>
      </c>
      <c r="E900" s="3" t="inlineStr">
        <is>
          <t>Greater Accra</t>
        </is>
      </c>
      <c r="F900" s="3" t="inlineStr">
        <is>
          <t>Online</t>
        </is>
      </c>
      <c r="G900" s="3" t="inlineStr">
        <is>
          <t>Returning</t>
        </is>
      </c>
      <c r="H900" s="3" t="n">
        <v>1</v>
      </c>
      <c r="I900" s="3" t="n">
        <v>145</v>
      </c>
      <c r="J900" s="3" t="n">
        <v>75.42</v>
      </c>
      <c r="K900" s="3" t="n">
        <v>0.05</v>
      </c>
      <c r="L900" s="3" t="n">
        <v>38.9</v>
      </c>
    </row>
    <row r="901">
      <c r="A901" s="3" t="inlineStr">
        <is>
          <t>ORD-10900</t>
        </is>
      </c>
      <c r="B901" s="6" t="n">
        <v>45729</v>
      </c>
      <c r="C901" s="3" t="inlineStr">
        <is>
          <t>Footwear</t>
        </is>
      </c>
      <c r="D901" s="3" t="inlineStr">
        <is>
          <t>Formal Shoes</t>
        </is>
      </c>
      <c r="E901" s="3" t="inlineStr">
        <is>
          <t>Greater Accra</t>
        </is>
      </c>
      <c r="F901" s="3" t="inlineStr">
        <is>
          <t>Retail Shop</t>
        </is>
      </c>
      <c r="G901" s="3" t="inlineStr">
        <is>
          <t>Returning</t>
        </is>
      </c>
      <c r="H901" s="3" t="n">
        <v>1</v>
      </c>
      <c r="I901" s="3" t="n">
        <v>505</v>
      </c>
      <c r="J901" s="3" t="n">
        <v>304.34</v>
      </c>
      <c r="K901" s="3" t="n">
        <v>0.05</v>
      </c>
      <c r="L901" s="3" t="n">
        <v>7.1</v>
      </c>
    </row>
    <row r="902">
      <c r="A902" s="3" t="inlineStr">
        <is>
          <t>ORD-10901</t>
        </is>
      </c>
      <c r="B902" s="6" t="n">
        <v>45955</v>
      </c>
      <c r="C902" s="3" t="inlineStr">
        <is>
          <t>Footwear</t>
        </is>
      </c>
      <c r="D902" s="3" t="inlineStr">
        <is>
          <t>Boots</t>
        </is>
      </c>
      <c r="E902" s="3" t="inlineStr">
        <is>
          <t>Western</t>
        </is>
      </c>
      <c r="F902" s="3" t="inlineStr">
        <is>
          <t>Online</t>
        </is>
      </c>
      <c r="G902" s="3" t="inlineStr">
        <is>
          <t>Returning</t>
        </is>
      </c>
      <c r="H902" s="3" t="n">
        <v>1</v>
      </c>
      <c r="I902" s="3" t="n">
        <v>230</v>
      </c>
      <c r="J902" s="3" t="n">
        <v>133.19</v>
      </c>
      <c r="K902" s="3" t="n">
        <v>0</v>
      </c>
      <c r="L902" s="3" t="n">
        <v>29.24</v>
      </c>
    </row>
    <row r="903">
      <c r="A903" s="3" t="inlineStr">
        <is>
          <t>ORD-10902</t>
        </is>
      </c>
      <c r="B903" s="6" t="n">
        <v>45930</v>
      </c>
      <c r="C903" s="3" t="inlineStr">
        <is>
          <t>Footwear</t>
        </is>
      </c>
      <c r="D903" s="3" t="inlineStr">
        <is>
          <t>Boots</t>
        </is>
      </c>
      <c r="E903" s="3" t="inlineStr">
        <is>
          <t>Western</t>
        </is>
      </c>
      <c r="F903" s="3" t="inlineStr">
        <is>
          <t>Retail Shop</t>
        </is>
      </c>
      <c r="G903" s="3" t="inlineStr">
        <is>
          <t>Returning</t>
        </is>
      </c>
      <c r="H903" s="3" t="n">
        <v>2</v>
      </c>
      <c r="I903" s="3" t="n">
        <v>295</v>
      </c>
      <c r="J903" s="3" t="n">
        <v>148.82</v>
      </c>
      <c r="K903" s="3" t="n">
        <v>0.05</v>
      </c>
      <c r="L903" s="3" t="n">
        <v>10.07</v>
      </c>
    </row>
    <row r="904">
      <c r="A904" s="3" t="inlineStr">
        <is>
          <t>ORD-10903</t>
        </is>
      </c>
      <c r="B904" s="6" t="n">
        <v>45856</v>
      </c>
      <c r="C904" s="3" t="inlineStr">
        <is>
          <t>Footwear</t>
        </is>
      </c>
      <c r="D904" s="3" t="inlineStr">
        <is>
          <t>Sneakers</t>
        </is>
      </c>
      <c r="E904" s="3" t="inlineStr">
        <is>
          <t>Greater Accra</t>
        </is>
      </c>
      <c r="F904" s="3" t="inlineStr">
        <is>
          <t>Retail Shop</t>
        </is>
      </c>
      <c r="G904" s="3" t="inlineStr">
        <is>
          <t>Returning</t>
        </is>
      </c>
      <c r="H904" s="3" t="n">
        <v>2</v>
      </c>
      <c r="I904" s="3" t="n">
        <v>405</v>
      </c>
      <c r="J904" s="3" t="n">
        <v>203.86</v>
      </c>
      <c r="K904" s="3" t="n">
        <v>0.05</v>
      </c>
      <c r="L904" s="3" t="n">
        <v>9.859999999999999</v>
      </c>
    </row>
    <row r="905">
      <c r="A905" s="3" t="inlineStr">
        <is>
          <t>ORD-10904</t>
        </is>
      </c>
      <c r="B905" s="6" t="n">
        <v>45759</v>
      </c>
      <c r="C905" s="3" t="inlineStr">
        <is>
          <t>Clothing</t>
        </is>
      </c>
      <c r="D905" s="3" t="inlineStr">
        <is>
          <t>Trousers</t>
        </is>
      </c>
      <c r="E905" s="3" t="inlineStr">
        <is>
          <t>Greater Accra</t>
        </is>
      </c>
      <c r="F905" s="3" t="inlineStr">
        <is>
          <t>Retail Shop</t>
        </is>
      </c>
      <c r="G905" s="3" t="inlineStr">
        <is>
          <t>Returning</t>
        </is>
      </c>
      <c r="H905" s="3" t="n">
        <v>4</v>
      </c>
      <c r="I905" s="3" t="n">
        <v>135</v>
      </c>
      <c r="J905" s="3" t="n">
        <v>70.51000000000001</v>
      </c>
      <c r="K905" s="3" t="n">
        <v>0.15</v>
      </c>
      <c r="L905" s="3" t="n">
        <v>10.92</v>
      </c>
    </row>
    <row r="906">
      <c r="A906" s="3" t="inlineStr">
        <is>
          <t>ORD-10905</t>
        </is>
      </c>
      <c r="B906" s="6" t="n">
        <v>45877</v>
      </c>
      <c r="C906" s="3" t="inlineStr">
        <is>
          <t>Home &amp; Lifestyle</t>
        </is>
      </c>
      <c r="D906" s="3" t="inlineStr">
        <is>
          <t>Small Home Goods</t>
        </is>
      </c>
      <c r="E906" s="3" t="inlineStr">
        <is>
          <t>Greater Accra</t>
        </is>
      </c>
      <c r="F906" s="3" t="inlineStr">
        <is>
          <t>Retail Shop</t>
        </is>
      </c>
      <c r="G906" s="3" t="inlineStr">
        <is>
          <t>New</t>
        </is>
      </c>
      <c r="H906" s="3" t="n">
        <v>1</v>
      </c>
      <c r="I906" s="3" t="n">
        <v>230</v>
      </c>
      <c r="J906" s="3" t="n">
        <v>123.43</v>
      </c>
      <c r="K906" s="3" t="n">
        <v>0.2</v>
      </c>
      <c r="L906" s="3" t="n">
        <v>6.35</v>
      </c>
    </row>
    <row r="907">
      <c r="A907" s="3" t="inlineStr">
        <is>
          <t>ORD-10906</t>
        </is>
      </c>
      <c r="B907" s="6" t="n">
        <v>45805</v>
      </c>
      <c r="C907" s="3" t="inlineStr">
        <is>
          <t>Home &amp; Lifestyle</t>
        </is>
      </c>
      <c r="D907" s="3" t="inlineStr">
        <is>
          <t>Small Home Goods</t>
        </is>
      </c>
      <c r="E907" s="3" t="inlineStr">
        <is>
          <t>Western</t>
        </is>
      </c>
      <c r="F907" s="3" t="inlineStr">
        <is>
          <t>Online</t>
        </is>
      </c>
      <c r="G907" s="3" t="inlineStr">
        <is>
          <t>New</t>
        </is>
      </c>
      <c r="H907" s="3" t="n">
        <v>1</v>
      </c>
      <c r="I907" s="3" t="n">
        <v>165</v>
      </c>
      <c r="J907" s="3" t="n">
        <v>90</v>
      </c>
      <c r="K907" s="3" t="n">
        <v>0.15</v>
      </c>
      <c r="L907" s="3" t="n">
        <v>19.24</v>
      </c>
    </row>
    <row r="908">
      <c r="A908" s="3" t="inlineStr">
        <is>
          <t>ORD-10907</t>
        </is>
      </c>
      <c r="B908" s="6" t="n">
        <v>45871</v>
      </c>
      <c r="C908" s="3" t="inlineStr">
        <is>
          <t>Clothing</t>
        </is>
      </c>
      <c r="D908" s="3" t="inlineStr">
        <is>
          <t>Dresses</t>
        </is>
      </c>
      <c r="E908" s="3" t="inlineStr">
        <is>
          <t>Central</t>
        </is>
      </c>
      <c r="F908" s="3" t="inlineStr">
        <is>
          <t>Retail Shop</t>
        </is>
      </c>
      <c r="G908" s="3" t="inlineStr">
        <is>
          <t>Returning</t>
        </is>
      </c>
      <c r="H908" s="3" t="n">
        <v>2</v>
      </c>
      <c r="I908" s="3" t="n">
        <v>145</v>
      </c>
      <c r="J908" s="3" t="n">
        <v>76.81</v>
      </c>
      <c r="K908" s="3" t="n">
        <v>0</v>
      </c>
      <c r="L908" s="3" t="n">
        <v>9.19</v>
      </c>
    </row>
    <row r="909">
      <c r="A909" s="3" t="inlineStr">
        <is>
          <t>ORD-10908</t>
        </is>
      </c>
      <c r="B909" s="6" t="n">
        <v>45761</v>
      </c>
      <c r="C909" s="3" t="inlineStr">
        <is>
          <t>Clothing</t>
        </is>
      </c>
      <c r="D909" s="3" t="inlineStr">
        <is>
          <t>Shirts</t>
        </is>
      </c>
      <c r="E909" s="3" t="inlineStr">
        <is>
          <t>Central</t>
        </is>
      </c>
      <c r="F909" s="3" t="inlineStr">
        <is>
          <t>Online</t>
        </is>
      </c>
      <c r="G909" s="3" t="inlineStr">
        <is>
          <t>Returning</t>
        </is>
      </c>
      <c r="H909" s="3" t="n">
        <v>1</v>
      </c>
      <c r="I909" s="3" t="n">
        <v>145</v>
      </c>
      <c r="J909" s="3" t="n">
        <v>70.61</v>
      </c>
      <c r="K909" s="3" t="n">
        <v>0.05</v>
      </c>
      <c r="L909" s="3" t="n">
        <v>42.86</v>
      </c>
    </row>
    <row r="910">
      <c r="A910" s="3" t="inlineStr">
        <is>
          <t>ORD-10909</t>
        </is>
      </c>
      <c r="B910" s="6" t="n">
        <v>45671</v>
      </c>
      <c r="C910" s="3" t="inlineStr">
        <is>
          <t>Footwear</t>
        </is>
      </c>
      <c r="D910" s="3" t="inlineStr">
        <is>
          <t>Sneakers</t>
        </is>
      </c>
      <c r="E910" s="3" t="inlineStr">
        <is>
          <t>Greater Accra</t>
        </is>
      </c>
      <c r="F910" s="3" t="inlineStr">
        <is>
          <t>Retail Shop</t>
        </is>
      </c>
      <c r="G910" s="3" t="inlineStr">
        <is>
          <t>Returning</t>
        </is>
      </c>
      <c r="H910" s="3" t="n">
        <v>2</v>
      </c>
      <c r="I910" s="3" t="n">
        <v>210</v>
      </c>
      <c r="J910" s="3" t="n">
        <v>109.26</v>
      </c>
      <c r="K910" s="3" t="n">
        <v>0</v>
      </c>
      <c r="L910" s="3" t="n">
        <v>9.59</v>
      </c>
    </row>
    <row r="911">
      <c r="A911" s="3" t="inlineStr">
        <is>
          <t>ORD-10910</t>
        </is>
      </c>
      <c r="B911" s="6" t="n">
        <v>45955</v>
      </c>
      <c r="C911" s="3" t="inlineStr">
        <is>
          <t>Clothing</t>
        </is>
      </c>
      <c r="D911" s="3" t="inlineStr">
        <is>
          <t>Dresses</t>
        </is>
      </c>
      <c r="E911" s="3" t="inlineStr">
        <is>
          <t>Ashanti</t>
        </is>
      </c>
      <c r="F911" s="3" t="inlineStr">
        <is>
          <t>Retail Shop</t>
        </is>
      </c>
      <c r="G911" s="3" t="inlineStr">
        <is>
          <t>Returning</t>
        </is>
      </c>
      <c r="H911" s="3" t="n">
        <v>3</v>
      </c>
      <c r="I911" s="3" t="n">
        <v>95</v>
      </c>
      <c r="J911" s="3" t="n">
        <v>45.08</v>
      </c>
      <c r="K911" s="3" t="n">
        <v>0</v>
      </c>
      <c r="L911" s="3" t="n">
        <v>11.77</v>
      </c>
    </row>
    <row r="912">
      <c r="A912" s="3" t="inlineStr">
        <is>
          <t>ORD-10911</t>
        </is>
      </c>
      <c r="B912" s="6" t="n">
        <v>45666</v>
      </c>
      <c r="C912" s="3" t="inlineStr">
        <is>
          <t>Footwear</t>
        </is>
      </c>
      <c r="D912" s="3" t="inlineStr">
        <is>
          <t>Formal Shoes</t>
        </is>
      </c>
      <c r="E912" s="3" t="inlineStr">
        <is>
          <t>Greater Accra</t>
        </is>
      </c>
      <c r="F912" s="3" t="inlineStr">
        <is>
          <t>Online</t>
        </is>
      </c>
      <c r="G912" s="3" t="inlineStr">
        <is>
          <t>Returning</t>
        </is>
      </c>
      <c r="H912" s="3" t="n">
        <v>2</v>
      </c>
      <c r="I912" s="3" t="n">
        <v>210</v>
      </c>
      <c r="J912" s="3" t="n">
        <v>115.45</v>
      </c>
      <c r="K912" s="3" t="n">
        <v>0.15</v>
      </c>
      <c r="L912" s="3" t="n">
        <v>36.05</v>
      </c>
    </row>
    <row r="913">
      <c r="A913" s="3" t="inlineStr">
        <is>
          <t>ORD-10912</t>
        </is>
      </c>
      <c r="B913" s="6" t="n">
        <v>45838</v>
      </c>
      <c r="C913" s="3" t="inlineStr">
        <is>
          <t>Accessories</t>
        </is>
      </c>
      <c r="D913" s="3" t="inlineStr">
        <is>
          <t>Watches</t>
        </is>
      </c>
      <c r="E913" s="3" t="inlineStr">
        <is>
          <t>Central</t>
        </is>
      </c>
      <c r="F913" s="3" t="inlineStr">
        <is>
          <t>Phone/WhatsApp</t>
        </is>
      </c>
      <c r="G913" s="3" t="inlineStr">
        <is>
          <t>New</t>
        </is>
      </c>
      <c r="H913" s="3" t="n">
        <v>2</v>
      </c>
      <c r="I913" s="3" t="n">
        <v>100</v>
      </c>
      <c r="J913" s="3" t="n">
        <v>48.55</v>
      </c>
      <c r="K913" s="3" t="n">
        <v>0</v>
      </c>
      <c r="L913" s="3" t="n">
        <v>24.77</v>
      </c>
    </row>
    <row r="914">
      <c r="A914" s="3" t="inlineStr">
        <is>
          <t>ORD-10913</t>
        </is>
      </c>
      <c r="B914" s="6" t="n">
        <v>45843</v>
      </c>
      <c r="C914" s="3" t="inlineStr">
        <is>
          <t>Home &amp; Lifestyle</t>
        </is>
      </c>
      <c r="D914" s="3" t="inlineStr">
        <is>
          <t>Travel Mugs</t>
        </is>
      </c>
      <c r="E914" s="3" t="inlineStr">
        <is>
          <t>Greater Accra</t>
        </is>
      </c>
      <c r="F914" s="3" t="inlineStr">
        <is>
          <t>Retail Shop</t>
        </is>
      </c>
      <c r="G914" s="3" t="inlineStr">
        <is>
          <t>New</t>
        </is>
      </c>
      <c r="H914" s="3" t="n">
        <v>5</v>
      </c>
      <c r="I914" s="3" t="n">
        <v>110</v>
      </c>
      <c r="J914" s="3" t="n">
        <v>63.82</v>
      </c>
      <c r="K914" s="3" t="n">
        <v>0</v>
      </c>
      <c r="L914" s="3" t="n">
        <v>7.3</v>
      </c>
    </row>
    <row r="915">
      <c r="A915" s="3" t="inlineStr">
        <is>
          <t>ORD-10914</t>
        </is>
      </c>
      <c r="B915" s="6" t="n">
        <v>45823</v>
      </c>
      <c r="C915" s="3" t="inlineStr">
        <is>
          <t>Clothing</t>
        </is>
      </c>
      <c r="D915" s="3" t="inlineStr">
        <is>
          <t>Dresses</t>
        </is>
      </c>
      <c r="E915" s="3" t="inlineStr">
        <is>
          <t>Northern</t>
        </is>
      </c>
      <c r="F915" s="3" t="inlineStr">
        <is>
          <t>Online</t>
        </is>
      </c>
      <c r="G915" s="3" t="inlineStr">
        <is>
          <t>Returning</t>
        </is>
      </c>
      <c r="H915" s="3" t="n">
        <v>1</v>
      </c>
      <c r="I915" s="3" t="n">
        <v>155</v>
      </c>
      <c r="J915" s="3" t="n">
        <v>80.2</v>
      </c>
      <c r="K915" s="3" t="n">
        <v>0.05</v>
      </c>
      <c r="L915" s="3" t="n">
        <v>22.18</v>
      </c>
    </row>
    <row r="916">
      <c r="A916" s="3" t="inlineStr">
        <is>
          <t>ORD-10915</t>
        </is>
      </c>
      <c r="B916" s="6" t="n">
        <v>45935</v>
      </c>
      <c r="C916" s="3" t="inlineStr">
        <is>
          <t>Footwear</t>
        </is>
      </c>
      <c r="D916" s="3" t="inlineStr">
        <is>
          <t>Formal Shoes</t>
        </is>
      </c>
      <c r="E916" s="3" t="inlineStr">
        <is>
          <t>Greater Accra</t>
        </is>
      </c>
      <c r="F916" s="3" t="inlineStr">
        <is>
          <t>Retail Shop</t>
        </is>
      </c>
      <c r="G916" s="3" t="inlineStr">
        <is>
          <t>Returning</t>
        </is>
      </c>
      <c r="H916" s="3" t="n">
        <v>1</v>
      </c>
      <c r="I916" s="3" t="n">
        <v>215</v>
      </c>
      <c r="J916" s="3" t="n">
        <v>115.18</v>
      </c>
      <c r="K916" s="3" t="n">
        <v>0</v>
      </c>
      <c r="L916" s="3" t="n">
        <v>2.49</v>
      </c>
    </row>
    <row r="917">
      <c r="A917" s="3" t="inlineStr">
        <is>
          <t>ORD-10916</t>
        </is>
      </c>
      <c r="B917" s="6" t="n">
        <v>45868</v>
      </c>
      <c r="C917" s="3" t="inlineStr">
        <is>
          <t>Footwear</t>
        </is>
      </c>
      <c r="D917" s="3" t="inlineStr">
        <is>
          <t>Formal Shoes</t>
        </is>
      </c>
      <c r="E917" s="3" t="inlineStr">
        <is>
          <t>Greater Accra</t>
        </is>
      </c>
      <c r="F917" s="3" t="inlineStr">
        <is>
          <t>Retail Shop</t>
        </is>
      </c>
      <c r="G917" s="3" t="inlineStr">
        <is>
          <t>Returning</t>
        </is>
      </c>
      <c r="H917" s="3" t="n">
        <v>1</v>
      </c>
      <c r="I917" s="3" t="n">
        <v>215</v>
      </c>
      <c r="J917" s="3" t="n">
        <v>111.68</v>
      </c>
      <c r="K917" s="3" t="n">
        <v>0</v>
      </c>
      <c r="L917" s="3" t="n">
        <v>2.91</v>
      </c>
    </row>
    <row r="918">
      <c r="A918" s="3" t="inlineStr">
        <is>
          <t>ORD-10917</t>
        </is>
      </c>
      <c r="B918" s="6" t="n">
        <v>45681</v>
      </c>
      <c r="C918" s="3" t="inlineStr">
        <is>
          <t>Clothing</t>
        </is>
      </c>
      <c r="D918" s="3" t="inlineStr">
        <is>
          <t>Dresses</t>
        </is>
      </c>
      <c r="E918" s="3" t="inlineStr">
        <is>
          <t>Ashanti</t>
        </is>
      </c>
      <c r="F918" s="3" t="inlineStr">
        <is>
          <t>Retail Shop</t>
        </is>
      </c>
      <c r="G918" s="3" t="inlineStr">
        <is>
          <t>Returning</t>
        </is>
      </c>
      <c r="H918" s="3" t="n">
        <v>2</v>
      </c>
      <c r="I918" s="3" t="n">
        <v>250</v>
      </c>
      <c r="J918" s="3" t="n">
        <v>144.83</v>
      </c>
      <c r="K918" s="3" t="n">
        <v>0.05</v>
      </c>
      <c r="L918" s="3" t="n">
        <v>1.71</v>
      </c>
    </row>
    <row r="919">
      <c r="A919" s="3" t="inlineStr">
        <is>
          <t>ORD-10918</t>
        </is>
      </c>
      <c r="B919" s="6" t="n">
        <v>45926</v>
      </c>
      <c r="C919" s="3" t="inlineStr">
        <is>
          <t>Footwear</t>
        </is>
      </c>
      <c r="D919" s="3" t="inlineStr">
        <is>
          <t>Sandals</t>
        </is>
      </c>
      <c r="E919" s="3" t="inlineStr">
        <is>
          <t>Western</t>
        </is>
      </c>
      <c r="F919" s="3" t="inlineStr">
        <is>
          <t>Retail Shop</t>
        </is>
      </c>
      <c r="G919" s="3" t="inlineStr">
        <is>
          <t>Returning</t>
        </is>
      </c>
      <c r="H919" s="3" t="n">
        <v>5</v>
      </c>
      <c r="I919" s="3" t="n">
        <v>350</v>
      </c>
      <c r="J919" s="3" t="n">
        <v>213.96</v>
      </c>
      <c r="K919" s="3" t="n">
        <v>0.2</v>
      </c>
      <c r="L919" s="3" t="n">
        <v>6.23</v>
      </c>
    </row>
    <row r="920">
      <c r="A920" s="3" t="inlineStr">
        <is>
          <t>ORD-10919</t>
        </is>
      </c>
      <c r="B920" s="6" t="n">
        <v>45964</v>
      </c>
      <c r="C920" s="3" t="inlineStr">
        <is>
          <t>Clothing</t>
        </is>
      </c>
      <c r="D920" s="3" t="inlineStr">
        <is>
          <t>Trousers</t>
        </is>
      </c>
      <c r="E920" s="3" t="inlineStr">
        <is>
          <t>Central</t>
        </is>
      </c>
      <c r="F920" s="3" t="inlineStr">
        <is>
          <t>Retail Shop</t>
        </is>
      </c>
      <c r="G920" s="3" t="inlineStr">
        <is>
          <t>New</t>
        </is>
      </c>
      <c r="H920" s="3" t="n">
        <v>3</v>
      </c>
      <c r="I920" s="3" t="n">
        <v>200</v>
      </c>
      <c r="J920" s="3" t="n">
        <v>98.25</v>
      </c>
      <c r="K920" s="3" t="n">
        <v>0</v>
      </c>
      <c r="L920" s="3" t="n">
        <v>4.16</v>
      </c>
    </row>
    <row r="921">
      <c r="A921" s="3" t="inlineStr">
        <is>
          <t>ORD-10920</t>
        </is>
      </c>
      <c r="B921" s="6" t="n">
        <v>45929</v>
      </c>
      <c r="C921" s="3" t="inlineStr">
        <is>
          <t>Home &amp; Lifestyle</t>
        </is>
      </c>
      <c r="D921" s="3" t="inlineStr">
        <is>
          <t>Small Home Goods</t>
        </is>
      </c>
      <c r="E921" s="3" t="inlineStr">
        <is>
          <t>Central</t>
        </is>
      </c>
      <c r="F921" s="3" t="inlineStr">
        <is>
          <t>Retail Shop</t>
        </is>
      </c>
      <c r="G921" s="3" t="inlineStr">
        <is>
          <t>New</t>
        </is>
      </c>
      <c r="H921" s="3" t="n">
        <v>1</v>
      </c>
      <c r="I921" s="3" t="n">
        <v>150</v>
      </c>
      <c r="J921" s="3" t="n">
        <v>84.76000000000001</v>
      </c>
      <c r="K921" s="3" t="n">
        <v>0</v>
      </c>
      <c r="L921" s="3" t="n">
        <v>1.61</v>
      </c>
    </row>
    <row r="922">
      <c r="A922" s="3" t="inlineStr">
        <is>
          <t>ORD-10921</t>
        </is>
      </c>
      <c r="B922" s="6" t="n">
        <v>45682</v>
      </c>
      <c r="C922" s="3" t="inlineStr">
        <is>
          <t>Footwear</t>
        </is>
      </c>
      <c r="D922" s="3" t="inlineStr">
        <is>
          <t>Formal Shoes</t>
        </is>
      </c>
      <c r="E922" s="3" t="inlineStr">
        <is>
          <t>Ashanti</t>
        </is>
      </c>
      <c r="F922" s="3" t="inlineStr">
        <is>
          <t>Online</t>
        </is>
      </c>
      <c r="G922" s="3" t="inlineStr">
        <is>
          <t>Returning</t>
        </is>
      </c>
      <c r="H922" s="3" t="n">
        <v>2</v>
      </c>
      <c r="I922" s="3" t="n">
        <v>275</v>
      </c>
      <c r="J922" s="3" t="n">
        <v>143.04</v>
      </c>
      <c r="K922" s="3" t="n">
        <v>0.05</v>
      </c>
      <c r="L922" s="3" t="n">
        <v>24.42</v>
      </c>
    </row>
    <row r="923">
      <c r="A923" s="3" t="inlineStr">
        <is>
          <t>ORD-10922</t>
        </is>
      </c>
      <c r="B923" s="6" t="n">
        <v>45864</v>
      </c>
      <c r="C923" s="3" t="inlineStr">
        <is>
          <t>Home &amp; Lifestyle</t>
        </is>
      </c>
      <c r="D923" s="3" t="inlineStr">
        <is>
          <t>Backpacks</t>
        </is>
      </c>
      <c r="E923" s="3" t="inlineStr">
        <is>
          <t>Greater Accra</t>
        </is>
      </c>
      <c r="F923" s="3" t="inlineStr">
        <is>
          <t>Phone/WhatsApp</t>
        </is>
      </c>
      <c r="G923" s="3" t="inlineStr">
        <is>
          <t>Returning</t>
        </is>
      </c>
      <c r="H923" s="3" t="n">
        <v>1</v>
      </c>
      <c r="I923" s="3" t="n">
        <v>155</v>
      </c>
      <c r="J923" s="3" t="n">
        <v>78.14</v>
      </c>
      <c r="K923" s="3" t="n">
        <v>0</v>
      </c>
      <c r="L923" s="3" t="n">
        <v>16.53</v>
      </c>
    </row>
    <row r="924">
      <c r="A924" s="3" t="inlineStr">
        <is>
          <t>ORD-10923</t>
        </is>
      </c>
      <c r="B924" s="6" t="n">
        <v>45860</v>
      </c>
      <c r="C924" s="3" t="inlineStr">
        <is>
          <t>Footwear</t>
        </is>
      </c>
      <c r="D924" s="3" t="inlineStr">
        <is>
          <t>Boots</t>
        </is>
      </c>
      <c r="E924" s="3" t="inlineStr">
        <is>
          <t>Greater Accra</t>
        </is>
      </c>
      <c r="F924" s="3" t="inlineStr">
        <is>
          <t>Online</t>
        </is>
      </c>
      <c r="G924" s="3" t="inlineStr">
        <is>
          <t>Returning</t>
        </is>
      </c>
      <c r="H924" s="3" t="n">
        <v>1</v>
      </c>
      <c r="I924" s="3" t="n">
        <v>315</v>
      </c>
      <c r="J924" s="3" t="n">
        <v>187.84</v>
      </c>
      <c r="K924" s="3" t="n">
        <v>0.1</v>
      </c>
      <c r="L924" s="3" t="n">
        <v>25.17</v>
      </c>
    </row>
    <row r="925">
      <c r="A925" s="3" t="inlineStr">
        <is>
          <t>ORD-10924</t>
        </is>
      </c>
      <c r="B925" s="6" t="n">
        <v>45975</v>
      </c>
      <c r="C925" s="3" t="inlineStr">
        <is>
          <t>Footwear</t>
        </is>
      </c>
      <c r="D925" s="3" t="inlineStr">
        <is>
          <t>Sandals</t>
        </is>
      </c>
      <c r="E925" s="3" t="inlineStr">
        <is>
          <t>Greater Accra</t>
        </is>
      </c>
      <c r="F925" s="3" t="inlineStr">
        <is>
          <t>Online</t>
        </is>
      </c>
      <c r="G925" s="3" t="inlineStr">
        <is>
          <t>Returning</t>
        </is>
      </c>
      <c r="H925" s="3" t="n">
        <v>3</v>
      </c>
      <c r="I925" s="3" t="n">
        <v>290</v>
      </c>
      <c r="J925" s="3" t="n">
        <v>145.56</v>
      </c>
      <c r="K925" s="3" t="n">
        <v>0</v>
      </c>
      <c r="L925" s="3" t="n">
        <v>30.39</v>
      </c>
    </row>
    <row r="926">
      <c r="A926" s="3" t="inlineStr">
        <is>
          <t>ORD-10925</t>
        </is>
      </c>
      <c r="B926" s="6" t="n">
        <v>45921</v>
      </c>
      <c r="C926" s="3" t="inlineStr">
        <is>
          <t>Accessories</t>
        </is>
      </c>
      <c r="D926" s="3" t="inlineStr">
        <is>
          <t>Sunglasses</t>
        </is>
      </c>
      <c r="E926" s="3" t="inlineStr">
        <is>
          <t>Western</t>
        </is>
      </c>
      <c r="F926" s="3" t="inlineStr">
        <is>
          <t>Retail Shop</t>
        </is>
      </c>
      <c r="G926" s="3" t="inlineStr">
        <is>
          <t>Returning</t>
        </is>
      </c>
      <c r="H926" s="3" t="n">
        <v>4</v>
      </c>
      <c r="I926" s="3" t="n">
        <v>120</v>
      </c>
      <c r="J926" s="3" t="n">
        <v>63.08</v>
      </c>
      <c r="K926" s="3" t="n">
        <v>0</v>
      </c>
      <c r="L926" s="3" t="n">
        <v>0.38</v>
      </c>
    </row>
    <row r="927">
      <c r="A927" s="3" t="inlineStr">
        <is>
          <t>ORD-10926</t>
        </is>
      </c>
      <c r="B927" s="6" t="n">
        <v>45781</v>
      </c>
      <c r="C927" s="3" t="inlineStr">
        <is>
          <t>Accessories</t>
        </is>
      </c>
      <c r="D927" s="3" t="inlineStr">
        <is>
          <t>Sunglasses</t>
        </is>
      </c>
      <c r="E927" s="3" t="inlineStr">
        <is>
          <t>Western</t>
        </is>
      </c>
      <c r="F927" s="3" t="inlineStr">
        <is>
          <t>Online</t>
        </is>
      </c>
      <c r="G927" s="3" t="inlineStr">
        <is>
          <t>New</t>
        </is>
      </c>
      <c r="H927" s="3" t="n">
        <v>1</v>
      </c>
      <c r="I927" s="3" t="n">
        <v>85</v>
      </c>
      <c r="J927" s="3" t="n">
        <v>39.67</v>
      </c>
      <c r="K927" s="3" t="n">
        <v>0</v>
      </c>
      <c r="L927" s="3" t="n">
        <v>21.48</v>
      </c>
    </row>
    <row r="928">
      <c r="A928" s="3" t="inlineStr">
        <is>
          <t>ORD-10927</t>
        </is>
      </c>
      <c r="B928" s="6" t="n">
        <v>45971</v>
      </c>
      <c r="C928" s="3" t="inlineStr">
        <is>
          <t>Home &amp; Lifestyle</t>
        </is>
      </c>
      <c r="D928" s="3" t="inlineStr">
        <is>
          <t>Travel Mugs</t>
        </is>
      </c>
      <c r="E928" s="3" t="inlineStr">
        <is>
          <t>Central</t>
        </is>
      </c>
      <c r="F928" s="3" t="inlineStr">
        <is>
          <t>Online</t>
        </is>
      </c>
      <c r="G928" s="3" t="inlineStr">
        <is>
          <t>Returning</t>
        </is>
      </c>
      <c r="H928" s="3" t="n">
        <v>5</v>
      </c>
      <c r="I928" s="3" t="n">
        <v>100</v>
      </c>
      <c r="J928" s="3" t="n">
        <v>60.02</v>
      </c>
      <c r="K928" s="3" t="n">
        <v>0.05</v>
      </c>
      <c r="L928" s="3" t="n">
        <v>43.43</v>
      </c>
    </row>
    <row r="929">
      <c r="A929" s="3" t="inlineStr">
        <is>
          <t>ORD-10928</t>
        </is>
      </c>
      <c r="B929" s="6" t="n">
        <v>45995</v>
      </c>
      <c r="C929" s="3" t="inlineStr">
        <is>
          <t>Footwear</t>
        </is>
      </c>
      <c r="D929" s="3" t="inlineStr">
        <is>
          <t>Formal Shoes</t>
        </is>
      </c>
      <c r="E929" s="3" t="inlineStr">
        <is>
          <t>Ashanti</t>
        </is>
      </c>
      <c r="F929" s="3" t="inlineStr">
        <is>
          <t>Phone/WhatsApp</t>
        </is>
      </c>
      <c r="G929" s="3" t="inlineStr">
        <is>
          <t>Returning</t>
        </is>
      </c>
      <c r="H929" s="3" t="n">
        <v>3</v>
      </c>
      <c r="I929" s="3" t="n">
        <v>325</v>
      </c>
      <c r="J929" s="3" t="n">
        <v>195.53</v>
      </c>
      <c r="K929" s="3" t="n">
        <v>0</v>
      </c>
      <c r="L929" s="3" t="n">
        <v>36.74</v>
      </c>
    </row>
    <row r="930">
      <c r="A930" s="3" t="inlineStr">
        <is>
          <t>ORD-10929</t>
        </is>
      </c>
      <c r="B930" s="6" t="n">
        <v>45874</v>
      </c>
      <c r="C930" s="3" t="inlineStr">
        <is>
          <t>Clothing</t>
        </is>
      </c>
      <c r="D930" s="3" t="inlineStr">
        <is>
          <t>Shirts</t>
        </is>
      </c>
      <c r="E930" s="3" t="inlineStr">
        <is>
          <t>Ashanti</t>
        </is>
      </c>
      <c r="F930" s="3" t="inlineStr">
        <is>
          <t>Retail Shop</t>
        </is>
      </c>
      <c r="G930" s="3" t="inlineStr">
        <is>
          <t>New</t>
        </is>
      </c>
      <c r="H930" s="3" t="n">
        <v>1</v>
      </c>
      <c r="I930" s="3" t="n">
        <v>180</v>
      </c>
      <c r="J930" s="3" t="n">
        <v>103.45</v>
      </c>
      <c r="K930" s="3" t="n">
        <v>0.15</v>
      </c>
      <c r="L930" s="3" t="n">
        <v>1.04</v>
      </c>
    </row>
    <row r="931">
      <c r="A931" s="3" t="inlineStr">
        <is>
          <t>ORD-10930</t>
        </is>
      </c>
      <c r="B931" s="6" t="n">
        <v>45793</v>
      </c>
      <c r="C931" s="3" t="inlineStr">
        <is>
          <t>Home &amp; Lifestyle</t>
        </is>
      </c>
      <c r="D931" s="3" t="inlineStr">
        <is>
          <t>Small Home Goods</t>
        </is>
      </c>
      <c r="E931" s="3" t="inlineStr">
        <is>
          <t>Ashanti</t>
        </is>
      </c>
      <c r="F931" s="3" t="inlineStr">
        <is>
          <t>Online</t>
        </is>
      </c>
      <c r="G931" s="3" t="inlineStr">
        <is>
          <t>Returning</t>
        </is>
      </c>
      <c r="H931" s="3" t="n">
        <v>1</v>
      </c>
      <c r="I931" s="3" t="n">
        <v>110</v>
      </c>
      <c r="J931" s="3" t="n">
        <v>59.52</v>
      </c>
      <c r="K931" s="3" t="n">
        <v>0.1</v>
      </c>
      <c r="L931" s="3" t="n">
        <v>39.44</v>
      </c>
    </row>
    <row r="932">
      <c r="A932" s="3" t="inlineStr">
        <is>
          <t>ORD-10931</t>
        </is>
      </c>
      <c r="B932" s="6" t="n">
        <v>45763</v>
      </c>
      <c r="C932" s="3" t="inlineStr">
        <is>
          <t>Home &amp; Lifestyle</t>
        </is>
      </c>
      <c r="D932" s="3" t="inlineStr">
        <is>
          <t>Wallets</t>
        </is>
      </c>
      <c r="E932" s="3" t="inlineStr">
        <is>
          <t>Greater Accra</t>
        </is>
      </c>
      <c r="F932" s="3" t="inlineStr">
        <is>
          <t>Retail Shop</t>
        </is>
      </c>
      <c r="G932" s="3" t="inlineStr">
        <is>
          <t>New</t>
        </is>
      </c>
      <c r="H932" s="3" t="n">
        <v>1</v>
      </c>
      <c r="I932" s="3" t="n">
        <v>180</v>
      </c>
      <c r="J932" s="3" t="n">
        <v>110.1</v>
      </c>
      <c r="K932" s="3" t="n">
        <v>0.05</v>
      </c>
      <c r="L932" s="3" t="n">
        <v>1.55</v>
      </c>
    </row>
    <row r="933">
      <c r="A933" s="3" t="inlineStr">
        <is>
          <t>ORD-10932</t>
        </is>
      </c>
      <c r="B933" s="6" t="n">
        <v>45720</v>
      </c>
      <c r="C933" s="3" t="inlineStr">
        <is>
          <t>Accessories</t>
        </is>
      </c>
      <c r="D933" s="3" t="inlineStr">
        <is>
          <t>Bags</t>
        </is>
      </c>
      <c r="E933" s="3" t="inlineStr">
        <is>
          <t>Central</t>
        </is>
      </c>
      <c r="F933" s="3" t="inlineStr">
        <is>
          <t>Retail Shop</t>
        </is>
      </c>
      <c r="G933" s="3" t="inlineStr">
        <is>
          <t>Returning</t>
        </is>
      </c>
      <c r="H933" s="3" t="n">
        <v>7</v>
      </c>
      <c r="I933" s="3" t="n">
        <v>75</v>
      </c>
      <c r="J933" s="3" t="n">
        <v>36.11</v>
      </c>
      <c r="K933" s="3" t="n">
        <v>0</v>
      </c>
      <c r="L933" s="3" t="n">
        <v>3.54</v>
      </c>
    </row>
    <row r="934">
      <c r="A934" s="3" t="inlineStr">
        <is>
          <t>ORD-10933</t>
        </is>
      </c>
      <c r="B934" s="6" t="n">
        <v>45982</v>
      </c>
      <c r="C934" s="3" t="inlineStr">
        <is>
          <t>Footwear</t>
        </is>
      </c>
      <c r="D934" s="3" t="inlineStr">
        <is>
          <t>Sandals</t>
        </is>
      </c>
      <c r="E934" s="3" t="inlineStr">
        <is>
          <t>Greater Accra</t>
        </is>
      </c>
      <c r="F934" s="3" t="inlineStr">
        <is>
          <t>Phone/WhatsApp</t>
        </is>
      </c>
      <c r="G934" s="3" t="inlineStr">
        <is>
          <t>New</t>
        </is>
      </c>
      <c r="H934" s="3" t="n">
        <v>2</v>
      </c>
      <c r="I934" s="3" t="n">
        <v>265</v>
      </c>
      <c r="J934" s="3" t="n">
        <v>168.41</v>
      </c>
      <c r="K934" s="3" t="n">
        <v>0.1</v>
      </c>
      <c r="L934" s="3" t="n">
        <v>9.08</v>
      </c>
    </row>
    <row r="935">
      <c r="A935" s="3" t="inlineStr">
        <is>
          <t>ORD-10934</t>
        </is>
      </c>
      <c r="B935" s="6" t="n">
        <v>45839</v>
      </c>
      <c r="C935" s="3" t="inlineStr">
        <is>
          <t>Footwear</t>
        </is>
      </c>
      <c r="D935" s="3" t="inlineStr">
        <is>
          <t>Sneakers</t>
        </is>
      </c>
      <c r="E935" s="3" t="inlineStr">
        <is>
          <t>Greater Accra</t>
        </is>
      </c>
      <c r="F935" s="3" t="inlineStr">
        <is>
          <t>Online</t>
        </is>
      </c>
      <c r="G935" s="3" t="inlineStr">
        <is>
          <t>New</t>
        </is>
      </c>
      <c r="H935" s="3" t="n">
        <v>5</v>
      </c>
      <c r="I935" s="3" t="n">
        <v>130</v>
      </c>
      <c r="J935" s="3" t="n">
        <v>69.38</v>
      </c>
      <c r="K935" s="3" t="n">
        <v>0.1</v>
      </c>
      <c r="L935" s="3" t="n">
        <v>11.86</v>
      </c>
    </row>
    <row r="936">
      <c r="A936" s="3" t="inlineStr">
        <is>
          <t>ORD-10935</t>
        </is>
      </c>
      <c r="B936" s="6" t="n">
        <v>45875</v>
      </c>
      <c r="C936" s="3" t="inlineStr">
        <is>
          <t>Home &amp; Lifestyle</t>
        </is>
      </c>
      <c r="D936" s="3" t="inlineStr">
        <is>
          <t>Backpacks</t>
        </is>
      </c>
      <c r="E936" s="3" t="inlineStr">
        <is>
          <t>Greater Accra</t>
        </is>
      </c>
      <c r="F936" s="3" t="inlineStr">
        <is>
          <t>Phone/WhatsApp</t>
        </is>
      </c>
      <c r="G936" s="3" t="inlineStr">
        <is>
          <t>Returning</t>
        </is>
      </c>
      <c r="H936" s="3" t="n">
        <v>4</v>
      </c>
      <c r="I936" s="3" t="n">
        <v>100</v>
      </c>
      <c r="J936" s="3" t="n">
        <v>49.57</v>
      </c>
      <c r="K936" s="3" t="n">
        <v>0.05</v>
      </c>
      <c r="L936" s="3" t="n">
        <v>15.21</v>
      </c>
    </row>
    <row r="937">
      <c r="A937" s="3" t="inlineStr">
        <is>
          <t>ORD-10936</t>
        </is>
      </c>
      <c r="B937" s="6" t="n">
        <v>45948</v>
      </c>
      <c r="C937" s="3" t="inlineStr">
        <is>
          <t>Home &amp; Lifestyle</t>
        </is>
      </c>
      <c r="D937" s="3" t="inlineStr">
        <is>
          <t>Backpacks</t>
        </is>
      </c>
      <c r="E937" s="3" t="inlineStr">
        <is>
          <t>Greater Accra</t>
        </is>
      </c>
      <c r="F937" s="3" t="inlineStr">
        <is>
          <t>Online</t>
        </is>
      </c>
      <c r="G937" s="3" t="inlineStr">
        <is>
          <t>New</t>
        </is>
      </c>
      <c r="H937" s="3" t="n">
        <v>4</v>
      </c>
      <c r="I937" s="3" t="n">
        <v>90</v>
      </c>
      <c r="J937" s="3" t="n">
        <v>55.17</v>
      </c>
      <c r="K937" s="3" t="n">
        <v>0.05</v>
      </c>
      <c r="L937" s="3" t="n">
        <v>32.41</v>
      </c>
    </row>
    <row r="938">
      <c r="A938" s="3" t="inlineStr">
        <is>
          <t>ORD-10937</t>
        </is>
      </c>
      <c r="B938" s="6" t="n">
        <v>45940</v>
      </c>
      <c r="C938" s="3" t="inlineStr">
        <is>
          <t>Clothing</t>
        </is>
      </c>
      <c r="D938" s="3" t="inlineStr">
        <is>
          <t>Dresses</t>
        </is>
      </c>
      <c r="E938" s="3" t="inlineStr">
        <is>
          <t>Western</t>
        </is>
      </c>
      <c r="F938" s="3" t="inlineStr">
        <is>
          <t>Retail Shop</t>
        </is>
      </c>
      <c r="G938" s="3" t="inlineStr">
        <is>
          <t>New</t>
        </is>
      </c>
      <c r="H938" s="3" t="n">
        <v>1</v>
      </c>
      <c r="I938" s="3" t="n">
        <v>125</v>
      </c>
      <c r="J938" s="3" t="n">
        <v>65.48</v>
      </c>
      <c r="K938" s="3" t="n">
        <v>0.15</v>
      </c>
      <c r="L938" s="3" t="n">
        <v>5.47</v>
      </c>
    </row>
    <row r="939">
      <c r="A939" s="3" t="inlineStr">
        <is>
          <t>ORD-10938</t>
        </is>
      </c>
      <c r="B939" s="6" t="n">
        <v>45777</v>
      </c>
      <c r="C939" s="3" t="inlineStr">
        <is>
          <t>Home &amp; Lifestyle</t>
        </is>
      </c>
      <c r="D939" s="3" t="inlineStr">
        <is>
          <t>Small Home Goods</t>
        </is>
      </c>
      <c r="E939" s="3" t="inlineStr">
        <is>
          <t>Greater Accra</t>
        </is>
      </c>
      <c r="F939" s="3" t="inlineStr">
        <is>
          <t>Retail Shop</t>
        </is>
      </c>
      <c r="G939" s="3" t="inlineStr">
        <is>
          <t>New</t>
        </is>
      </c>
      <c r="H939" s="3" t="n">
        <v>1</v>
      </c>
      <c r="I939" s="3" t="n">
        <v>110</v>
      </c>
      <c r="J939" s="3" t="n">
        <v>54.46</v>
      </c>
      <c r="K939" s="3" t="n">
        <v>0</v>
      </c>
      <c r="L939" s="3" t="n">
        <v>8.859999999999999</v>
      </c>
    </row>
    <row r="940">
      <c r="A940" s="3" t="inlineStr">
        <is>
          <t>ORD-10939</t>
        </is>
      </c>
      <c r="B940" s="6" t="n">
        <v>45938</v>
      </c>
      <c r="C940" s="3" t="inlineStr">
        <is>
          <t>Footwear</t>
        </is>
      </c>
      <c r="D940" s="3" t="inlineStr">
        <is>
          <t>Boots</t>
        </is>
      </c>
      <c r="E940" s="3" t="inlineStr">
        <is>
          <t>Central</t>
        </is>
      </c>
      <c r="F940" s="3" t="inlineStr">
        <is>
          <t>Retail Shop</t>
        </is>
      </c>
      <c r="G940" s="3" t="inlineStr">
        <is>
          <t>New</t>
        </is>
      </c>
      <c r="H940" s="3" t="n">
        <v>4</v>
      </c>
      <c r="I940" s="3" t="n">
        <v>270</v>
      </c>
      <c r="J940" s="3" t="n">
        <v>154.98</v>
      </c>
      <c r="K940" s="3" t="n">
        <v>0.1</v>
      </c>
      <c r="L940" s="3" t="n">
        <v>7.95</v>
      </c>
    </row>
    <row r="941">
      <c r="A941" s="3" t="inlineStr">
        <is>
          <t>ORD-10940</t>
        </is>
      </c>
      <c r="B941" s="6" t="n">
        <v>45956</v>
      </c>
      <c r="C941" s="3" t="inlineStr">
        <is>
          <t>Clothing</t>
        </is>
      </c>
      <c r="D941" s="3" t="inlineStr">
        <is>
          <t>Trousers</t>
        </is>
      </c>
      <c r="E941" s="3" t="inlineStr">
        <is>
          <t>Northern</t>
        </is>
      </c>
      <c r="F941" s="3" t="inlineStr">
        <is>
          <t>Phone/WhatsApp</t>
        </is>
      </c>
      <c r="G941" s="3" t="inlineStr">
        <is>
          <t>Returning</t>
        </is>
      </c>
      <c r="H941" s="3" t="n">
        <v>1</v>
      </c>
      <c r="I941" s="3" t="n">
        <v>105</v>
      </c>
      <c r="J941" s="3" t="n">
        <v>54.91</v>
      </c>
      <c r="K941" s="3" t="n">
        <v>0.1</v>
      </c>
      <c r="L941" s="3" t="n">
        <v>12.84</v>
      </c>
    </row>
    <row r="942">
      <c r="A942" s="3" t="inlineStr">
        <is>
          <t>ORD-10941</t>
        </is>
      </c>
      <c r="B942" s="6" t="n">
        <v>45846</v>
      </c>
      <c r="C942" s="3" t="inlineStr">
        <is>
          <t>Home &amp; Lifestyle</t>
        </is>
      </c>
      <c r="D942" s="3" t="inlineStr">
        <is>
          <t>Backpacks</t>
        </is>
      </c>
      <c r="E942" s="3" t="inlineStr">
        <is>
          <t>Greater Accra</t>
        </is>
      </c>
      <c r="F942" s="3" t="inlineStr">
        <is>
          <t>Online</t>
        </is>
      </c>
      <c r="G942" s="3" t="inlineStr">
        <is>
          <t>New</t>
        </is>
      </c>
      <c r="H942" s="3" t="n">
        <v>1</v>
      </c>
      <c r="I942" s="3" t="n">
        <v>115</v>
      </c>
      <c r="J942" s="3" t="n">
        <v>59.85</v>
      </c>
      <c r="K942" s="3" t="n">
        <v>0.05</v>
      </c>
      <c r="L942" s="3" t="n">
        <v>42.15</v>
      </c>
    </row>
    <row r="943">
      <c r="A943" s="3" t="inlineStr">
        <is>
          <t>ORD-10942</t>
        </is>
      </c>
      <c r="B943" s="6" t="n">
        <v>45970</v>
      </c>
      <c r="C943" s="3" t="inlineStr">
        <is>
          <t>Footwear</t>
        </is>
      </c>
      <c r="D943" s="3" t="inlineStr">
        <is>
          <t>Boots</t>
        </is>
      </c>
      <c r="E943" s="3" t="inlineStr">
        <is>
          <t>Greater Accra</t>
        </is>
      </c>
      <c r="F943" s="3" t="inlineStr">
        <is>
          <t>Retail Shop</t>
        </is>
      </c>
      <c r="G943" s="3" t="inlineStr">
        <is>
          <t>Returning</t>
        </is>
      </c>
      <c r="H943" s="3" t="n">
        <v>3</v>
      </c>
      <c r="I943" s="3" t="n">
        <v>260</v>
      </c>
      <c r="J943" s="3" t="n">
        <v>157.4</v>
      </c>
      <c r="K943" s="3" t="n">
        <v>0</v>
      </c>
      <c r="L943" s="3" t="n">
        <v>0.48</v>
      </c>
    </row>
    <row r="944">
      <c r="A944" s="3" t="inlineStr">
        <is>
          <t>ORD-10943</t>
        </is>
      </c>
      <c r="B944" s="6" t="n">
        <v>45723</v>
      </c>
      <c r="C944" s="3" t="inlineStr">
        <is>
          <t>Footwear</t>
        </is>
      </c>
      <c r="D944" s="3" t="inlineStr">
        <is>
          <t>Sandals</t>
        </is>
      </c>
      <c r="E944" s="3" t="inlineStr">
        <is>
          <t>Western</t>
        </is>
      </c>
      <c r="F944" s="3" t="inlineStr">
        <is>
          <t>Retail Shop</t>
        </is>
      </c>
      <c r="G944" s="3" t="inlineStr">
        <is>
          <t>Returning</t>
        </is>
      </c>
      <c r="H944" s="3" t="n">
        <v>3</v>
      </c>
      <c r="I944" s="3" t="n">
        <v>150</v>
      </c>
      <c r="J944" s="3" t="n">
        <v>76.48</v>
      </c>
      <c r="K944" s="3" t="n">
        <v>0</v>
      </c>
      <c r="L944" s="3" t="n">
        <v>2.19</v>
      </c>
    </row>
    <row r="945">
      <c r="A945" s="3" t="inlineStr">
        <is>
          <t>ORD-10944</t>
        </is>
      </c>
      <c r="B945" s="6" t="n">
        <v>46017</v>
      </c>
      <c r="C945" s="3" t="inlineStr">
        <is>
          <t>Clothing</t>
        </is>
      </c>
      <c r="D945" s="3" t="inlineStr">
        <is>
          <t>Shirts</t>
        </is>
      </c>
      <c r="E945" s="3" t="inlineStr">
        <is>
          <t>Ashanti</t>
        </is>
      </c>
      <c r="F945" s="3" t="inlineStr">
        <is>
          <t>Retail Shop</t>
        </is>
      </c>
      <c r="G945" s="3" t="inlineStr">
        <is>
          <t>Returning</t>
        </is>
      </c>
      <c r="H945" s="3" t="n">
        <v>2</v>
      </c>
      <c r="I945" s="3" t="n">
        <v>135</v>
      </c>
      <c r="J945" s="3" t="n">
        <v>67.88</v>
      </c>
      <c r="K945" s="3" t="n">
        <v>0.15</v>
      </c>
      <c r="L945" s="3" t="n">
        <v>10.09</v>
      </c>
    </row>
    <row r="946">
      <c r="A946" s="3" t="inlineStr">
        <is>
          <t>ORD-10945</t>
        </is>
      </c>
      <c r="B946" s="6" t="n">
        <v>45871</v>
      </c>
      <c r="C946" s="3" t="inlineStr">
        <is>
          <t>Clothing</t>
        </is>
      </c>
      <c r="D946" s="3" t="inlineStr">
        <is>
          <t>Shirts</t>
        </is>
      </c>
      <c r="E946" s="3" t="inlineStr">
        <is>
          <t>Greater Accra</t>
        </is>
      </c>
      <c r="F946" s="3" t="inlineStr">
        <is>
          <t>Retail Shop</t>
        </is>
      </c>
      <c r="G946" s="3" t="inlineStr">
        <is>
          <t>Returning</t>
        </is>
      </c>
      <c r="H946" s="3" t="n">
        <v>6</v>
      </c>
      <c r="I946" s="3" t="n">
        <v>100</v>
      </c>
      <c r="J946" s="3" t="n">
        <v>57.27</v>
      </c>
      <c r="K946" s="3" t="n">
        <v>0</v>
      </c>
      <c r="L946" s="3" t="n">
        <v>1.17</v>
      </c>
    </row>
    <row r="947">
      <c r="A947" s="3" t="inlineStr">
        <is>
          <t>ORD-10946</t>
        </is>
      </c>
      <c r="B947" s="6" t="n">
        <v>45879</v>
      </c>
      <c r="C947" s="3" t="inlineStr">
        <is>
          <t>Accessories</t>
        </is>
      </c>
      <c r="D947" s="3" t="inlineStr">
        <is>
          <t>Watches</t>
        </is>
      </c>
      <c r="E947" s="3" t="inlineStr">
        <is>
          <t>Greater Accra</t>
        </is>
      </c>
      <c r="F947" s="3" t="inlineStr">
        <is>
          <t>Retail Shop</t>
        </is>
      </c>
      <c r="G947" s="3" t="inlineStr">
        <is>
          <t>Returning</t>
        </is>
      </c>
      <c r="H947" s="3" t="n">
        <v>1</v>
      </c>
      <c r="I947" s="3" t="n">
        <v>170</v>
      </c>
      <c r="J947" s="3" t="n">
        <v>72.31</v>
      </c>
      <c r="K947" s="3" t="n">
        <v>0.15</v>
      </c>
      <c r="L947" s="3" t="n">
        <v>5.36</v>
      </c>
    </row>
    <row r="948">
      <c r="A948" s="3" t="inlineStr">
        <is>
          <t>ORD-10947</t>
        </is>
      </c>
      <c r="B948" s="6" t="n">
        <v>45677</v>
      </c>
      <c r="C948" s="3" t="inlineStr">
        <is>
          <t>Clothing</t>
        </is>
      </c>
      <c r="D948" s="3" t="inlineStr">
        <is>
          <t>Dresses</t>
        </is>
      </c>
      <c r="E948" s="3" t="inlineStr">
        <is>
          <t>Central</t>
        </is>
      </c>
      <c r="F948" s="3" t="inlineStr">
        <is>
          <t>Phone/WhatsApp</t>
        </is>
      </c>
      <c r="G948" s="3" t="inlineStr">
        <is>
          <t>New</t>
        </is>
      </c>
      <c r="H948" s="3" t="n">
        <v>1</v>
      </c>
      <c r="I948" s="3" t="n">
        <v>180</v>
      </c>
      <c r="J948" s="3" t="n">
        <v>100.23</v>
      </c>
      <c r="K948" s="3" t="n">
        <v>0.05</v>
      </c>
      <c r="L948" s="3" t="n">
        <v>37.11</v>
      </c>
    </row>
    <row r="949">
      <c r="A949" s="3" t="inlineStr">
        <is>
          <t>ORD-10948</t>
        </is>
      </c>
      <c r="B949" s="6" t="n">
        <v>45948</v>
      </c>
      <c r="C949" s="3" t="inlineStr">
        <is>
          <t>Clothing</t>
        </is>
      </c>
      <c r="D949" s="3" t="inlineStr">
        <is>
          <t>Jackets</t>
        </is>
      </c>
      <c r="E949" s="3" t="inlineStr">
        <is>
          <t>Northern</t>
        </is>
      </c>
      <c r="F949" s="3" t="inlineStr">
        <is>
          <t>Online</t>
        </is>
      </c>
      <c r="G949" s="3" t="inlineStr">
        <is>
          <t>New</t>
        </is>
      </c>
      <c r="H949" s="3" t="n">
        <v>2</v>
      </c>
      <c r="I949" s="3" t="n">
        <v>75</v>
      </c>
      <c r="J949" s="3" t="n">
        <v>42.28</v>
      </c>
      <c r="K949" s="3" t="n">
        <v>0.05</v>
      </c>
      <c r="L949" s="3" t="n">
        <v>27.16</v>
      </c>
    </row>
    <row r="950">
      <c r="A950" s="3" t="inlineStr">
        <is>
          <t>ORD-10949</t>
        </is>
      </c>
      <c r="B950" s="6" t="n">
        <v>46020</v>
      </c>
      <c r="C950" s="3" t="inlineStr">
        <is>
          <t>Clothing</t>
        </is>
      </c>
      <c r="D950" s="3" t="inlineStr">
        <is>
          <t>Trousers</t>
        </is>
      </c>
      <c r="E950" s="3" t="inlineStr">
        <is>
          <t>Western</t>
        </is>
      </c>
      <c r="F950" s="3" t="inlineStr">
        <is>
          <t>Phone/WhatsApp</t>
        </is>
      </c>
      <c r="G950" s="3" t="inlineStr">
        <is>
          <t>Returning</t>
        </is>
      </c>
      <c r="H950" s="3" t="n">
        <v>1</v>
      </c>
      <c r="I950" s="3" t="n">
        <v>85</v>
      </c>
      <c r="J950" s="3" t="n">
        <v>41.98</v>
      </c>
      <c r="K950" s="3" t="n">
        <v>0</v>
      </c>
      <c r="L950" s="3" t="n">
        <v>12.58</v>
      </c>
    </row>
    <row r="951">
      <c r="A951" s="3" t="inlineStr">
        <is>
          <t>ORD-10950</t>
        </is>
      </c>
      <c r="B951" s="6" t="n">
        <v>45985</v>
      </c>
      <c r="C951" s="3" t="inlineStr">
        <is>
          <t>Footwear</t>
        </is>
      </c>
      <c r="D951" s="3" t="inlineStr">
        <is>
          <t>Boots</t>
        </is>
      </c>
      <c r="E951" s="3" t="inlineStr">
        <is>
          <t>Central</t>
        </is>
      </c>
      <c r="F951" s="3" t="inlineStr">
        <is>
          <t>Retail Shop</t>
        </is>
      </c>
      <c r="G951" s="3" t="inlineStr">
        <is>
          <t>Returning</t>
        </is>
      </c>
      <c r="H951" s="3" t="n">
        <v>2</v>
      </c>
      <c r="I951" s="3" t="n">
        <v>280</v>
      </c>
      <c r="J951" s="3" t="n">
        <v>168.54</v>
      </c>
      <c r="K951" s="3" t="n">
        <v>0.1</v>
      </c>
      <c r="L951" s="3" t="n">
        <v>10</v>
      </c>
    </row>
    <row r="952">
      <c r="A952" s="3" t="inlineStr">
        <is>
          <t>ORD-10951</t>
        </is>
      </c>
      <c r="B952" s="6" t="n">
        <v>45694</v>
      </c>
      <c r="C952" s="3" t="inlineStr">
        <is>
          <t>Home &amp; Lifestyle</t>
        </is>
      </c>
      <c r="D952" s="3" t="inlineStr">
        <is>
          <t>Backpacks</t>
        </is>
      </c>
      <c r="E952" s="3" t="inlineStr">
        <is>
          <t>Greater Accra</t>
        </is>
      </c>
      <c r="F952" s="3" t="inlineStr">
        <is>
          <t>Online</t>
        </is>
      </c>
      <c r="G952" s="3" t="inlineStr">
        <is>
          <t>Returning</t>
        </is>
      </c>
      <c r="H952" s="3" t="n">
        <v>3</v>
      </c>
      <c r="I952" s="3" t="n">
        <v>135</v>
      </c>
      <c r="J952" s="3" t="n">
        <v>66.63</v>
      </c>
      <c r="K952" s="3" t="n">
        <v>0.05</v>
      </c>
      <c r="L952" s="3" t="n">
        <v>23.51</v>
      </c>
    </row>
    <row r="953">
      <c r="A953" s="3" t="inlineStr">
        <is>
          <t>ORD-10952</t>
        </is>
      </c>
      <c r="B953" s="6" t="n">
        <v>45674</v>
      </c>
      <c r="C953" s="3" t="inlineStr">
        <is>
          <t>Clothing</t>
        </is>
      </c>
      <c r="D953" s="3" t="inlineStr">
        <is>
          <t>Dresses</t>
        </is>
      </c>
      <c r="E953" s="3" t="inlineStr">
        <is>
          <t>Greater Accra</t>
        </is>
      </c>
      <c r="F953" s="3" t="inlineStr">
        <is>
          <t>Retail Shop</t>
        </is>
      </c>
      <c r="G953" s="3" t="inlineStr">
        <is>
          <t>Returning</t>
        </is>
      </c>
      <c r="H953" s="3" t="n">
        <v>3</v>
      </c>
      <c r="I953" s="3" t="n">
        <v>140</v>
      </c>
      <c r="J953" s="3" t="n">
        <v>78.64</v>
      </c>
      <c r="K953" s="3" t="n">
        <v>0.15</v>
      </c>
      <c r="L953" s="3" t="n">
        <v>6.28</v>
      </c>
    </row>
    <row r="954">
      <c r="A954" s="3" t="inlineStr">
        <is>
          <t>ORD-10953</t>
        </is>
      </c>
      <c r="B954" s="6" t="n">
        <v>45998</v>
      </c>
      <c r="C954" s="3" t="inlineStr">
        <is>
          <t>Clothing</t>
        </is>
      </c>
      <c r="D954" s="3" t="inlineStr">
        <is>
          <t>Dresses</t>
        </is>
      </c>
      <c r="E954" s="3" t="inlineStr">
        <is>
          <t>Western</t>
        </is>
      </c>
      <c r="F954" s="3" t="inlineStr">
        <is>
          <t>Retail Shop</t>
        </is>
      </c>
      <c r="G954" s="3" t="inlineStr">
        <is>
          <t>New</t>
        </is>
      </c>
      <c r="H954" s="3" t="n">
        <v>1</v>
      </c>
      <c r="I954" s="3" t="n">
        <v>120</v>
      </c>
      <c r="J954" s="3" t="n">
        <v>59.92</v>
      </c>
      <c r="K954" s="3" t="n">
        <v>0</v>
      </c>
      <c r="L954" s="3" t="n">
        <v>7.87</v>
      </c>
    </row>
    <row r="955">
      <c r="A955" s="3" t="inlineStr">
        <is>
          <t>ORD-10954</t>
        </is>
      </c>
      <c r="B955" s="6" t="n">
        <v>45711</v>
      </c>
      <c r="C955" s="3" t="inlineStr">
        <is>
          <t>Home &amp; Lifestyle</t>
        </is>
      </c>
      <c r="D955" s="3" t="inlineStr">
        <is>
          <t>Wallets</t>
        </is>
      </c>
      <c r="E955" s="3" t="inlineStr">
        <is>
          <t>Ashanti</t>
        </is>
      </c>
      <c r="F955" s="3" t="inlineStr">
        <is>
          <t>Phone/WhatsApp</t>
        </is>
      </c>
      <c r="G955" s="3" t="inlineStr">
        <is>
          <t>Returning</t>
        </is>
      </c>
      <c r="H955" s="3" t="n">
        <v>1</v>
      </c>
      <c r="I955" s="3" t="n">
        <v>145</v>
      </c>
      <c r="J955" s="3" t="n">
        <v>79.72</v>
      </c>
      <c r="K955" s="3" t="n">
        <v>0.05</v>
      </c>
      <c r="L955" s="3" t="n">
        <v>41.95</v>
      </c>
    </row>
    <row r="956">
      <c r="A956" s="3" t="inlineStr">
        <is>
          <t>ORD-10955</t>
        </is>
      </c>
      <c r="B956" s="6" t="n">
        <v>45819</v>
      </c>
      <c r="C956" s="3" t="inlineStr">
        <is>
          <t>Clothing</t>
        </is>
      </c>
      <c r="D956" s="3" t="inlineStr">
        <is>
          <t>Trousers</t>
        </is>
      </c>
      <c r="E956" s="3" t="inlineStr">
        <is>
          <t>Ashanti</t>
        </is>
      </c>
      <c r="F956" s="3" t="inlineStr">
        <is>
          <t>Retail Shop</t>
        </is>
      </c>
      <c r="G956" s="3" t="inlineStr">
        <is>
          <t>New</t>
        </is>
      </c>
      <c r="H956" s="3" t="n">
        <v>5</v>
      </c>
      <c r="I956" s="3" t="n">
        <v>185</v>
      </c>
      <c r="J956" s="3" t="n">
        <v>86.86</v>
      </c>
      <c r="K956" s="3" t="n">
        <v>0.05</v>
      </c>
      <c r="L956" s="3" t="n">
        <v>2.61</v>
      </c>
    </row>
    <row r="957">
      <c r="A957" s="3" t="inlineStr">
        <is>
          <t>ORD-10956</t>
        </is>
      </c>
      <c r="B957" s="6" t="n">
        <v>45845</v>
      </c>
      <c r="C957" s="3" t="inlineStr">
        <is>
          <t>Clothing</t>
        </is>
      </c>
      <c r="D957" s="3" t="inlineStr">
        <is>
          <t>Jackets</t>
        </is>
      </c>
      <c r="E957" s="3" t="inlineStr">
        <is>
          <t>Western</t>
        </is>
      </c>
      <c r="F957" s="3" t="inlineStr">
        <is>
          <t>Phone/WhatsApp</t>
        </is>
      </c>
      <c r="G957" s="3" t="inlineStr">
        <is>
          <t>New</t>
        </is>
      </c>
      <c r="H957" s="3" t="n">
        <v>1</v>
      </c>
      <c r="I957" s="3" t="n">
        <v>205</v>
      </c>
      <c r="J957" s="3" t="n">
        <v>104.85</v>
      </c>
      <c r="K957" s="3" t="n">
        <v>0.05</v>
      </c>
      <c r="L957" s="3" t="n">
        <v>36.46</v>
      </c>
    </row>
    <row r="958">
      <c r="A958" s="3" t="inlineStr">
        <is>
          <t>ORD-10957</t>
        </is>
      </c>
      <c r="B958" s="6" t="n">
        <v>45834</v>
      </c>
      <c r="C958" s="3" t="inlineStr">
        <is>
          <t>Footwear</t>
        </is>
      </c>
      <c r="D958" s="3" t="inlineStr">
        <is>
          <t>Formal Shoes</t>
        </is>
      </c>
      <c r="E958" s="3" t="inlineStr">
        <is>
          <t>Western</t>
        </is>
      </c>
      <c r="F958" s="3" t="inlineStr">
        <is>
          <t>Online</t>
        </is>
      </c>
      <c r="G958" s="3" t="inlineStr">
        <is>
          <t>Returning</t>
        </is>
      </c>
      <c r="H958" s="3" t="n">
        <v>6</v>
      </c>
      <c r="I958" s="3" t="n">
        <v>265</v>
      </c>
      <c r="J958" s="3" t="n">
        <v>138.03</v>
      </c>
      <c r="K958" s="3" t="n">
        <v>0.05</v>
      </c>
      <c r="L958" s="3" t="n">
        <v>19.54</v>
      </c>
    </row>
    <row r="959">
      <c r="A959" s="3" t="inlineStr">
        <is>
          <t>ORD-10958</t>
        </is>
      </c>
      <c r="B959" s="6" t="n">
        <v>45894</v>
      </c>
      <c r="C959" s="3" t="inlineStr">
        <is>
          <t>Home &amp; Lifestyle</t>
        </is>
      </c>
      <c r="D959" s="3" t="inlineStr">
        <is>
          <t>Wallets</t>
        </is>
      </c>
      <c r="E959" s="3" t="inlineStr">
        <is>
          <t>Central</t>
        </is>
      </c>
      <c r="F959" s="3" t="inlineStr">
        <is>
          <t>Phone/WhatsApp</t>
        </is>
      </c>
      <c r="G959" s="3" t="inlineStr">
        <is>
          <t>Returning</t>
        </is>
      </c>
      <c r="H959" s="3" t="n">
        <v>2</v>
      </c>
      <c r="I959" s="3" t="n">
        <v>75</v>
      </c>
      <c r="J959" s="3" t="n">
        <v>46.07</v>
      </c>
      <c r="K959" s="3" t="n">
        <v>0</v>
      </c>
      <c r="L959" s="3" t="n">
        <v>33.62</v>
      </c>
    </row>
    <row r="960">
      <c r="A960" s="3" t="inlineStr">
        <is>
          <t>ORD-10959</t>
        </is>
      </c>
      <c r="B960" s="6" t="n">
        <v>45900</v>
      </c>
      <c r="C960" s="3" t="inlineStr">
        <is>
          <t>Clothing</t>
        </is>
      </c>
      <c r="D960" s="3" t="inlineStr">
        <is>
          <t>Jackets</t>
        </is>
      </c>
      <c r="E960" s="3" t="inlineStr">
        <is>
          <t>Western</t>
        </is>
      </c>
      <c r="F960" s="3" t="inlineStr">
        <is>
          <t>Retail Shop</t>
        </is>
      </c>
      <c r="G960" s="3" t="inlineStr">
        <is>
          <t>Returning</t>
        </is>
      </c>
      <c r="H960" s="3" t="n">
        <v>3</v>
      </c>
      <c r="I960" s="3" t="n">
        <v>130</v>
      </c>
      <c r="J960" s="3" t="n">
        <v>65.69</v>
      </c>
      <c r="K960" s="3" t="n">
        <v>0.15</v>
      </c>
      <c r="L960" s="3" t="n">
        <v>0.7</v>
      </c>
    </row>
    <row r="961">
      <c r="A961" s="3" t="inlineStr">
        <is>
          <t>ORD-10960</t>
        </is>
      </c>
      <c r="B961" s="6" t="n">
        <v>45880</v>
      </c>
      <c r="C961" s="3" t="inlineStr">
        <is>
          <t>Footwear</t>
        </is>
      </c>
      <c r="D961" s="3" t="inlineStr">
        <is>
          <t>Sandals</t>
        </is>
      </c>
      <c r="E961" s="3" t="inlineStr">
        <is>
          <t>Ashanti</t>
        </is>
      </c>
      <c r="F961" s="3" t="inlineStr">
        <is>
          <t>Online</t>
        </is>
      </c>
      <c r="G961" s="3" t="inlineStr">
        <is>
          <t>Returning</t>
        </is>
      </c>
      <c r="H961" s="3" t="n">
        <v>3</v>
      </c>
      <c r="I961" s="3" t="n">
        <v>240</v>
      </c>
      <c r="J961" s="3" t="n">
        <v>149.08</v>
      </c>
      <c r="K961" s="3" t="n">
        <v>0.15</v>
      </c>
      <c r="L961" s="3" t="n">
        <v>42.59</v>
      </c>
    </row>
    <row r="962">
      <c r="A962" s="3" t="inlineStr">
        <is>
          <t>ORD-10961</t>
        </is>
      </c>
      <c r="B962" s="6" t="n">
        <v>45837</v>
      </c>
      <c r="C962" s="3" t="inlineStr">
        <is>
          <t>Clothing</t>
        </is>
      </c>
      <c r="D962" s="3" t="inlineStr">
        <is>
          <t>Shirts</t>
        </is>
      </c>
      <c r="E962" s="3" t="inlineStr">
        <is>
          <t>Northern</t>
        </is>
      </c>
      <c r="F962" s="3" t="inlineStr">
        <is>
          <t>Retail Shop</t>
        </is>
      </c>
      <c r="G962" s="3" t="inlineStr">
        <is>
          <t>Returning</t>
        </is>
      </c>
      <c r="H962" s="3" t="n">
        <v>2</v>
      </c>
      <c r="I962" s="3" t="n">
        <v>140</v>
      </c>
      <c r="J962" s="3" t="n">
        <v>69.84999999999999</v>
      </c>
      <c r="K962" s="3" t="n">
        <v>0</v>
      </c>
      <c r="L962" s="3" t="n">
        <v>0.27</v>
      </c>
    </row>
    <row r="963">
      <c r="A963" s="3" t="inlineStr">
        <is>
          <t>ORD-10962</t>
        </is>
      </c>
      <c r="B963" s="6" t="n">
        <v>45950</v>
      </c>
      <c r="C963" s="3" t="inlineStr">
        <is>
          <t>Footwear</t>
        </is>
      </c>
      <c r="D963" s="3" t="inlineStr">
        <is>
          <t>Sneakers</t>
        </is>
      </c>
      <c r="E963" s="3" t="inlineStr">
        <is>
          <t>Greater Accra</t>
        </is>
      </c>
      <c r="F963" s="3" t="inlineStr">
        <is>
          <t>Retail Shop</t>
        </is>
      </c>
      <c r="G963" s="3" t="inlineStr">
        <is>
          <t>Returning</t>
        </is>
      </c>
      <c r="H963" s="3" t="n">
        <v>5</v>
      </c>
      <c r="I963" s="3" t="n">
        <v>265</v>
      </c>
      <c r="J963" s="3" t="n">
        <v>152.08</v>
      </c>
      <c r="K963" s="3" t="n">
        <v>0.05</v>
      </c>
      <c r="L963" s="3" t="n">
        <v>6.02</v>
      </c>
    </row>
    <row r="964">
      <c r="A964" s="3" t="inlineStr">
        <is>
          <t>ORD-10963</t>
        </is>
      </c>
      <c r="B964" s="6" t="n">
        <v>45924</v>
      </c>
      <c r="C964" s="3" t="inlineStr">
        <is>
          <t>Footwear</t>
        </is>
      </c>
      <c r="D964" s="3" t="inlineStr">
        <is>
          <t>Formal Shoes</t>
        </is>
      </c>
      <c r="E964" s="3" t="inlineStr">
        <is>
          <t>Greater Accra</t>
        </is>
      </c>
      <c r="F964" s="3" t="inlineStr">
        <is>
          <t>Online</t>
        </is>
      </c>
      <c r="G964" s="3" t="inlineStr">
        <is>
          <t>New</t>
        </is>
      </c>
      <c r="H964" s="3" t="n">
        <v>2</v>
      </c>
      <c r="I964" s="3" t="n">
        <v>190</v>
      </c>
      <c r="J964" s="3" t="n">
        <v>110.21</v>
      </c>
      <c r="K964" s="3" t="n">
        <v>0</v>
      </c>
      <c r="L964" s="3" t="n">
        <v>19.43</v>
      </c>
    </row>
    <row r="965">
      <c r="A965" s="3" t="inlineStr">
        <is>
          <t>ORD-10964</t>
        </is>
      </c>
      <c r="B965" s="6" t="n">
        <v>45715</v>
      </c>
      <c r="C965" s="3" t="inlineStr">
        <is>
          <t>Clothing</t>
        </is>
      </c>
      <c r="D965" s="3" t="inlineStr">
        <is>
          <t>Jackets</t>
        </is>
      </c>
      <c r="E965" s="3" t="inlineStr">
        <is>
          <t>Greater Accra</t>
        </is>
      </c>
      <c r="F965" s="3" t="inlineStr">
        <is>
          <t>Retail Shop</t>
        </is>
      </c>
      <c r="G965" s="3" t="inlineStr">
        <is>
          <t>Returning</t>
        </is>
      </c>
      <c r="H965" s="3" t="n">
        <v>1</v>
      </c>
      <c r="I965" s="3" t="n">
        <v>215</v>
      </c>
      <c r="J965" s="3" t="n">
        <v>103.01</v>
      </c>
      <c r="K965" s="3" t="n">
        <v>0</v>
      </c>
      <c r="L965" s="3" t="n">
        <v>3.52</v>
      </c>
    </row>
    <row r="966">
      <c r="A966" s="3" t="inlineStr">
        <is>
          <t>ORD-10965</t>
        </is>
      </c>
      <c r="B966" s="6" t="n">
        <v>45933</v>
      </c>
      <c r="C966" s="3" t="inlineStr">
        <is>
          <t>Clothing</t>
        </is>
      </c>
      <c r="D966" s="3" t="inlineStr">
        <is>
          <t>Dresses</t>
        </is>
      </c>
      <c r="E966" s="3" t="inlineStr">
        <is>
          <t>Ashanti</t>
        </is>
      </c>
      <c r="F966" s="3" t="inlineStr">
        <is>
          <t>Retail Shop</t>
        </is>
      </c>
      <c r="G966" s="3" t="inlineStr">
        <is>
          <t>Returning</t>
        </is>
      </c>
      <c r="H966" s="3" t="n">
        <v>10</v>
      </c>
      <c r="I966" s="3" t="n">
        <v>155</v>
      </c>
      <c r="J966" s="3" t="n">
        <v>82.56</v>
      </c>
      <c r="K966" s="3" t="n">
        <v>0.05</v>
      </c>
      <c r="L966" s="3" t="n">
        <v>9.800000000000001</v>
      </c>
    </row>
    <row r="967">
      <c r="A967" s="3" t="inlineStr">
        <is>
          <t>ORD-10966</t>
        </is>
      </c>
      <c r="B967" s="6" t="n">
        <v>45751</v>
      </c>
      <c r="C967" s="3" t="inlineStr">
        <is>
          <t>Footwear</t>
        </is>
      </c>
      <c r="D967" s="3" t="inlineStr">
        <is>
          <t>Formal Shoes</t>
        </is>
      </c>
      <c r="E967" s="3" t="inlineStr">
        <is>
          <t>Northern</t>
        </is>
      </c>
      <c r="F967" s="3" t="inlineStr">
        <is>
          <t>Phone/WhatsApp</t>
        </is>
      </c>
      <c r="G967" s="3" t="inlineStr">
        <is>
          <t>Returning</t>
        </is>
      </c>
      <c r="H967" s="3" t="n">
        <v>1</v>
      </c>
      <c r="I967" s="3" t="n">
        <v>230</v>
      </c>
      <c r="J967" s="3" t="n">
        <v>116.4</v>
      </c>
      <c r="K967" s="3" t="n">
        <v>0.1</v>
      </c>
      <c r="L967" s="3" t="n">
        <v>27.38</v>
      </c>
    </row>
    <row r="968">
      <c r="A968" s="3" t="inlineStr">
        <is>
          <t>ORD-10967</t>
        </is>
      </c>
      <c r="B968" s="6" t="n">
        <v>45731</v>
      </c>
      <c r="C968" s="3" t="inlineStr">
        <is>
          <t>Clothing</t>
        </is>
      </c>
      <c r="D968" s="3" t="inlineStr">
        <is>
          <t>Shirts</t>
        </is>
      </c>
      <c r="E968" s="3" t="inlineStr">
        <is>
          <t>Ashanti</t>
        </is>
      </c>
      <c r="F968" s="3" t="inlineStr">
        <is>
          <t>Retail Shop</t>
        </is>
      </c>
      <c r="G968" s="3" t="inlineStr">
        <is>
          <t>Returning</t>
        </is>
      </c>
      <c r="H968" s="3" t="n">
        <v>2</v>
      </c>
      <c r="I968" s="3" t="n">
        <v>185</v>
      </c>
      <c r="J968" s="3" t="n">
        <v>87.95999999999999</v>
      </c>
      <c r="K968" s="3" t="n">
        <v>0.05</v>
      </c>
      <c r="L968" s="3" t="n">
        <v>11.35</v>
      </c>
    </row>
    <row r="969">
      <c r="A969" s="3" t="inlineStr">
        <is>
          <t>ORD-10968</t>
        </is>
      </c>
      <c r="B969" s="6" t="n">
        <v>46020</v>
      </c>
      <c r="C969" s="3" t="inlineStr">
        <is>
          <t>Footwear</t>
        </is>
      </c>
      <c r="D969" s="3" t="inlineStr">
        <is>
          <t>Sandals</t>
        </is>
      </c>
      <c r="E969" s="3" t="inlineStr">
        <is>
          <t>Ashanti</t>
        </is>
      </c>
      <c r="F969" s="3" t="inlineStr">
        <is>
          <t>Retail Shop</t>
        </is>
      </c>
      <c r="G969" s="3" t="inlineStr">
        <is>
          <t>New</t>
        </is>
      </c>
      <c r="H969" s="3" t="n">
        <v>3</v>
      </c>
      <c r="I969" s="3" t="n">
        <v>270</v>
      </c>
      <c r="J969" s="3" t="n">
        <v>158.26</v>
      </c>
      <c r="K969" s="3" t="n">
        <v>0</v>
      </c>
      <c r="L969" s="3" t="n">
        <v>3.1</v>
      </c>
    </row>
    <row r="970">
      <c r="A970" s="3" t="inlineStr">
        <is>
          <t>ORD-10969</t>
        </is>
      </c>
      <c r="B970" s="6" t="n">
        <v>45920</v>
      </c>
      <c r="C970" s="3" t="inlineStr">
        <is>
          <t>Footwear</t>
        </is>
      </c>
      <c r="D970" s="3" t="inlineStr">
        <is>
          <t>Formal Shoes</t>
        </is>
      </c>
      <c r="E970" s="3" t="inlineStr">
        <is>
          <t>Greater Accra</t>
        </is>
      </c>
      <c r="F970" s="3" t="inlineStr">
        <is>
          <t>Retail Shop</t>
        </is>
      </c>
      <c r="G970" s="3" t="inlineStr">
        <is>
          <t>Returning</t>
        </is>
      </c>
      <c r="H970" s="3" t="n">
        <v>2</v>
      </c>
      <c r="I970" s="3" t="n">
        <v>315</v>
      </c>
      <c r="J970" s="3" t="n">
        <v>194.45</v>
      </c>
      <c r="K970" s="3" t="n">
        <v>0</v>
      </c>
      <c r="L970" s="3" t="n">
        <v>2.36</v>
      </c>
    </row>
    <row r="971">
      <c r="A971" s="3" t="inlineStr">
        <is>
          <t>ORD-10970</t>
        </is>
      </c>
      <c r="B971" s="6" t="n">
        <v>45950</v>
      </c>
      <c r="C971" s="3" t="inlineStr">
        <is>
          <t>Clothing</t>
        </is>
      </c>
      <c r="D971" s="3" t="inlineStr">
        <is>
          <t>Jackets</t>
        </is>
      </c>
      <c r="E971" s="3" t="inlineStr">
        <is>
          <t>Western</t>
        </is>
      </c>
      <c r="F971" s="3" t="inlineStr">
        <is>
          <t>Retail Shop</t>
        </is>
      </c>
      <c r="G971" s="3" t="inlineStr">
        <is>
          <t>New</t>
        </is>
      </c>
      <c r="H971" s="3" t="n">
        <v>6</v>
      </c>
      <c r="I971" s="3" t="n">
        <v>170</v>
      </c>
      <c r="J971" s="3" t="n">
        <v>83.47</v>
      </c>
      <c r="K971" s="3" t="n">
        <v>0</v>
      </c>
      <c r="L971" s="3" t="n">
        <v>11</v>
      </c>
    </row>
    <row r="972">
      <c r="A972" s="3" t="inlineStr">
        <is>
          <t>ORD-10971</t>
        </is>
      </c>
      <c r="B972" s="6" t="n">
        <v>45780</v>
      </c>
      <c r="C972" s="3" t="inlineStr">
        <is>
          <t>Footwear</t>
        </is>
      </c>
      <c r="D972" s="3" t="inlineStr">
        <is>
          <t>Sneakers</t>
        </is>
      </c>
      <c r="E972" s="3" t="inlineStr">
        <is>
          <t>Western</t>
        </is>
      </c>
      <c r="F972" s="3" t="inlineStr">
        <is>
          <t>Retail Shop</t>
        </is>
      </c>
      <c r="G972" s="3" t="inlineStr">
        <is>
          <t>New</t>
        </is>
      </c>
      <c r="H972" s="3" t="n">
        <v>3</v>
      </c>
      <c r="I972" s="3" t="n">
        <v>280</v>
      </c>
      <c r="J972" s="3" t="n">
        <v>162.19</v>
      </c>
      <c r="K972" s="3" t="n">
        <v>0.05</v>
      </c>
      <c r="L972" s="3" t="n">
        <v>3.49</v>
      </c>
    </row>
    <row r="973">
      <c r="A973" s="3" t="inlineStr">
        <is>
          <t>ORD-10972</t>
        </is>
      </c>
      <c r="B973" s="6" t="n">
        <v>45732</v>
      </c>
      <c r="C973" s="3" t="inlineStr">
        <is>
          <t>Accessories</t>
        </is>
      </c>
      <c r="D973" s="3" t="inlineStr">
        <is>
          <t>Sunglasses</t>
        </is>
      </c>
      <c r="E973" s="3" t="inlineStr">
        <is>
          <t>Greater Accra</t>
        </is>
      </c>
      <c r="F973" s="3" t="inlineStr">
        <is>
          <t>Online</t>
        </is>
      </c>
      <c r="G973" s="3" t="inlineStr">
        <is>
          <t>New</t>
        </is>
      </c>
      <c r="H973" s="3" t="n">
        <v>3</v>
      </c>
      <c r="I973" s="3" t="n">
        <v>115</v>
      </c>
      <c r="J973" s="3" t="n">
        <v>49.19</v>
      </c>
      <c r="K973" s="3" t="n">
        <v>0</v>
      </c>
      <c r="L973" s="3" t="n">
        <v>12.96</v>
      </c>
    </row>
    <row r="974">
      <c r="A974" s="3" t="inlineStr">
        <is>
          <t>ORD-10973</t>
        </is>
      </c>
      <c r="B974" s="6" t="n">
        <v>45977</v>
      </c>
      <c r="C974" s="3" t="inlineStr">
        <is>
          <t>Footwear</t>
        </is>
      </c>
      <c r="D974" s="3" t="inlineStr">
        <is>
          <t>Sneakers</t>
        </is>
      </c>
      <c r="E974" s="3" t="inlineStr">
        <is>
          <t>Greater Accra</t>
        </is>
      </c>
      <c r="F974" s="3" t="inlineStr">
        <is>
          <t>Phone/WhatsApp</t>
        </is>
      </c>
      <c r="G974" s="3" t="inlineStr">
        <is>
          <t>Returning</t>
        </is>
      </c>
      <c r="H974" s="3" t="n">
        <v>1</v>
      </c>
      <c r="I974" s="3" t="n">
        <v>390</v>
      </c>
      <c r="J974" s="3" t="n">
        <v>246.66</v>
      </c>
      <c r="K974" s="3" t="n">
        <v>0.05</v>
      </c>
      <c r="L974" s="3" t="n">
        <v>42.87</v>
      </c>
    </row>
    <row r="975">
      <c r="A975" s="3" t="inlineStr">
        <is>
          <t>ORD-10974</t>
        </is>
      </c>
      <c r="B975" s="6" t="n">
        <v>45869</v>
      </c>
      <c r="C975" s="3" t="inlineStr">
        <is>
          <t>Footwear</t>
        </is>
      </c>
      <c r="D975" s="3" t="inlineStr">
        <is>
          <t>Boots</t>
        </is>
      </c>
      <c r="E975" s="3" t="inlineStr">
        <is>
          <t>Greater Accra</t>
        </is>
      </c>
      <c r="F975" s="3" t="inlineStr">
        <is>
          <t>Online</t>
        </is>
      </c>
      <c r="G975" s="3" t="inlineStr">
        <is>
          <t>Returning</t>
        </is>
      </c>
      <c r="H975" s="3" t="n">
        <v>1</v>
      </c>
      <c r="I975" s="3" t="n">
        <v>425</v>
      </c>
      <c r="J975" s="3" t="n">
        <v>228.38</v>
      </c>
      <c r="K975" s="3" t="n">
        <v>0.15</v>
      </c>
      <c r="L975" s="3" t="n">
        <v>33.31</v>
      </c>
    </row>
    <row r="976">
      <c r="A976" s="3" t="inlineStr">
        <is>
          <t>ORD-10975</t>
        </is>
      </c>
      <c r="B976" s="6" t="n">
        <v>45947</v>
      </c>
      <c r="C976" s="3" t="inlineStr">
        <is>
          <t>Footwear</t>
        </is>
      </c>
      <c r="D976" s="3" t="inlineStr">
        <is>
          <t>Formal Shoes</t>
        </is>
      </c>
      <c r="E976" s="3" t="inlineStr">
        <is>
          <t>Greater Accra</t>
        </is>
      </c>
      <c r="F976" s="3" t="inlineStr">
        <is>
          <t>Retail Shop</t>
        </is>
      </c>
      <c r="G976" s="3" t="inlineStr">
        <is>
          <t>Returning</t>
        </is>
      </c>
      <c r="H976" s="3" t="n">
        <v>4</v>
      </c>
      <c r="I976" s="3" t="n">
        <v>305</v>
      </c>
      <c r="J976" s="3" t="n">
        <v>167</v>
      </c>
      <c r="K976" s="3" t="n">
        <v>0</v>
      </c>
      <c r="L976" s="3" t="n">
        <v>6.43</v>
      </c>
    </row>
    <row r="977">
      <c r="A977" s="3" t="inlineStr">
        <is>
          <t>ORD-10976</t>
        </is>
      </c>
      <c r="B977" s="6" t="n">
        <v>45812</v>
      </c>
      <c r="C977" s="3" t="inlineStr">
        <is>
          <t>Clothing</t>
        </is>
      </c>
      <c r="D977" s="3" t="inlineStr">
        <is>
          <t>Shirts</t>
        </is>
      </c>
      <c r="E977" s="3" t="inlineStr">
        <is>
          <t>Ashanti</t>
        </is>
      </c>
      <c r="F977" s="3" t="inlineStr">
        <is>
          <t>Online</t>
        </is>
      </c>
      <c r="G977" s="3" t="inlineStr">
        <is>
          <t>Returning</t>
        </is>
      </c>
      <c r="H977" s="3" t="n">
        <v>1</v>
      </c>
      <c r="I977" s="3" t="n">
        <v>145</v>
      </c>
      <c r="J977" s="3" t="n">
        <v>77.67</v>
      </c>
      <c r="K977" s="3" t="n">
        <v>0.05</v>
      </c>
      <c r="L977" s="3" t="n">
        <v>15.14</v>
      </c>
    </row>
    <row r="978">
      <c r="A978" s="3" t="inlineStr">
        <is>
          <t>ORD-10977</t>
        </is>
      </c>
      <c r="B978" s="6" t="n">
        <v>45904</v>
      </c>
      <c r="C978" s="3" t="inlineStr">
        <is>
          <t>Home &amp; Lifestyle</t>
        </is>
      </c>
      <c r="D978" s="3" t="inlineStr">
        <is>
          <t>Small Home Goods</t>
        </is>
      </c>
      <c r="E978" s="3" t="inlineStr">
        <is>
          <t>Greater Accra</t>
        </is>
      </c>
      <c r="F978" s="3" t="inlineStr">
        <is>
          <t>Phone/WhatsApp</t>
        </is>
      </c>
      <c r="G978" s="3" t="inlineStr">
        <is>
          <t>Returning</t>
        </is>
      </c>
      <c r="H978" s="3" t="n">
        <v>3</v>
      </c>
      <c r="I978" s="3" t="n">
        <v>145</v>
      </c>
      <c r="J978" s="3" t="n">
        <v>77.14</v>
      </c>
      <c r="K978" s="3" t="n">
        <v>0</v>
      </c>
      <c r="L978" s="3" t="n">
        <v>28.55</v>
      </c>
    </row>
    <row r="979">
      <c r="A979" s="3" t="inlineStr">
        <is>
          <t>ORD-10978</t>
        </is>
      </c>
      <c r="B979" s="6" t="n">
        <v>45967</v>
      </c>
      <c r="C979" s="3" t="inlineStr">
        <is>
          <t>Clothing</t>
        </is>
      </c>
      <c r="D979" s="3" t="inlineStr">
        <is>
          <t>Jackets</t>
        </is>
      </c>
      <c r="E979" s="3" t="inlineStr">
        <is>
          <t>Greater Accra</t>
        </is>
      </c>
      <c r="F979" s="3" t="inlineStr">
        <is>
          <t>Retail Shop</t>
        </is>
      </c>
      <c r="G979" s="3" t="inlineStr">
        <is>
          <t>Returning</t>
        </is>
      </c>
      <c r="H979" s="3" t="n">
        <v>4</v>
      </c>
      <c r="I979" s="3" t="n">
        <v>160</v>
      </c>
      <c r="J979" s="3" t="n">
        <v>88.95999999999999</v>
      </c>
      <c r="K979" s="3" t="n">
        <v>0.1</v>
      </c>
      <c r="L979" s="3" t="n">
        <v>6.07</v>
      </c>
    </row>
    <row r="980">
      <c r="A980" s="3" t="inlineStr">
        <is>
          <t>ORD-10979</t>
        </is>
      </c>
      <c r="B980" s="6" t="n">
        <v>45915</v>
      </c>
      <c r="C980" s="3" t="inlineStr">
        <is>
          <t>Footwear</t>
        </is>
      </c>
      <c r="D980" s="3" t="inlineStr">
        <is>
          <t>Boots</t>
        </is>
      </c>
      <c r="E980" s="3" t="inlineStr">
        <is>
          <t>Northern</t>
        </is>
      </c>
      <c r="F980" s="3" t="inlineStr">
        <is>
          <t>Online</t>
        </is>
      </c>
      <c r="G980" s="3" t="inlineStr">
        <is>
          <t>New</t>
        </is>
      </c>
      <c r="H980" s="3" t="n">
        <v>1</v>
      </c>
      <c r="I980" s="3" t="n">
        <v>390</v>
      </c>
      <c r="J980" s="3" t="n">
        <v>210.99</v>
      </c>
      <c r="K980" s="3" t="n">
        <v>0</v>
      </c>
      <c r="L980" s="3" t="n">
        <v>12.24</v>
      </c>
    </row>
    <row r="981">
      <c r="A981" s="3" t="inlineStr">
        <is>
          <t>ORD-10980</t>
        </is>
      </c>
      <c r="B981" s="6" t="n">
        <v>45756</v>
      </c>
      <c r="C981" s="3" t="inlineStr">
        <is>
          <t>Clothing</t>
        </is>
      </c>
      <c r="D981" s="3" t="inlineStr">
        <is>
          <t>Dresses</t>
        </is>
      </c>
      <c r="E981" s="3" t="inlineStr">
        <is>
          <t>Ashanti</t>
        </is>
      </c>
      <c r="F981" s="3" t="inlineStr">
        <is>
          <t>Online</t>
        </is>
      </c>
      <c r="G981" s="3" t="inlineStr">
        <is>
          <t>Returning</t>
        </is>
      </c>
      <c r="H981" s="3" t="n">
        <v>10</v>
      </c>
      <c r="I981" s="3" t="n">
        <v>135</v>
      </c>
      <c r="J981" s="3" t="n">
        <v>64.33</v>
      </c>
      <c r="K981" s="3" t="n">
        <v>0.1</v>
      </c>
      <c r="L981" s="3" t="n">
        <v>17.47</v>
      </c>
    </row>
    <row r="982">
      <c r="A982" s="3" t="inlineStr">
        <is>
          <t>ORD-10981</t>
        </is>
      </c>
      <c r="B982" s="6" t="n">
        <v>45889</v>
      </c>
      <c r="C982" s="3" t="inlineStr">
        <is>
          <t>Footwear</t>
        </is>
      </c>
      <c r="D982" s="3" t="inlineStr">
        <is>
          <t>Sandals</t>
        </is>
      </c>
      <c r="E982" s="3" t="inlineStr">
        <is>
          <t>Central</t>
        </is>
      </c>
      <c r="F982" s="3" t="inlineStr">
        <is>
          <t>Online</t>
        </is>
      </c>
      <c r="G982" s="3" t="inlineStr">
        <is>
          <t>Returning</t>
        </is>
      </c>
      <c r="H982" s="3" t="n">
        <v>1</v>
      </c>
      <c r="I982" s="3" t="n">
        <v>230</v>
      </c>
      <c r="J982" s="3" t="n">
        <v>118.89</v>
      </c>
      <c r="K982" s="3" t="n">
        <v>0.1</v>
      </c>
      <c r="L982" s="3" t="n">
        <v>31.41</v>
      </c>
    </row>
    <row r="983">
      <c r="A983" s="3" t="inlineStr">
        <is>
          <t>ORD-10982</t>
        </is>
      </c>
      <c r="B983" s="6" t="n">
        <v>45921</v>
      </c>
      <c r="C983" s="3" t="inlineStr">
        <is>
          <t>Footwear</t>
        </is>
      </c>
      <c r="D983" s="3" t="inlineStr">
        <is>
          <t>Formal Shoes</t>
        </is>
      </c>
      <c r="E983" s="3" t="inlineStr">
        <is>
          <t>Ashanti</t>
        </is>
      </c>
      <c r="F983" s="3" t="inlineStr">
        <is>
          <t>Phone/WhatsApp</t>
        </is>
      </c>
      <c r="G983" s="3" t="inlineStr">
        <is>
          <t>New</t>
        </is>
      </c>
      <c r="H983" s="3" t="n">
        <v>1</v>
      </c>
      <c r="I983" s="3" t="n">
        <v>475</v>
      </c>
      <c r="J983" s="3" t="n">
        <v>275.71</v>
      </c>
      <c r="K983" s="3" t="n">
        <v>0.1</v>
      </c>
      <c r="L983" s="3" t="n">
        <v>19.51</v>
      </c>
    </row>
    <row r="984">
      <c r="A984" s="3" t="inlineStr">
        <is>
          <t>ORD-10983</t>
        </is>
      </c>
      <c r="B984" s="6" t="n">
        <v>45877</v>
      </c>
      <c r="C984" s="3" t="inlineStr">
        <is>
          <t>Accessories</t>
        </is>
      </c>
      <c r="D984" s="3" t="inlineStr">
        <is>
          <t>Bags</t>
        </is>
      </c>
      <c r="E984" s="3" t="inlineStr">
        <is>
          <t>Ashanti</t>
        </is>
      </c>
      <c r="F984" s="3" t="inlineStr">
        <is>
          <t>Phone/WhatsApp</t>
        </is>
      </c>
      <c r="G984" s="3" t="inlineStr">
        <is>
          <t>Returning</t>
        </is>
      </c>
      <c r="H984" s="3" t="n">
        <v>2</v>
      </c>
      <c r="I984" s="3" t="n">
        <v>75</v>
      </c>
      <c r="J984" s="3" t="n">
        <v>39.05</v>
      </c>
      <c r="K984" s="3" t="n">
        <v>0.1</v>
      </c>
      <c r="L984" s="3" t="n">
        <v>38.38</v>
      </c>
    </row>
    <row r="985">
      <c r="A985" s="3" t="inlineStr">
        <is>
          <t>ORD-10984</t>
        </is>
      </c>
      <c r="B985" s="6" t="n">
        <v>45763</v>
      </c>
      <c r="C985" s="3" t="inlineStr">
        <is>
          <t>Home &amp; Lifestyle</t>
        </is>
      </c>
      <c r="D985" s="3" t="inlineStr">
        <is>
          <t>Wallets</t>
        </is>
      </c>
      <c r="E985" s="3" t="inlineStr">
        <is>
          <t>Greater Accra</t>
        </is>
      </c>
      <c r="F985" s="3" t="inlineStr">
        <is>
          <t>Phone/WhatsApp</t>
        </is>
      </c>
      <c r="G985" s="3" t="inlineStr">
        <is>
          <t>New</t>
        </is>
      </c>
      <c r="H985" s="3" t="n">
        <v>3</v>
      </c>
      <c r="I985" s="3" t="n">
        <v>180</v>
      </c>
      <c r="J985" s="3" t="n">
        <v>108.13</v>
      </c>
      <c r="K985" s="3" t="n">
        <v>0.1</v>
      </c>
      <c r="L985" s="3" t="n">
        <v>15.19</v>
      </c>
    </row>
    <row r="986">
      <c r="A986" s="3" t="inlineStr">
        <is>
          <t>ORD-10985</t>
        </is>
      </c>
      <c r="B986" s="6" t="n">
        <v>45820</v>
      </c>
      <c r="C986" s="3" t="inlineStr">
        <is>
          <t>Footwear</t>
        </is>
      </c>
      <c r="D986" s="3" t="inlineStr">
        <is>
          <t>Formal Shoes</t>
        </is>
      </c>
      <c r="E986" s="3" t="inlineStr">
        <is>
          <t>Ashanti</t>
        </is>
      </c>
      <c r="F986" s="3" t="inlineStr">
        <is>
          <t>Online</t>
        </is>
      </c>
      <c r="G986" s="3" t="inlineStr">
        <is>
          <t>Returning</t>
        </is>
      </c>
      <c r="H986" s="3" t="n">
        <v>4</v>
      </c>
      <c r="I986" s="3" t="n">
        <v>270</v>
      </c>
      <c r="J986" s="3" t="n">
        <v>146.47</v>
      </c>
      <c r="K986" s="3" t="n">
        <v>0</v>
      </c>
      <c r="L986" s="3" t="n">
        <v>11.45</v>
      </c>
    </row>
    <row r="987">
      <c r="A987" s="3" t="inlineStr">
        <is>
          <t>ORD-10986</t>
        </is>
      </c>
      <c r="B987" s="6" t="n">
        <v>45805</v>
      </c>
      <c r="C987" s="3" t="inlineStr">
        <is>
          <t>Footwear</t>
        </is>
      </c>
      <c r="D987" s="3" t="inlineStr">
        <is>
          <t>Boots</t>
        </is>
      </c>
      <c r="E987" s="3" t="inlineStr">
        <is>
          <t>Northern</t>
        </is>
      </c>
      <c r="F987" s="3" t="inlineStr">
        <is>
          <t>Online</t>
        </is>
      </c>
      <c r="G987" s="3" t="inlineStr">
        <is>
          <t>New</t>
        </is>
      </c>
      <c r="H987" s="3" t="n">
        <v>1</v>
      </c>
      <c r="I987" s="3" t="n">
        <v>275</v>
      </c>
      <c r="J987" s="3" t="n">
        <v>173.43</v>
      </c>
      <c r="K987" s="3" t="n">
        <v>0</v>
      </c>
      <c r="L987" s="3" t="n">
        <v>39.27</v>
      </c>
    </row>
    <row r="988">
      <c r="A988" s="3" t="inlineStr">
        <is>
          <t>ORD-10987</t>
        </is>
      </c>
      <c r="B988" s="6" t="n">
        <v>45897</v>
      </c>
      <c r="C988" s="3" t="inlineStr">
        <is>
          <t>Footwear</t>
        </is>
      </c>
      <c r="D988" s="3" t="inlineStr">
        <is>
          <t>Boots</t>
        </is>
      </c>
      <c r="E988" s="3" t="inlineStr">
        <is>
          <t>Greater Accra</t>
        </is>
      </c>
      <c r="F988" s="3" t="inlineStr">
        <is>
          <t>Retail Shop</t>
        </is>
      </c>
      <c r="G988" s="3" t="inlineStr">
        <is>
          <t>New</t>
        </is>
      </c>
      <c r="H988" s="3" t="n">
        <v>1</v>
      </c>
      <c r="I988" s="3" t="n">
        <v>395</v>
      </c>
      <c r="J988" s="3" t="n">
        <v>218.43</v>
      </c>
      <c r="K988" s="3" t="n">
        <v>0.05</v>
      </c>
      <c r="L988" s="3" t="n">
        <v>9.109999999999999</v>
      </c>
    </row>
    <row r="989">
      <c r="A989" s="3" t="inlineStr">
        <is>
          <t>ORD-10988</t>
        </is>
      </c>
      <c r="B989" s="6" t="n">
        <v>45728</v>
      </c>
      <c r="C989" s="3" t="inlineStr">
        <is>
          <t>Footwear</t>
        </is>
      </c>
      <c r="D989" s="3" t="inlineStr">
        <is>
          <t>Boots</t>
        </is>
      </c>
      <c r="E989" s="3" t="inlineStr">
        <is>
          <t>Greater Accra</t>
        </is>
      </c>
      <c r="F989" s="3" t="inlineStr">
        <is>
          <t>Phone/WhatsApp</t>
        </is>
      </c>
      <c r="G989" s="3" t="inlineStr">
        <is>
          <t>Returning</t>
        </is>
      </c>
      <c r="H989" s="3" t="n">
        <v>3</v>
      </c>
      <c r="I989" s="3" t="n">
        <v>410</v>
      </c>
      <c r="J989" s="3" t="n">
        <v>216.92</v>
      </c>
      <c r="K989" s="3" t="n">
        <v>0</v>
      </c>
      <c r="L989" s="3" t="n">
        <v>23.04</v>
      </c>
    </row>
    <row r="990">
      <c r="A990" s="3" t="inlineStr">
        <is>
          <t>ORD-10989</t>
        </is>
      </c>
      <c r="B990" s="6" t="n">
        <v>45982</v>
      </c>
      <c r="C990" s="3" t="inlineStr">
        <is>
          <t>Clothing</t>
        </is>
      </c>
      <c r="D990" s="3" t="inlineStr">
        <is>
          <t>Trousers</t>
        </is>
      </c>
      <c r="E990" s="3" t="inlineStr">
        <is>
          <t>Ashanti</t>
        </is>
      </c>
      <c r="F990" s="3" t="inlineStr">
        <is>
          <t>Online</t>
        </is>
      </c>
      <c r="G990" s="3" t="inlineStr">
        <is>
          <t>Returning</t>
        </is>
      </c>
      <c r="H990" s="3" t="n">
        <v>2</v>
      </c>
      <c r="I990" s="3" t="n">
        <v>165</v>
      </c>
      <c r="J990" s="3" t="n">
        <v>88.86</v>
      </c>
      <c r="K990" s="3" t="n">
        <v>0.2</v>
      </c>
      <c r="L990" s="3" t="n">
        <v>23.86</v>
      </c>
    </row>
    <row r="991">
      <c r="A991" s="3" t="inlineStr">
        <is>
          <t>ORD-10990</t>
        </is>
      </c>
      <c r="B991" s="6" t="n">
        <v>45674</v>
      </c>
      <c r="C991" s="3" t="inlineStr">
        <is>
          <t>Home &amp; Lifestyle</t>
        </is>
      </c>
      <c r="D991" s="3" t="inlineStr">
        <is>
          <t>Travel Mugs</t>
        </is>
      </c>
      <c r="E991" s="3" t="inlineStr">
        <is>
          <t>Central</t>
        </is>
      </c>
      <c r="F991" s="3" t="inlineStr">
        <is>
          <t>Phone/WhatsApp</t>
        </is>
      </c>
      <c r="G991" s="3" t="inlineStr">
        <is>
          <t>New</t>
        </is>
      </c>
      <c r="H991" s="3" t="n">
        <v>4</v>
      </c>
      <c r="I991" s="3" t="n">
        <v>190</v>
      </c>
      <c r="J991" s="3" t="n">
        <v>114.67</v>
      </c>
      <c r="K991" s="3" t="n">
        <v>0.05</v>
      </c>
      <c r="L991" s="3" t="n">
        <v>33.08</v>
      </c>
    </row>
    <row r="992">
      <c r="A992" s="3" t="inlineStr">
        <is>
          <t>ORD-10991</t>
        </is>
      </c>
      <c r="B992" s="6" t="n">
        <v>45668</v>
      </c>
      <c r="C992" s="3" t="inlineStr">
        <is>
          <t>Clothing</t>
        </is>
      </c>
      <c r="D992" s="3" t="inlineStr">
        <is>
          <t>Dresses</t>
        </is>
      </c>
      <c r="E992" s="3" t="inlineStr">
        <is>
          <t>Western</t>
        </is>
      </c>
      <c r="F992" s="3" t="inlineStr">
        <is>
          <t>Online</t>
        </is>
      </c>
      <c r="G992" s="3" t="inlineStr">
        <is>
          <t>Returning</t>
        </is>
      </c>
      <c r="H992" s="3" t="n">
        <v>6</v>
      </c>
      <c r="I992" s="3" t="n">
        <v>85</v>
      </c>
      <c r="J992" s="3" t="n">
        <v>45.07</v>
      </c>
      <c r="K992" s="3" t="n">
        <v>0</v>
      </c>
      <c r="L992" s="3" t="n">
        <v>22.55</v>
      </c>
    </row>
    <row r="993">
      <c r="A993" s="3" t="inlineStr">
        <is>
          <t>ORD-10992</t>
        </is>
      </c>
      <c r="B993" s="6" t="n">
        <v>45776</v>
      </c>
      <c r="C993" s="3" t="inlineStr">
        <is>
          <t>Clothing</t>
        </is>
      </c>
      <c r="D993" s="3" t="inlineStr">
        <is>
          <t>Jackets</t>
        </is>
      </c>
      <c r="E993" s="3" t="inlineStr">
        <is>
          <t>Central</t>
        </is>
      </c>
      <c r="F993" s="3" t="inlineStr">
        <is>
          <t>Online</t>
        </is>
      </c>
      <c r="G993" s="3" t="inlineStr">
        <is>
          <t>Returning</t>
        </is>
      </c>
      <c r="H993" s="3" t="n">
        <v>4</v>
      </c>
      <c r="I993" s="3" t="n">
        <v>150</v>
      </c>
      <c r="J993" s="3" t="n">
        <v>80.95</v>
      </c>
      <c r="K993" s="3" t="n">
        <v>0.2</v>
      </c>
      <c r="L993" s="3" t="n">
        <v>29.66</v>
      </c>
    </row>
    <row r="994">
      <c r="A994" s="3" t="inlineStr">
        <is>
          <t>ORD-10993</t>
        </is>
      </c>
      <c r="B994" s="6" t="n">
        <v>45950</v>
      </c>
      <c r="C994" s="3" t="inlineStr">
        <is>
          <t>Footwear</t>
        </is>
      </c>
      <c r="D994" s="3" t="inlineStr">
        <is>
          <t>Boots</t>
        </is>
      </c>
      <c r="E994" s="3" t="inlineStr">
        <is>
          <t>Central</t>
        </is>
      </c>
      <c r="F994" s="3" t="inlineStr">
        <is>
          <t>Retail Shop</t>
        </is>
      </c>
      <c r="G994" s="3" t="inlineStr">
        <is>
          <t>New</t>
        </is>
      </c>
      <c r="H994" s="3" t="n">
        <v>1</v>
      </c>
      <c r="I994" s="3" t="n">
        <v>470</v>
      </c>
      <c r="J994" s="3" t="n">
        <v>269.23</v>
      </c>
      <c r="K994" s="3" t="n">
        <v>0.15</v>
      </c>
      <c r="L994" s="3" t="n">
        <v>0.62</v>
      </c>
    </row>
    <row r="995">
      <c r="A995" s="3" t="inlineStr">
        <is>
          <t>ORD-10994</t>
        </is>
      </c>
      <c r="B995" s="6" t="n">
        <v>45735</v>
      </c>
      <c r="C995" s="3" t="inlineStr">
        <is>
          <t>Home &amp; Lifestyle</t>
        </is>
      </c>
      <c r="D995" s="3" t="inlineStr">
        <is>
          <t>Backpacks</t>
        </is>
      </c>
      <c r="E995" s="3" t="inlineStr">
        <is>
          <t>Ashanti</t>
        </is>
      </c>
      <c r="F995" s="3" t="inlineStr">
        <is>
          <t>Online</t>
        </is>
      </c>
      <c r="G995" s="3" t="inlineStr">
        <is>
          <t>Returning</t>
        </is>
      </c>
      <c r="H995" s="3" t="n">
        <v>6</v>
      </c>
      <c r="I995" s="3" t="n">
        <v>130</v>
      </c>
      <c r="J995" s="3" t="n">
        <v>63.32</v>
      </c>
      <c r="K995" s="3" t="n">
        <v>0</v>
      </c>
      <c r="L995" s="3" t="n">
        <v>10.61</v>
      </c>
    </row>
    <row r="996">
      <c r="A996" s="3" t="inlineStr">
        <is>
          <t>ORD-10995</t>
        </is>
      </c>
      <c r="B996" s="6" t="n">
        <v>45832</v>
      </c>
      <c r="C996" s="3" t="inlineStr">
        <is>
          <t>Accessories</t>
        </is>
      </c>
      <c r="D996" s="3" t="inlineStr">
        <is>
          <t>Watches</t>
        </is>
      </c>
      <c r="E996" s="3" t="inlineStr">
        <is>
          <t>Central</t>
        </is>
      </c>
      <c r="F996" s="3" t="inlineStr">
        <is>
          <t>Retail Shop</t>
        </is>
      </c>
      <c r="G996" s="3" t="inlineStr">
        <is>
          <t>Returning</t>
        </is>
      </c>
      <c r="H996" s="3" t="n">
        <v>2</v>
      </c>
      <c r="I996" s="3" t="n">
        <v>120</v>
      </c>
      <c r="J996" s="3" t="n">
        <v>53.46</v>
      </c>
      <c r="K996" s="3" t="n">
        <v>0.05</v>
      </c>
      <c r="L996" s="3" t="n">
        <v>7.84</v>
      </c>
    </row>
    <row r="997">
      <c r="A997" s="3" t="inlineStr">
        <is>
          <t>ORD-10996</t>
        </is>
      </c>
      <c r="B997" s="6" t="n">
        <v>46006</v>
      </c>
      <c r="C997" s="3" t="inlineStr">
        <is>
          <t>Home &amp; Lifestyle</t>
        </is>
      </c>
      <c r="D997" s="3" t="inlineStr">
        <is>
          <t>Small Home Goods</t>
        </is>
      </c>
      <c r="E997" s="3" t="inlineStr">
        <is>
          <t>Greater Accra</t>
        </is>
      </c>
      <c r="F997" s="3" t="inlineStr">
        <is>
          <t>Phone/WhatsApp</t>
        </is>
      </c>
      <c r="G997" s="3" t="inlineStr">
        <is>
          <t>Returning</t>
        </is>
      </c>
      <c r="H997" s="3" t="n">
        <v>5</v>
      </c>
      <c r="I997" s="3" t="n">
        <v>185</v>
      </c>
      <c r="J997" s="3" t="n">
        <v>94.22</v>
      </c>
      <c r="K997" s="3" t="n">
        <v>0</v>
      </c>
      <c r="L997" s="3" t="n">
        <v>43.38</v>
      </c>
    </row>
    <row r="998">
      <c r="A998" s="3" t="inlineStr">
        <is>
          <t>ORD-10997</t>
        </is>
      </c>
      <c r="B998" s="6" t="n">
        <v>45912</v>
      </c>
      <c r="C998" s="3" t="inlineStr">
        <is>
          <t>Home &amp; Lifestyle</t>
        </is>
      </c>
      <c r="D998" s="3" t="inlineStr">
        <is>
          <t>Travel Mugs</t>
        </is>
      </c>
      <c r="E998" s="3" t="inlineStr">
        <is>
          <t>Central</t>
        </is>
      </c>
      <c r="F998" s="3" t="inlineStr">
        <is>
          <t>Retail Shop</t>
        </is>
      </c>
      <c r="G998" s="3" t="inlineStr">
        <is>
          <t>New</t>
        </is>
      </c>
      <c r="H998" s="3" t="n">
        <v>4</v>
      </c>
      <c r="I998" s="3" t="n">
        <v>95</v>
      </c>
      <c r="J998" s="3" t="n">
        <v>46.9</v>
      </c>
      <c r="K998" s="3" t="n">
        <v>0</v>
      </c>
      <c r="L998" s="3" t="n">
        <v>2.36</v>
      </c>
    </row>
    <row r="999">
      <c r="A999" s="3" t="inlineStr">
        <is>
          <t>ORD-10998</t>
        </is>
      </c>
      <c r="B999" s="6" t="n">
        <v>45860</v>
      </c>
      <c r="C999" s="3" t="inlineStr">
        <is>
          <t>Home &amp; Lifestyle</t>
        </is>
      </c>
      <c r="D999" s="3" t="inlineStr">
        <is>
          <t>Wallets</t>
        </is>
      </c>
      <c r="E999" s="3" t="inlineStr">
        <is>
          <t>Ashanti</t>
        </is>
      </c>
      <c r="F999" s="3" t="inlineStr">
        <is>
          <t>Phone/WhatsApp</t>
        </is>
      </c>
      <c r="G999" s="3" t="inlineStr">
        <is>
          <t>Returning</t>
        </is>
      </c>
      <c r="H999" s="3" t="n">
        <v>1</v>
      </c>
      <c r="I999" s="3" t="n">
        <v>280</v>
      </c>
      <c r="J999" s="3" t="n">
        <v>165.1</v>
      </c>
      <c r="K999" s="3" t="n">
        <v>0.2</v>
      </c>
      <c r="L999" s="3" t="n">
        <v>22.42</v>
      </c>
    </row>
    <row r="1000">
      <c r="A1000" s="3" t="inlineStr">
        <is>
          <t>ORD-10999</t>
        </is>
      </c>
      <c r="B1000" s="6" t="n">
        <v>45920</v>
      </c>
      <c r="C1000" s="3" t="inlineStr">
        <is>
          <t>Footwear</t>
        </is>
      </c>
      <c r="D1000" s="3" t="inlineStr">
        <is>
          <t>Sandals</t>
        </is>
      </c>
      <c r="E1000" s="3" t="inlineStr">
        <is>
          <t>Western</t>
        </is>
      </c>
      <c r="F1000" s="3" t="inlineStr">
        <is>
          <t>Retail Shop</t>
        </is>
      </c>
      <c r="G1000" s="3" t="inlineStr">
        <is>
          <t>Returning</t>
        </is>
      </c>
      <c r="H1000" s="3" t="n">
        <v>4</v>
      </c>
      <c r="I1000" s="3" t="n">
        <v>280</v>
      </c>
      <c r="J1000" s="3" t="n">
        <v>154.33</v>
      </c>
      <c r="K1000" s="3" t="n">
        <v>0</v>
      </c>
      <c r="L1000" s="3" t="n">
        <v>10.5</v>
      </c>
    </row>
    <row r="1001">
      <c r="A1001" s="3" t="inlineStr">
        <is>
          <t>ORD-11000</t>
        </is>
      </c>
      <c r="B1001" s="6" t="n">
        <v>45961</v>
      </c>
      <c r="C1001" s="3" t="inlineStr">
        <is>
          <t>Footwear</t>
        </is>
      </c>
      <c r="D1001" s="3" t="inlineStr">
        <is>
          <t>Sneakers</t>
        </is>
      </c>
      <c r="E1001" s="3" t="inlineStr">
        <is>
          <t>Ashanti</t>
        </is>
      </c>
      <c r="F1001" s="3" t="inlineStr">
        <is>
          <t>Retail Shop</t>
        </is>
      </c>
      <c r="G1001" s="3" t="inlineStr">
        <is>
          <t>Returning</t>
        </is>
      </c>
      <c r="H1001" s="3" t="n">
        <v>3</v>
      </c>
      <c r="I1001" s="3" t="n">
        <v>370</v>
      </c>
      <c r="J1001" s="3" t="n">
        <v>190.22</v>
      </c>
      <c r="K1001" s="3" t="n">
        <v>0</v>
      </c>
      <c r="L1001" s="3" t="n">
        <v>7.87</v>
      </c>
    </row>
    <row r="1002">
      <c r="A1002" s="3" t="inlineStr">
        <is>
          <t>ORD-11001</t>
        </is>
      </c>
      <c r="B1002" s="6" t="n">
        <v>45983</v>
      </c>
      <c r="C1002" s="3" t="inlineStr">
        <is>
          <t>Clothing</t>
        </is>
      </c>
      <c r="D1002" s="3" t="inlineStr">
        <is>
          <t>Jackets</t>
        </is>
      </c>
      <c r="E1002" s="3" t="inlineStr">
        <is>
          <t>Northern</t>
        </is>
      </c>
      <c r="F1002" s="3" t="inlineStr">
        <is>
          <t>Online</t>
        </is>
      </c>
      <c r="G1002" s="3" t="inlineStr">
        <is>
          <t>Returning</t>
        </is>
      </c>
      <c r="H1002" s="3" t="n">
        <v>1</v>
      </c>
      <c r="I1002" s="3" t="n">
        <v>280</v>
      </c>
      <c r="J1002" s="3" t="n">
        <v>132.72</v>
      </c>
      <c r="K1002" s="3" t="n">
        <v>0.1</v>
      </c>
      <c r="L1002" s="3" t="n">
        <v>17.89</v>
      </c>
    </row>
    <row r="1003">
      <c r="A1003" s="3" t="inlineStr">
        <is>
          <t>ORD-11002</t>
        </is>
      </c>
      <c r="B1003" s="6" t="n">
        <v>45711</v>
      </c>
      <c r="C1003" s="3" t="inlineStr">
        <is>
          <t>Accessories</t>
        </is>
      </c>
      <c r="D1003" s="3" t="inlineStr">
        <is>
          <t>Bags</t>
        </is>
      </c>
      <c r="E1003" s="3" t="inlineStr">
        <is>
          <t>Central</t>
        </is>
      </c>
      <c r="F1003" s="3" t="inlineStr">
        <is>
          <t>Retail Shop</t>
        </is>
      </c>
      <c r="G1003" s="3" t="inlineStr">
        <is>
          <t>New</t>
        </is>
      </c>
      <c r="H1003" s="3" t="n">
        <v>1</v>
      </c>
      <c r="I1003" s="3" t="n">
        <v>105</v>
      </c>
      <c r="J1003" s="3" t="n">
        <v>54.2</v>
      </c>
      <c r="K1003" s="3" t="n">
        <v>0.1</v>
      </c>
      <c r="L1003" s="3" t="n">
        <v>6.17</v>
      </c>
    </row>
    <row r="1004">
      <c r="A1004" s="3" t="inlineStr">
        <is>
          <t>ORD-11003</t>
        </is>
      </c>
      <c r="B1004" s="6" t="n">
        <v>45674</v>
      </c>
      <c r="C1004" s="3" t="inlineStr">
        <is>
          <t>Clothing</t>
        </is>
      </c>
      <c r="D1004" s="3" t="inlineStr">
        <is>
          <t>Trousers</t>
        </is>
      </c>
      <c r="E1004" s="3" t="inlineStr">
        <is>
          <t>Ashanti</t>
        </is>
      </c>
      <c r="F1004" s="3" t="inlineStr">
        <is>
          <t>Online</t>
        </is>
      </c>
      <c r="G1004" s="3" t="inlineStr">
        <is>
          <t>Returning</t>
        </is>
      </c>
      <c r="H1004" s="3" t="n">
        <v>1</v>
      </c>
      <c r="I1004" s="3" t="n">
        <v>95</v>
      </c>
      <c r="J1004" s="3" t="n">
        <v>53.86</v>
      </c>
      <c r="K1004" s="3" t="n">
        <v>0.05</v>
      </c>
      <c r="L1004" s="3" t="n">
        <v>42.34</v>
      </c>
    </row>
    <row r="1005">
      <c r="A1005" s="3" t="inlineStr">
        <is>
          <t>ORD-11004</t>
        </is>
      </c>
      <c r="B1005" s="6" t="n">
        <v>45848</v>
      </c>
      <c r="C1005" s="3" t="inlineStr">
        <is>
          <t>Clothing</t>
        </is>
      </c>
      <c r="D1005" s="3" t="inlineStr">
        <is>
          <t>Shirts</t>
        </is>
      </c>
      <c r="E1005" s="3" t="inlineStr">
        <is>
          <t>Western</t>
        </is>
      </c>
      <c r="F1005" s="3" t="inlineStr">
        <is>
          <t>Retail Shop</t>
        </is>
      </c>
      <c r="G1005" s="3" t="inlineStr">
        <is>
          <t>Returning</t>
        </is>
      </c>
      <c r="H1005" s="3" t="n">
        <v>4</v>
      </c>
      <c r="I1005" s="3" t="n">
        <v>75</v>
      </c>
      <c r="J1005" s="3" t="n">
        <v>41.33</v>
      </c>
      <c r="K1005" s="3" t="n">
        <v>0.1</v>
      </c>
      <c r="L1005" s="3" t="n">
        <v>0.39</v>
      </c>
    </row>
    <row r="1006">
      <c r="A1006" s="3" t="inlineStr">
        <is>
          <t>ORD-11005</t>
        </is>
      </c>
      <c r="B1006" s="6" t="n">
        <v>45861</v>
      </c>
      <c r="C1006" s="3" t="inlineStr">
        <is>
          <t>Accessories</t>
        </is>
      </c>
      <c r="D1006" s="3" t="inlineStr">
        <is>
          <t>Bags</t>
        </is>
      </c>
      <c r="E1006" s="3" t="inlineStr">
        <is>
          <t>Greater Accra</t>
        </is>
      </c>
      <c r="F1006" s="3" t="inlineStr">
        <is>
          <t>Retail Shop</t>
        </is>
      </c>
      <c r="G1006" s="3" t="inlineStr">
        <is>
          <t>Returning</t>
        </is>
      </c>
      <c r="H1006" s="3" t="n">
        <v>3</v>
      </c>
      <c r="I1006" s="3" t="n">
        <v>70</v>
      </c>
      <c r="J1006" s="3" t="n">
        <v>33.28</v>
      </c>
      <c r="K1006" s="3" t="n">
        <v>0.1</v>
      </c>
      <c r="L1006" s="3" t="n">
        <v>0.41</v>
      </c>
    </row>
    <row r="1007">
      <c r="A1007" s="3" t="inlineStr">
        <is>
          <t>ORD-11006</t>
        </is>
      </c>
      <c r="B1007" s="6" t="n">
        <v>45746</v>
      </c>
      <c r="C1007" s="3" t="inlineStr">
        <is>
          <t>Clothing</t>
        </is>
      </c>
      <c r="D1007" s="3" t="inlineStr">
        <is>
          <t>Trousers</t>
        </is>
      </c>
      <c r="E1007" s="3" t="inlineStr">
        <is>
          <t>Central</t>
        </is>
      </c>
      <c r="F1007" s="3" t="inlineStr">
        <is>
          <t>Online</t>
        </is>
      </c>
      <c r="G1007" s="3" t="inlineStr">
        <is>
          <t>New</t>
        </is>
      </c>
      <c r="H1007" s="3" t="n">
        <v>1</v>
      </c>
      <c r="I1007" s="3" t="n">
        <v>150</v>
      </c>
      <c r="J1007" s="3" t="n">
        <v>75.67</v>
      </c>
      <c r="K1007" s="3" t="n">
        <v>0</v>
      </c>
      <c r="L1007" s="3" t="n">
        <v>26.4</v>
      </c>
    </row>
    <row r="1008">
      <c r="A1008" s="3" t="inlineStr">
        <is>
          <t>ORD-11007</t>
        </is>
      </c>
      <c r="B1008" s="6" t="n">
        <v>45672</v>
      </c>
      <c r="C1008" s="3" t="inlineStr">
        <is>
          <t>Footwear</t>
        </is>
      </c>
      <c r="D1008" s="3" t="inlineStr">
        <is>
          <t>Boots</t>
        </is>
      </c>
      <c r="E1008" s="3" t="inlineStr">
        <is>
          <t>Central</t>
        </is>
      </c>
      <c r="F1008" s="3" t="inlineStr">
        <is>
          <t>Retail Shop</t>
        </is>
      </c>
      <c r="G1008" s="3" t="inlineStr">
        <is>
          <t>Returning</t>
        </is>
      </c>
      <c r="H1008" s="3" t="n">
        <v>1</v>
      </c>
      <c r="I1008" s="3" t="n">
        <v>210</v>
      </c>
      <c r="J1008" s="3" t="n">
        <v>121.52</v>
      </c>
      <c r="K1008" s="3" t="n">
        <v>0.15</v>
      </c>
      <c r="L1008" s="3" t="n">
        <v>0.57</v>
      </c>
    </row>
    <row r="1009">
      <c r="A1009" s="3" t="inlineStr">
        <is>
          <t>ORD-11008</t>
        </is>
      </c>
      <c r="B1009" s="6" t="n">
        <v>45998</v>
      </c>
      <c r="C1009" s="3" t="inlineStr">
        <is>
          <t>Clothing</t>
        </is>
      </c>
      <c r="D1009" s="3" t="inlineStr">
        <is>
          <t>Jackets</t>
        </is>
      </c>
      <c r="E1009" s="3" t="inlineStr">
        <is>
          <t>Greater Accra</t>
        </is>
      </c>
      <c r="F1009" s="3" t="inlineStr">
        <is>
          <t>Online</t>
        </is>
      </c>
      <c r="G1009" s="3" t="inlineStr">
        <is>
          <t>Returning</t>
        </is>
      </c>
      <c r="H1009" s="3" t="n">
        <v>1</v>
      </c>
      <c r="I1009" s="3" t="n">
        <v>125</v>
      </c>
      <c r="J1009" s="3" t="n">
        <v>68.05</v>
      </c>
      <c r="K1009" s="3" t="n">
        <v>0</v>
      </c>
      <c r="L1009" s="3" t="n">
        <v>36.69</v>
      </c>
    </row>
    <row r="1010">
      <c r="A1010" s="3" t="inlineStr">
        <is>
          <t>ORD-11009</t>
        </is>
      </c>
      <c r="B1010" s="6" t="n">
        <v>45869</v>
      </c>
      <c r="C1010" s="3" t="inlineStr">
        <is>
          <t>Clothing</t>
        </is>
      </c>
      <c r="D1010" s="3" t="inlineStr">
        <is>
          <t>Jackets</t>
        </is>
      </c>
      <c r="E1010" s="3" t="inlineStr">
        <is>
          <t>Greater Accra</t>
        </is>
      </c>
      <c r="F1010" s="3" t="inlineStr">
        <is>
          <t>Online</t>
        </is>
      </c>
      <c r="G1010" s="3" t="inlineStr">
        <is>
          <t>Returning</t>
        </is>
      </c>
      <c r="H1010" s="3" t="n">
        <v>3</v>
      </c>
      <c r="I1010" s="3" t="n">
        <v>195</v>
      </c>
      <c r="J1010" s="3" t="n">
        <v>102.61</v>
      </c>
      <c r="K1010" s="3" t="n">
        <v>0.05</v>
      </c>
      <c r="L1010" s="3" t="n">
        <v>44.92</v>
      </c>
    </row>
    <row r="1011">
      <c r="A1011" s="3" t="inlineStr">
        <is>
          <t>ORD-11010</t>
        </is>
      </c>
      <c r="B1011" s="6" t="n">
        <v>45979</v>
      </c>
      <c r="C1011" s="3" t="inlineStr">
        <is>
          <t>Clothing</t>
        </is>
      </c>
      <c r="D1011" s="3" t="inlineStr">
        <is>
          <t>Jackets</t>
        </is>
      </c>
      <c r="E1011" s="3" t="inlineStr">
        <is>
          <t>Western</t>
        </is>
      </c>
      <c r="F1011" s="3" t="inlineStr">
        <is>
          <t>Retail Shop</t>
        </is>
      </c>
      <c r="G1011" s="3" t="inlineStr">
        <is>
          <t>New</t>
        </is>
      </c>
      <c r="H1011" s="3" t="n">
        <v>1</v>
      </c>
      <c r="I1011" s="3" t="n">
        <v>220</v>
      </c>
      <c r="J1011" s="3" t="n">
        <v>110.98</v>
      </c>
      <c r="K1011" s="3" t="n">
        <v>0.05</v>
      </c>
      <c r="L1011" s="3" t="n">
        <v>2.08</v>
      </c>
    </row>
    <row r="1012">
      <c r="A1012" s="3" t="inlineStr">
        <is>
          <t>ORD-11011</t>
        </is>
      </c>
      <c r="B1012" s="6" t="n">
        <v>45810</v>
      </c>
      <c r="C1012" s="3" t="inlineStr">
        <is>
          <t>Clothing</t>
        </is>
      </c>
      <c r="D1012" s="3" t="inlineStr">
        <is>
          <t>Shirts</t>
        </is>
      </c>
      <c r="E1012" s="3" t="inlineStr">
        <is>
          <t>Central</t>
        </is>
      </c>
      <c r="F1012" s="3" t="inlineStr">
        <is>
          <t>Phone/WhatsApp</t>
        </is>
      </c>
      <c r="G1012" s="3" t="inlineStr">
        <is>
          <t>New</t>
        </is>
      </c>
      <c r="H1012" s="3" t="n">
        <v>1</v>
      </c>
      <c r="I1012" s="3" t="n">
        <v>255</v>
      </c>
      <c r="J1012" s="3" t="n">
        <v>145</v>
      </c>
      <c r="K1012" s="3" t="n">
        <v>0.1</v>
      </c>
      <c r="L1012" s="3" t="n">
        <v>32.62</v>
      </c>
    </row>
    <row r="1013">
      <c r="A1013" s="3" t="inlineStr">
        <is>
          <t>ORD-11012</t>
        </is>
      </c>
      <c r="B1013" s="6" t="n">
        <v>45956</v>
      </c>
      <c r="C1013" s="3" t="inlineStr">
        <is>
          <t>Footwear</t>
        </is>
      </c>
      <c r="D1013" s="3" t="inlineStr">
        <is>
          <t>Formal Shoes</t>
        </is>
      </c>
      <c r="E1013" s="3" t="inlineStr">
        <is>
          <t>Greater Accra</t>
        </is>
      </c>
      <c r="F1013" s="3" t="inlineStr">
        <is>
          <t>Retail Shop</t>
        </is>
      </c>
      <c r="G1013" s="3" t="inlineStr">
        <is>
          <t>Returning</t>
        </is>
      </c>
      <c r="H1013" s="3" t="n">
        <v>5</v>
      </c>
      <c r="I1013" s="3" t="n">
        <v>270</v>
      </c>
      <c r="J1013" s="3" t="n">
        <v>139.12</v>
      </c>
      <c r="K1013" s="3" t="n">
        <v>0</v>
      </c>
      <c r="L1013" s="3" t="n">
        <v>10.03</v>
      </c>
    </row>
    <row r="1014">
      <c r="A1014" s="3" t="inlineStr">
        <is>
          <t>ORD-11013</t>
        </is>
      </c>
      <c r="B1014" s="6" t="n">
        <v>45769</v>
      </c>
      <c r="C1014" s="3" t="inlineStr">
        <is>
          <t>Home &amp; Lifestyle</t>
        </is>
      </c>
      <c r="D1014" s="3" t="inlineStr">
        <is>
          <t>Backpacks</t>
        </is>
      </c>
      <c r="E1014" s="3" t="inlineStr">
        <is>
          <t>Central</t>
        </is>
      </c>
      <c r="F1014" s="3" t="inlineStr">
        <is>
          <t>Online</t>
        </is>
      </c>
      <c r="G1014" s="3" t="inlineStr">
        <is>
          <t>Returning</t>
        </is>
      </c>
      <c r="H1014" s="3" t="n">
        <v>2</v>
      </c>
      <c r="I1014" s="3" t="n">
        <v>175</v>
      </c>
      <c r="J1014" s="3" t="n">
        <v>107.74</v>
      </c>
      <c r="K1014" s="3" t="n">
        <v>0.05</v>
      </c>
      <c r="L1014" s="3" t="n">
        <v>29.53</v>
      </c>
    </row>
    <row r="1015">
      <c r="A1015" s="3" t="inlineStr">
        <is>
          <t>ORD-11014</t>
        </is>
      </c>
      <c r="B1015" s="6" t="n">
        <v>45674</v>
      </c>
      <c r="C1015" s="3" t="inlineStr">
        <is>
          <t>Clothing</t>
        </is>
      </c>
      <c r="D1015" s="3" t="inlineStr">
        <is>
          <t>Jackets</t>
        </is>
      </c>
      <c r="E1015" s="3" t="inlineStr">
        <is>
          <t>Ashanti</t>
        </is>
      </c>
      <c r="F1015" s="3" t="inlineStr">
        <is>
          <t>Retail Shop</t>
        </is>
      </c>
      <c r="G1015" s="3" t="inlineStr">
        <is>
          <t>New</t>
        </is>
      </c>
      <c r="H1015" s="3" t="n">
        <v>3</v>
      </c>
      <c r="I1015" s="3" t="n">
        <v>175</v>
      </c>
      <c r="J1015" s="3" t="n">
        <v>98.47</v>
      </c>
      <c r="K1015" s="3" t="n">
        <v>0</v>
      </c>
      <c r="L1015" s="3" t="n">
        <v>10.54</v>
      </c>
    </row>
    <row r="1016">
      <c r="A1016" s="3" t="inlineStr">
        <is>
          <t>ORD-11015</t>
        </is>
      </c>
      <c r="B1016" s="6" t="n">
        <v>45871</v>
      </c>
      <c r="C1016" s="3" t="inlineStr">
        <is>
          <t>Clothing</t>
        </is>
      </c>
      <c r="D1016" s="3" t="inlineStr">
        <is>
          <t>Jackets</t>
        </is>
      </c>
      <c r="E1016" s="3" t="inlineStr">
        <is>
          <t>Western</t>
        </is>
      </c>
      <c r="F1016" s="3" t="inlineStr">
        <is>
          <t>Online</t>
        </is>
      </c>
      <c r="G1016" s="3" t="inlineStr">
        <is>
          <t>Returning</t>
        </is>
      </c>
      <c r="H1016" s="3" t="n">
        <v>1</v>
      </c>
      <c r="I1016" s="3" t="n">
        <v>105</v>
      </c>
      <c r="J1016" s="3" t="n">
        <v>49.52</v>
      </c>
      <c r="K1016" s="3" t="n">
        <v>0.05</v>
      </c>
      <c r="L1016" s="3" t="n">
        <v>19.83</v>
      </c>
    </row>
    <row r="1017">
      <c r="A1017" s="3" t="inlineStr">
        <is>
          <t>ORD-11016</t>
        </is>
      </c>
      <c r="B1017" s="6" t="n">
        <v>45855</v>
      </c>
      <c r="C1017" s="3" t="inlineStr">
        <is>
          <t>Clothing</t>
        </is>
      </c>
      <c r="D1017" s="3" t="inlineStr">
        <is>
          <t>Jackets</t>
        </is>
      </c>
      <c r="E1017" s="3" t="inlineStr">
        <is>
          <t>Ashanti</t>
        </is>
      </c>
      <c r="F1017" s="3" t="inlineStr">
        <is>
          <t>Online</t>
        </is>
      </c>
      <c r="G1017" s="3" t="inlineStr">
        <is>
          <t>Returning</t>
        </is>
      </c>
      <c r="H1017" s="3" t="n">
        <v>1</v>
      </c>
      <c r="I1017" s="3" t="n">
        <v>165</v>
      </c>
      <c r="J1017" s="3" t="n">
        <v>90.98999999999999</v>
      </c>
      <c r="K1017" s="3" t="n">
        <v>0.05</v>
      </c>
      <c r="L1017" s="3" t="n">
        <v>13.39</v>
      </c>
    </row>
    <row r="1018">
      <c r="A1018" s="3" t="inlineStr">
        <is>
          <t>ORD-11017</t>
        </is>
      </c>
      <c r="B1018" s="6" t="n">
        <v>45695</v>
      </c>
      <c r="C1018" s="3" t="inlineStr">
        <is>
          <t>Home &amp; Lifestyle</t>
        </is>
      </c>
      <c r="D1018" s="3" t="inlineStr">
        <is>
          <t>Backpacks</t>
        </is>
      </c>
      <c r="E1018" s="3" t="inlineStr">
        <is>
          <t>Western</t>
        </is>
      </c>
      <c r="F1018" s="3" t="inlineStr">
        <is>
          <t>Retail Shop</t>
        </is>
      </c>
      <c r="G1018" s="3" t="inlineStr">
        <is>
          <t>New</t>
        </is>
      </c>
      <c r="H1018" s="3" t="n">
        <v>1</v>
      </c>
      <c r="I1018" s="3" t="n">
        <v>195</v>
      </c>
      <c r="J1018" s="3" t="n">
        <v>99.14</v>
      </c>
      <c r="K1018" s="3" t="n">
        <v>0.15</v>
      </c>
      <c r="L1018" s="3" t="n">
        <v>6.44</v>
      </c>
    </row>
    <row r="1019">
      <c r="A1019" s="3" t="inlineStr">
        <is>
          <t>ORD-11018</t>
        </is>
      </c>
      <c r="B1019" s="6" t="n">
        <v>45947</v>
      </c>
      <c r="C1019" s="3" t="inlineStr">
        <is>
          <t>Accessories</t>
        </is>
      </c>
      <c r="D1019" s="3" t="inlineStr">
        <is>
          <t>Watches</t>
        </is>
      </c>
      <c r="E1019" s="3" t="inlineStr">
        <is>
          <t>Western</t>
        </is>
      </c>
      <c r="F1019" s="3" t="inlineStr">
        <is>
          <t>Retail Shop</t>
        </is>
      </c>
      <c r="G1019" s="3" t="inlineStr">
        <is>
          <t>New</t>
        </is>
      </c>
      <c r="H1019" s="3" t="n">
        <v>5</v>
      </c>
      <c r="I1019" s="3" t="n">
        <v>195</v>
      </c>
      <c r="J1019" s="3" t="n">
        <v>84.8</v>
      </c>
      <c r="K1019" s="3" t="n">
        <v>0</v>
      </c>
      <c r="L1019" s="3" t="n">
        <v>7.11</v>
      </c>
    </row>
    <row r="1020">
      <c r="A1020" s="3" t="inlineStr">
        <is>
          <t>ORD-11019</t>
        </is>
      </c>
      <c r="B1020" s="6" t="n">
        <v>45789</v>
      </c>
      <c r="C1020" s="3" t="inlineStr">
        <is>
          <t>Home &amp; Lifestyle</t>
        </is>
      </c>
      <c r="D1020" s="3" t="inlineStr">
        <is>
          <t>Backpacks</t>
        </is>
      </c>
      <c r="E1020" s="3" t="inlineStr">
        <is>
          <t>Central</t>
        </is>
      </c>
      <c r="F1020" s="3" t="inlineStr">
        <is>
          <t>Online</t>
        </is>
      </c>
      <c r="G1020" s="3" t="inlineStr">
        <is>
          <t>New</t>
        </is>
      </c>
      <c r="H1020" s="3" t="n">
        <v>2</v>
      </c>
      <c r="I1020" s="3" t="n">
        <v>105</v>
      </c>
      <c r="J1020" s="3" t="n">
        <v>52.07</v>
      </c>
      <c r="K1020" s="3" t="n">
        <v>0.1</v>
      </c>
      <c r="L1020" s="3" t="n">
        <v>39.44</v>
      </c>
    </row>
    <row r="1021">
      <c r="A1021" s="3" t="inlineStr">
        <is>
          <t>ORD-11020</t>
        </is>
      </c>
      <c r="B1021" s="6" t="n">
        <v>46022</v>
      </c>
      <c r="C1021" s="3" t="inlineStr">
        <is>
          <t>Home &amp; Lifestyle</t>
        </is>
      </c>
      <c r="D1021" s="3" t="inlineStr">
        <is>
          <t>Travel Mugs</t>
        </is>
      </c>
      <c r="E1021" s="3" t="inlineStr">
        <is>
          <t>Ashanti</t>
        </is>
      </c>
      <c r="F1021" s="3" t="inlineStr">
        <is>
          <t>Retail Shop</t>
        </is>
      </c>
      <c r="G1021" s="3" t="inlineStr">
        <is>
          <t>Returning</t>
        </is>
      </c>
      <c r="H1021" s="3" t="n">
        <v>3</v>
      </c>
      <c r="I1021" s="3" t="n">
        <v>65</v>
      </c>
      <c r="J1021" s="3" t="n">
        <v>32.07</v>
      </c>
      <c r="K1021" s="3" t="n">
        <v>0.2</v>
      </c>
      <c r="L1021" s="3" t="n">
        <v>8.84</v>
      </c>
    </row>
    <row r="1022">
      <c r="A1022" s="3" t="inlineStr">
        <is>
          <t>ORD-11021</t>
        </is>
      </c>
      <c r="B1022" s="6" t="n">
        <v>45803</v>
      </c>
      <c r="C1022" s="3" t="inlineStr">
        <is>
          <t>Clothing</t>
        </is>
      </c>
      <c r="D1022" s="3" t="inlineStr">
        <is>
          <t>Jackets</t>
        </is>
      </c>
      <c r="E1022" s="3" t="inlineStr">
        <is>
          <t>Ashanti</t>
        </is>
      </c>
      <c r="F1022" s="3" t="inlineStr">
        <is>
          <t>Retail Shop</t>
        </is>
      </c>
      <c r="G1022" s="3" t="inlineStr">
        <is>
          <t>New</t>
        </is>
      </c>
      <c r="H1022" s="3" t="n">
        <v>1</v>
      </c>
      <c r="I1022" s="3" t="n">
        <v>135</v>
      </c>
      <c r="J1022" s="3" t="n">
        <v>65.13</v>
      </c>
      <c r="K1022" s="3" t="n">
        <v>0.1</v>
      </c>
      <c r="L1022" s="3" t="n">
        <v>5.11</v>
      </c>
    </row>
    <row r="1023">
      <c r="A1023" s="3" t="inlineStr">
        <is>
          <t>ORD-11022</t>
        </is>
      </c>
      <c r="B1023" s="6" t="n">
        <v>45837</v>
      </c>
      <c r="C1023" s="3" t="inlineStr">
        <is>
          <t>Clothing</t>
        </is>
      </c>
      <c r="D1023" s="3" t="inlineStr">
        <is>
          <t>Trousers</t>
        </is>
      </c>
      <c r="E1023" s="3" t="inlineStr">
        <is>
          <t>Greater Accra</t>
        </is>
      </c>
      <c r="F1023" s="3" t="inlineStr">
        <is>
          <t>Phone/WhatsApp</t>
        </is>
      </c>
      <c r="G1023" s="3" t="inlineStr">
        <is>
          <t>New</t>
        </is>
      </c>
      <c r="H1023" s="3" t="n">
        <v>2</v>
      </c>
      <c r="I1023" s="3" t="n">
        <v>150</v>
      </c>
      <c r="J1023" s="3" t="n">
        <v>79.20999999999999</v>
      </c>
      <c r="K1023" s="3" t="n">
        <v>0</v>
      </c>
      <c r="L1023" s="3" t="n">
        <v>25.05</v>
      </c>
    </row>
    <row r="1024">
      <c r="A1024" s="3" t="inlineStr">
        <is>
          <t>ORD-11023</t>
        </is>
      </c>
      <c r="B1024" s="6" t="n">
        <v>45711</v>
      </c>
      <c r="C1024" s="3" t="inlineStr">
        <is>
          <t>Footwear</t>
        </is>
      </c>
      <c r="D1024" s="3" t="inlineStr">
        <is>
          <t>Boots</t>
        </is>
      </c>
      <c r="E1024" s="3" t="inlineStr">
        <is>
          <t>Central</t>
        </is>
      </c>
      <c r="F1024" s="3" t="inlineStr">
        <is>
          <t>Online</t>
        </is>
      </c>
      <c r="G1024" s="3" t="inlineStr">
        <is>
          <t>New</t>
        </is>
      </c>
      <c r="H1024" s="3" t="n">
        <v>1</v>
      </c>
      <c r="I1024" s="3" t="n">
        <v>430</v>
      </c>
      <c r="J1024" s="3" t="n">
        <v>273.09</v>
      </c>
      <c r="K1024" s="3" t="n">
        <v>0.05</v>
      </c>
      <c r="L1024" s="3" t="n">
        <v>22.6</v>
      </c>
    </row>
    <row r="1025">
      <c r="A1025" s="3" t="inlineStr">
        <is>
          <t>ORD-11024</t>
        </is>
      </c>
      <c r="B1025" s="6" t="n">
        <v>45740</v>
      </c>
      <c r="C1025" s="3" t="inlineStr">
        <is>
          <t>Clothing</t>
        </is>
      </c>
      <c r="D1025" s="3" t="inlineStr">
        <is>
          <t>Shirts</t>
        </is>
      </c>
      <c r="E1025" s="3" t="inlineStr">
        <is>
          <t>Greater Accra</t>
        </is>
      </c>
      <c r="F1025" s="3" t="inlineStr">
        <is>
          <t>Phone/WhatsApp</t>
        </is>
      </c>
      <c r="G1025" s="3" t="inlineStr">
        <is>
          <t>Returning</t>
        </is>
      </c>
      <c r="H1025" s="3" t="n">
        <v>1</v>
      </c>
      <c r="I1025" s="3" t="n">
        <v>185</v>
      </c>
      <c r="J1025" s="3" t="n">
        <v>99.98999999999999</v>
      </c>
      <c r="K1025" s="3" t="n">
        <v>0.15</v>
      </c>
      <c r="L1025" s="3" t="n">
        <v>13.27</v>
      </c>
    </row>
    <row r="1026">
      <c r="A1026" s="3" t="inlineStr">
        <is>
          <t>ORD-11025</t>
        </is>
      </c>
      <c r="B1026" s="6" t="n">
        <v>45975</v>
      </c>
      <c r="C1026" s="3" t="inlineStr">
        <is>
          <t>Footwear</t>
        </is>
      </c>
      <c r="D1026" s="3" t="inlineStr">
        <is>
          <t>Sandals</t>
        </is>
      </c>
      <c r="E1026" s="3" t="inlineStr">
        <is>
          <t>Western</t>
        </is>
      </c>
      <c r="F1026" s="3" t="inlineStr">
        <is>
          <t>Online</t>
        </is>
      </c>
      <c r="G1026" s="3" t="inlineStr">
        <is>
          <t>New</t>
        </is>
      </c>
      <c r="H1026" s="3" t="n">
        <v>5</v>
      </c>
      <c r="I1026" s="3" t="n">
        <v>245</v>
      </c>
      <c r="J1026" s="3" t="n">
        <v>142.68</v>
      </c>
      <c r="K1026" s="3" t="n">
        <v>0.15</v>
      </c>
      <c r="L1026" s="3" t="n">
        <v>9.789999999999999</v>
      </c>
    </row>
    <row r="1027">
      <c r="A1027" s="3" t="inlineStr">
        <is>
          <t>ORD-11026</t>
        </is>
      </c>
      <c r="B1027" s="6" t="n">
        <v>45776</v>
      </c>
      <c r="C1027" s="3" t="inlineStr">
        <is>
          <t>Clothing</t>
        </is>
      </c>
      <c r="D1027" s="3" t="inlineStr">
        <is>
          <t>Dresses</t>
        </is>
      </c>
      <c r="E1027" s="3" t="inlineStr">
        <is>
          <t>Northern</t>
        </is>
      </c>
      <c r="F1027" s="3" t="inlineStr">
        <is>
          <t>Phone/WhatsApp</t>
        </is>
      </c>
      <c r="G1027" s="3" t="inlineStr">
        <is>
          <t>New</t>
        </is>
      </c>
      <c r="H1027" s="3" t="n">
        <v>3</v>
      </c>
      <c r="I1027" s="3" t="n">
        <v>270</v>
      </c>
      <c r="J1027" s="3" t="n">
        <v>152.21</v>
      </c>
      <c r="K1027" s="3" t="n">
        <v>0</v>
      </c>
      <c r="L1027" s="3" t="n">
        <v>40.37</v>
      </c>
    </row>
    <row r="1028">
      <c r="A1028" s="3" t="inlineStr">
        <is>
          <t>ORD-11027</t>
        </is>
      </c>
      <c r="B1028" s="6" t="n">
        <v>45970</v>
      </c>
      <c r="C1028" s="3" t="inlineStr">
        <is>
          <t>Accessories</t>
        </is>
      </c>
      <c r="D1028" s="3" t="inlineStr">
        <is>
          <t>Bags</t>
        </is>
      </c>
      <c r="E1028" s="3" t="inlineStr">
        <is>
          <t>Greater Accra</t>
        </is>
      </c>
      <c r="F1028" s="3" t="inlineStr">
        <is>
          <t>Online</t>
        </is>
      </c>
      <c r="G1028" s="3" t="inlineStr">
        <is>
          <t>Returning</t>
        </is>
      </c>
      <c r="H1028" s="3" t="n">
        <v>3</v>
      </c>
      <c r="I1028" s="3" t="n">
        <v>60</v>
      </c>
      <c r="J1028" s="3" t="n">
        <v>27.12</v>
      </c>
      <c r="K1028" s="3" t="n">
        <v>0.15</v>
      </c>
      <c r="L1028" s="3" t="n">
        <v>37.69</v>
      </c>
    </row>
    <row r="1029">
      <c r="A1029" s="3" t="inlineStr">
        <is>
          <t>ORD-11028</t>
        </is>
      </c>
      <c r="B1029" s="6" t="n">
        <v>46020</v>
      </c>
      <c r="C1029" s="3" t="inlineStr">
        <is>
          <t>Clothing</t>
        </is>
      </c>
      <c r="D1029" s="3" t="inlineStr">
        <is>
          <t>Jackets</t>
        </is>
      </c>
      <c r="E1029" s="3" t="inlineStr">
        <is>
          <t>Greater Accra</t>
        </is>
      </c>
      <c r="F1029" s="3" t="inlineStr">
        <is>
          <t>Online</t>
        </is>
      </c>
      <c r="G1029" s="3" t="inlineStr">
        <is>
          <t>Returning</t>
        </is>
      </c>
      <c r="H1029" s="3" t="n">
        <v>10</v>
      </c>
      <c r="I1029" s="3" t="n">
        <v>105</v>
      </c>
      <c r="J1029" s="3" t="n">
        <v>57.13</v>
      </c>
      <c r="K1029" s="3" t="n">
        <v>0.05</v>
      </c>
      <c r="L1029" s="3" t="n">
        <v>11.92</v>
      </c>
    </row>
    <row r="1030">
      <c r="A1030" s="3" t="inlineStr">
        <is>
          <t>ORD-11029</t>
        </is>
      </c>
      <c r="B1030" s="6" t="n">
        <v>45750</v>
      </c>
      <c r="C1030" s="3" t="inlineStr">
        <is>
          <t>Footwear</t>
        </is>
      </c>
      <c r="D1030" s="3" t="inlineStr">
        <is>
          <t>Sandals</t>
        </is>
      </c>
      <c r="E1030" s="3" t="inlineStr">
        <is>
          <t>Ashanti</t>
        </is>
      </c>
      <c r="F1030" s="3" t="inlineStr">
        <is>
          <t>Online</t>
        </is>
      </c>
      <c r="G1030" s="3" t="inlineStr">
        <is>
          <t>Returning</t>
        </is>
      </c>
      <c r="H1030" s="3" t="n">
        <v>1</v>
      </c>
      <c r="I1030" s="3" t="n">
        <v>85</v>
      </c>
      <c r="J1030" s="3" t="n">
        <v>49.29</v>
      </c>
      <c r="K1030" s="3" t="n">
        <v>0.15</v>
      </c>
      <c r="L1030" s="3" t="n">
        <v>14.98</v>
      </c>
    </row>
    <row r="1031">
      <c r="A1031" s="3" t="inlineStr">
        <is>
          <t>ORD-11030</t>
        </is>
      </c>
      <c r="B1031" s="6" t="n">
        <v>45776</v>
      </c>
      <c r="C1031" s="3" t="inlineStr">
        <is>
          <t>Clothing</t>
        </is>
      </c>
      <c r="D1031" s="3" t="inlineStr">
        <is>
          <t>Shirts</t>
        </is>
      </c>
      <c r="E1031" s="3" t="inlineStr">
        <is>
          <t>Greater Accra</t>
        </is>
      </c>
      <c r="F1031" s="3" t="inlineStr">
        <is>
          <t>Retail Shop</t>
        </is>
      </c>
      <c r="G1031" s="3" t="inlineStr">
        <is>
          <t>Returning</t>
        </is>
      </c>
      <c r="H1031" s="3" t="n">
        <v>1</v>
      </c>
      <c r="I1031" s="3" t="n">
        <v>175</v>
      </c>
      <c r="J1031" s="3" t="n">
        <v>81.62</v>
      </c>
      <c r="K1031" s="3" t="n">
        <v>0.1</v>
      </c>
      <c r="L1031" s="3" t="n">
        <v>6.71</v>
      </c>
    </row>
    <row r="1032">
      <c r="A1032" s="3" t="inlineStr">
        <is>
          <t>ORD-11031</t>
        </is>
      </c>
      <c r="B1032" s="6" t="n">
        <v>45801</v>
      </c>
      <c r="C1032" s="3" t="inlineStr">
        <is>
          <t>Clothing</t>
        </is>
      </c>
      <c r="D1032" s="3" t="inlineStr">
        <is>
          <t>Shirts</t>
        </is>
      </c>
      <c r="E1032" s="3" t="inlineStr">
        <is>
          <t>Greater Accra</t>
        </is>
      </c>
      <c r="F1032" s="3" t="inlineStr">
        <is>
          <t>Retail Shop</t>
        </is>
      </c>
      <c r="G1032" s="3" t="inlineStr">
        <is>
          <t>Returning</t>
        </is>
      </c>
      <c r="H1032" s="3" t="n">
        <v>2</v>
      </c>
      <c r="I1032" s="3" t="n">
        <v>115</v>
      </c>
      <c r="J1032" s="3" t="n">
        <v>56.04</v>
      </c>
      <c r="K1032" s="3" t="n">
        <v>0</v>
      </c>
      <c r="L1032" s="3" t="n">
        <v>2.44</v>
      </c>
    </row>
    <row r="1033">
      <c r="A1033" s="3" t="inlineStr">
        <is>
          <t>ORD-11032</t>
        </is>
      </c>
      <c r="B1033" s="6" t="n">
        <v>46002</v>
      </c>
      <c r="C1033" s="3" t="inlineStr">
        <is>
          <t>Footwear</t>
        </is>
      </c>
      <c r="D1033" s="3" t="inlineStr">
        <is>
          <t>Formal Shoes</t>
        </is>
      </c>
      <c r="E1033" s="3" t="inlineStr">
        <is>
          <t>Greater Accra</t>
        </is>
      </c>
      <c r="F1033" s="3" t="inlineStr">
        <is>
          <t>Retail Shop</t>
        </is>
      </c>
      <c r="G1033" s="3" t="inlineStr">
        <is>
          <t>Returning</t>
        </is>
      </c>
      <c r="H1033" s="3" t="n">
        <v>8</v>
      </c>
      <c r="I1033" s="3" t="n">
        <v>470</v>
      </c>
      <c r="J1033" s="3" t="n">
        <v>262.48</v>
      </c>
      <c r="K1033" s="3" t="n">
        <v>0.15</v>
      </c>
      <c r="L1033" s="3" t="n">
        <v>7.74</v>
      </c>
    </row>
    <row r="1034">
      <c r="A1034" s="3" t="inlineStr">
        <is>
          <t>ORD-11033</t>
        </is>
      </c>
      <c r="B1034" s="6" t="n">
        <v>45950</v>
      </c>
      <c r="C1034" s="3" t="inlineStr">
        <is>
          <t>Clothing</t>
        </is>
      </c>
      <c r="D1034" s="3" t="inlineStr">
        <is>
          <t>Shirts</t>
        </is>
      </c>
      <c r="E1034" s="3" t="inlineStr">
        <is>
          <t>Greater Accra</t>
        </is>
      </c>
      <c r="F1034" s="3" t="inlineStr">
        <is>
          <t>Phone/WhatsApp</t>
        </is>
      </c>
      <c r="G1034" s="3" t="inlineStr">
        <is>
          <t>Returning</t>
        </is>
      </c>
      <c r="H1034" s="3" t="n">
        <v>3</v>
      </c>
      <c r="I1034" s="3" t="n">
        <v>210</v>
      </c>
      <c r="J1034" s="3" t="n">
        <v>103.05</v>
      </c>
      <c r="K1034" s="3" t="n">
        <v>0.2</v>
      </c>
      <c r="L1034" s="3" t="n">
        <v>18.17</v>
      </c>
    </row>
    <row r="1035">
      <c r="A1035" s="3" t="inlineStr">
        <is>
          <t>ORD-11034</t>
        </is>
      </c>
      <c r="B1035" s="6" t="n">
        <v>45877</v>
      </c>
      <c r="C1035" s="3" t="inlineStr">
        <is>
          <t>Footwear</t>
        </is>
      </c>
      <c r="D1035" s="3" t="inlineStr">
        <is>
          <t>Sandals</t>
        </is>
      </c>
      <c r="E1035" s="3" t="inlineStr">
        <is>
          <t>Greater Accra</t>
        </is>
      </c>
      <c r="F1035" s="3" t="inlineStr">
        <is>
          <t>Phone/WhatsApp</t>
        </is>
      </c>
      <c r="G1035" s="3" t="inlineStr">
        <is>
          <t>Returning</t>
        </is>
      </c>
      <c r="H1035" s="3" t="n">
        <v>3</v>
      </c>
      <c r="I1035" s="3" t="n">
        <v>355</v>
      </c>
      <c r="J1035" s="3" t="n">
        <v>200.78</v>
      </c>
      <c r="K1035" s="3" t="n">
        <v>0.1</v>
      </c>
      <c r="L1035" s="3" t="n">
        <v>9.69</v>
      </c>
    </row>
    <row r="1036">
      <c r="A1036" s="3" t="inlineStr">
        <is>
          <t>ORD-11035</t>
        </is>
      </c>
      <c r="B1036" s="6" t="n">
        <v>45928</v>
      </c>
      <c r="C1036" s="3" t="inlineStr">
        <is>
          <t>Accessories</t>
        </is>
      </c>
      <c r="D1036" s="3" t="inlineStr">
        <is>
          <t>Sunglasses</t>
        </is>
      </c>
      <c r="E1036" s="3" t="inlineStr">
        <is>
          <t>Greater Accra</t>
        </is>
      </c>
      <c r="F1036" s="3" t="inlineStr">
        <is>
          <t>Retail Shop</t>
        </is>
      </c>
      <c r="G1036" s="3" t="inlineStr">
        <is>
          <t>New</t>
        </is>
      </c>
      <c r="H1036" s="3" t="n">
        <v>1</v>
      </c>
      <c r="I1036" s="3" t="n">
        <v>70</v>
      </c>
      <c r="J1036" s="3" t="n">
        <v>34.88</v>
      </c>
      <c r="K1036" s="3" t="n">
        <v>0</v>
      </c>
      <c r="L1036" s="3" t="n">
        <v>6.66</v>
      </c>
    </row>
    <row r="1037">
      <c r="A1037" s="3" t="inlineStr">
        <is>
          <t>ORD-11036</t>
        </is>
      </c>
      <c r="B1037" s="6" t="n">
        <v>45800</v>
      </c>
      <c r="C1037" s="3" t="inlineStr">
        <is>
          <t>Footwear</t>
        </is>
      </c>
      <c r="D1037" s="3" t="inlineStr">
        <is>
          <t>Boots</t>
        </is>
      </c>
      <c r="E1037" s="3" t="inlineStr">
        <is>
          <t>Greater Accra</t>
        </is>
      </c>
      <c r="F1037" s="3" t="inlineStr">
        <is>
          <t>Retail Shop</t>
        </is>
      </c>
      <c r="G1037" s="3" t="inlineStr">
        <is>
          <t>Returning</t>
        </is>
      </c>
      <c r="H1037" s="3" t="n">
        <v>2</v>
      </c>
      <c r="I1037" s="3" t="n">
        <v>245</v>
      </c>
      <c r="J1037" s="3" t="n">
        <v>134.33</v>
      </c>
      <c r="K1037" s="3" t="n">
        <v>0</v>
      </c>
      <c r="L1037" s="3" t="n">
        <v>0.83</v>
      </c>
    </row>
    <row r="1038">
      <c r="A1038" s="3" t="inlineStr">
        <is>
          <t>ORD-11037</t>
        </is>
      </c>
      <c r="B1038" s="6" t="n">
        <v>45838</v>
      </c>
      <c r="C1038" s="3" t="inlineStr">
        <is>
          <t>Home &amp; Lifestyle</t>
        </is>
      </c>
      <c r="D1038" s="3" t="inlineStr">
        <is>
          <t>Travel Mugs</t>
        </is>
      </c>
      <c r="E1038" s="3" t="inlineStr">
        <is>
          <t>Ashanti</t>
        </is>
      </c>
      <c r="F1038" s="3" t="inlineStr">
        <is>
          <t>Online</t>
        </is>
      </c>
      <c r="G1038" s="3" t="inlineStr">
        <is>
          <t>Returning</t>
        </is>
      </c>
      <c r="H1038" s="3" t="n">
        <v>1</v>
      </c>
      <c r="I1038" s="3" t="n">
        <v>85</v>
      </c>
      <c r="J1038" s="3" t="n">
        <v>46.07</v>
      </c>
      <c r="K1038" s="3" t="n">
        <v>0.1</v>
      </c>
      <c r="L1038" s="3" t="n">
        <v>39.49</v>
      </c>
    </row>
    <row r="1039">
      <c r="A1039" s="3" t="inlineStr">
        <is>
          <t>ORD-11038</t>
        </is>
      </c>
      <c r="B1039" s="6" t="n">
        <v>45728</v>
      </c>
      <c r="C1039" s="3" t="inlineStr">
        <is>
          <t>Accessories</t>
        </is>
      </c>
      <c r="D1039" s="3" t="inlineStr">
        <is>
          <t>Bags</t>
        </is>
      </c>
      <c r="E1039" s="3" t="inlineStr">
        <is>
          <t>Greater Accra</t>
        </is>
      </c>
      <c r="F1039" s="3" t="inlineStr">
        <is>
          <t>Retail Shop</t>
        </is>
      </c>
      <c r="G1039" s="3" t="inlineStr">
        <is>
          <t>New</t>
        </is>
      </c>
      <c r="H1039" s="3" t="n">
        <v>1</v>
      </c>
      <c r="I1039" s="3" t="n">
        <v>100</v>
      </c>
      <c r="J1039" s="3" t="n">
        <v>51.55</v>
      </c>
      <c r="K1039" s="3" t="n">
        <v>0</v>
      </c>
      <c r="L1039" s="3" t="n">
        <v>3.7</v>
      </c>
    </row>
    <row r="1040">
      <c r="A1040" s="3" t="inlineStr">
        <is>
          <t>ORD-11039</t>
        </is>
      </c>
      <c r="B1040" s="6" t="n">
        <v>45761</v>
      </c>
      <c r="C1040" s="3" t="inlineStr">
        <is>
          <t>Footwear</t>
        </is>
      </c>
      <c r="D1040" s="3" t="inlineStr">
        <is>
          <t>Sandals</t>
        </is>
      </c>
      <c r="E1040" s="3" t="inlineStr">
        <is>
          <t>Greater Accra</t>
        </is>
      </c>
      <c r="F1040" s="3" t="inlineStr">
        <is>
          <t>Retail Shop</t>
        </is>
      </c>
      <c r="G1040" s="3" t="inlineStr">
        <is>
          <t>Returning</t>
        </is>
      </c>
      <c r="H1040" s="3" t="n">
        <v>3</v>
      </c>
      <c r="I1040" s="3" t="n">
        <v>325</v>
      </c>
      <c r="J1040" s="3" t="n">
        <v>169.61</v>
      </c>
      <c r="K1040" s="3" t="n">
        <v>0.15</v>
      </c>
      <c r="L1040" s="3" t="n">
        <v>8.17</v>
      </c>
    </row>
    <row r="1041">
      <c r="A1041" s="3" t="inlineStr">
        <is>
          <t>ORD-11040</t>
        </is>
      </c>
      <c r="B1041" s="6" t="n">
        <v>45854</v>
      </c>
      <c r="C1041" s="3" t="inlineStr">
        <is>
          <t>Home &amp; Lifestyle</t>
        </is>
      </c>
      <c r="D1041" s="3" t="inlineStr">
        <is>
          <t>Small Home Goods</t>
        </is>
      </c>
      <c r="E1041" s="3" t="inlineStr">
        <is>
          <t>Central</t>
        </is>
      </c>
      <c r="F1041" s="3" t="inlineStr">
        <is>
          <t>Phone/WhatsApp</t>
        </is>
      </c>
      <c r="G1041" s="3" t="inlineStr">
        <is>
          <t>New</t>
        </is>
      </c>
      <c r="H1041" s="3" t="n">
        <v>1</v>
      </c>
      <c r="I1041" s="3" t="n">
        <v>125</v>
      </c>
      <c r="J1041" s="3" t="n">
        <v>69.56</v>
      </c>
      <c r="K1041" s="3" t="n">
        <v>0.2</v>
      </c>
      <c r="L1041" s="3" t="n">
        <v>8.09</v>
      </c>
    </row>
    <row r="1042">
      <c r="A1042" s="3" t="inlineStr">
        <is>
          <t>ORD-11041</t>
        </is>
      </c>
      <c r="B1042" s="6" t="n">
        <v>45888</v>
      </c>
      <c r="C1042" s="3" t="inlineStr">
        <is>
          <t>Accessories</t>
        </is>
      </c>
      <c r="D1042" s="3" t="inlineStr">
        <is>
          <t>Bags</t>
        </is>
      </c>
      <c r="E1042" s="3" t="inlineStr">
        <is>
          <t>Greater Accra</t>
        </is>
      </c>
      <c r="F1042" s="3" t="inlineStr">
        <is>
          <t>Retail Shop</t>
        </is>
      </c>
      <c r="G1042" s="3" t="inlineStr">
        <is>
          <t>Returning</t>
        </is>
      </c>
      <c r="H1042" s="3" t="n">
        <v>2</v>
      </c>
      <c r="I1042" s="3" t="n">
        <v>75</v>
      </c>
      <c r="J1042" s="3" t="n">
        <v>33.91</v>
      </c>
      <c r="K1042" s="3" t="n">
        <v>0</v>
      </c>
      <c r="L1042" s="3" t="n">
        <v>3.14</v>
      </c>
    </row>
    <row r="1043">
      <c r="A1043" s="3" t="inlineStr">
        <is>
          <t>ORD-11042</t>
        </is>
      </c>
      <c r="B1043" s="6" t="n">
        <v>45977</v>
      </c>
      <c r="C1043" s="3" t="inlineStr">
        <is>
          <t>Footwear</t>
        </is>
      </c>
      <c r="D1043" s="3" t="inlineStr">
        <is>
          <t>Formal Shoes</t>
        </is>
      </c>
      <c r="E1043" s="3" t="inlineStr">
        <is>
          <t>Greater Accra</t>
        </is>
      </c>
      <c r="F1043" s="3" t="inlineStr">
        <is>
          <t>Retail Shop</t>
        </is>
      </c>
      <c r="G1043" s="3" t="inlineStr">
        <is>
          <t>New</t>
        </is>
      </c>
      <c r="H1043" s="3" t="n">
        <v>6</v>
      </c>
      <c r="I1043" s="3" t="n">
        <v>260</v>
      </c>
      <c r="J1043" s="3" t="n">
        <v>130.71</v>
      </c>
      <c r="K1043" s="3" t="n">
        <v>0.1</v>
      </c>
      <c r="L1043" s="3" t="n">
        <v>9.630000000000001</v>
      </c>
    </row>
    <row r="1044">
      <c r="A1044" s="3" t="inlineStr">
        <is>
          <t>ORD-11043</t>
        </is>
      </c>
      <c r="B1044" s="6" t="n">
        <v>45686</v>
      </c>
      <c r="C1044" s="3" t="inlineStr">
        <is>
          <t>Footwear</t>
        </is>
      </c>
      <c r="D1044" s="3" t="inlineStr">
        <is>
          <t>Sandals</t>
        </is>
      </c>
      <c r="E1044" s="3" t="inlineStr">
        <is>
          <t>Greater Accra</t>
        </is>
      </c>
      <c r="F1044" s="3" t="inlineStr">
        <is>
          <t>Online</t>
        </is>
      </c>
      <c r="G1044" s="3" t="inlineStr">
        <is>
          <t>Returning</t>
        </is>
      </c>
      <c r="H1044" s="3" t="n">
        <v>3</v>
      </c>
      <c r="I1044" s="3" t="n">
        <v>160</v>
      </c>
      <c r="J1044" s="3" t="n">
        <v>100</v>
      </c>
      <c r="K1044" s="3" t="n">
        <v>0</v>
      </c>
      <c r="L1044" s="3" t="n">
        <v>19.57</v>
      </c>
    </row>
    <row r="1045">
      <c r="A1045" s="3" t="inlineStr">
        <is>
          <t>ORD-11044</t>
        </is>
      </c>
      <c r="B1045" s="6" t="n">
        <v>45734</v>
      </c>
      <c r="C1045" s="3" t="inlineStr">
        <is>
          <t>Accessories</t>
        </is>
      </c>
      <c r="D1045" s="3" t="inlineStr">
        <is>
          <t>Belts</t>
        </is>
      </c>
      <c r="E1045" s="3" t="inlineStr">
        <is>
          <t>Northern</t>
        </is>
      </c>
      <c r="F1045" s="3" t="inlineStr">
        <is>
          <t>Online</t>
        </is>
      </c>
      <c r="G1045" s="3" t="inlineStr">
        <is>
          <t>Returning</t>
        </is>
      </c>
      <c r="H1045" s="3" t="n">
        <v>8</v>
      </c>
      <c r="I1045" s="3" t="n">
        <v>65</v>
      </c>
      <c r="J1045" s="3" t="n">
        <v>30.86</v>
      </c>
      <c r="K1045" s="3" t="n">
        <v>0.2</v>
      </c>
      <c r="L1045" s="3" t="n">
        <v>13.12</v>
      </c>
    </row>
    <row r="1046">
      <c r="A1046" s="3" t="inlineStr">
        <is>
          <t>ORD-11045</t>
        </is>
      </c>
      <c r="B1046" s="6" t="n">
        <v>45854</v>
      </c>
      <c r="C1046" s="3" t="inlineStr">
        <is>
          <t>Clothing</t>
        </is>
      </c>
      <c r="D1046" s="3" t="inlineStr">
        <is>
          <t>Shirts</t>
        </is>
      </c>
      <c r="E1046" s="3" t="inlineStr">
        <is>
          <t>Greater Accra</t>
        </is>
      </c>
      <c r="F1046" s="3" t="inlineStr">
        <is>
          <t>Retail Shop</t>
        </is>
      </c>
      <c r="G1046" s="3" t="inlineStr">
        <is>
          <t>Returning</t>
        </is>
      </c>
      <c r="H1046" s="3" t="n">
        <v>8</v>
      </c>
      <c r="I1046" s="3" t="n">
        <v>90</v>
      </c>
      <c r="J1046" s="3" t="n">
        <v>41.82</v>
      </c>
      <c r="K1046" s="3" t="n">
        <v>0</v>
      </c>
      <c r="L1046" s="3" t="n">
        <v>8.07</v>
      </c>
    </row>
    <row r="1047">
      <c r="A1047" s="3" t="inlineStr">
        <is>
          <t>ORD-11046</t>
        </is>
      </c>
      <c r="B1047" s="6" t="n">
        <v>45746</v>
      </c>
      <c r="C1047" s="3" t="inlineStr">
        <is>
          <t>Footwear</t>
        </is>
      </c>
      <c r="D1047" s="3" t="inlineStr">
        <is>
          <t>Sandals</t>
        </is>
      </c>
      <c r="E1047" s="3" t="inlineStr">
        <is>
          <t>Greater Accra</t>
        </is>
      </c>
      <c r="F1047" s="3" t="inlineStr">
        <is>
          <t>Retail Shop</t>
        </is>
      </c>
      <c r="G1047" s="3" t="inlineStr">
        <is>
          <t>Returning</t>
        </is>
      </c>
      <c r="H1047" s="3" t="n">
        <v>1</v>
      </c>
      <c r="I1047" s="3" t="n">
        <v>240</v>
      </c>
      <c r="J1047" s="3" t="n">
        <v>128.94</v>
      </c>
      <c r="K1047" s="3" t="n">
        <v>0</v>
      </c>
      <c r="L1047" s="3" t="n">
        <v>0.46</v>
      </c>
    </row>
    <row r="1048">
      <c r="A1048" s="3" t="inlineStr">
        <is>
          <t>ORD-11047</t>
        </is>
      </c>
      <c r="B1048" s="6" t="n">
        <v>45866</v>
      </c>
      <c r="C1048" s="3" t="inlineStr">
        <is>
          <t>Clothing</t>
        </is>
      </c>
      <c r="D1048" s="3" t="inlineStr">
        <is>
          <t>Trousers</t>
        </is>
      </c>
      <c r="E1048" s="3" t="inlineStr">
        <is>
          <t>Greater Accra</t>
        </is>
      </c>
      <c r="F1048" s="3" t="inlineStr">
        <is>
          <t>Retail Shop</t>
        </is>
      </c>
      <c r="G1048" s="3" t="inlineStr">
        <is>
          <t>Returning</t>
        </is>
      </c>
      <c r="H1048" s="3" t="n">
        <v>2</v>
      </c>
      <c r="I1048" s="3" t="n">
        <v>85</v>
      </c>
      <c r="J1048" s="3" t="n">
        <v>45.45</v>
      </c>
      <c r="K1048" s="3" t="n">
        <v>0</v>
      </c>
      <c r="L1048" s="3" t="n">
        <v>7.75</v>
      </c>
    </row>
    <row r="1049">
      <c r="A1049" s="3" t="inlineStr">
        <is>
          <t>ORD-11048</t>
        </is>
      </c>
      <c r="B1049" s="6" t="n">
        <v>45768</v>
      </c>
      <c r="C1049" s="3" t="inlineStr">
        <is>
          <t>Home &amp; Lifestyle</t>
        </is>
      </c>
      <c r="D1049" s="3" t="inlineStr">
        <is>
          <t>Backpacks</t>
        </is>
      </c>
      <c r="E1049" s="3" t="inlineStr">
        <is>
          <t>Greater Accra</t>
        </is>
      </c>
      <c r="F1049" s="3" t="inlineStr">
        <is>
          <t>Online</t>
        </is>
      </c>
      <c r="G1049" s="3" t="inlineStr">
        <is>
          <t>Returning</t>
        </is>
      </c>
      <c r="H1049" s="3" t="n">
        <v>2</v>
      </c>
      <c r="I1049" s="3" t="n">
        <v>110</v>
      </c>
      <c r="J1049" s="3" t="n">
        <v>63.79</v>
      </c>
      <c r="K1049" s="3" t="n">
        <v>0</v>
      </c>
      <c r="L1049" s="3" t="n">
        <v>10.5</v>
      </c>
    </row>
    <row r="1050">
      <c r="A1050" s="3" t="inlineStr">
        <is>
          <t>ORD-11049</t>
        </is>
      </c>
      <c r="B1050" s="6" t="n">
        <v>45673</v>
      </c>
      <c r="C1050" s="3" t="inlineStr">
        <is>
          <t>Footwear</t>
        </is>
      </c>
      <c r="D1050" s="3" t="inlineStr">
        <is>
          <t>Sneakers</t>
        </is>
      </c>
      <c r="E1050" s="3" t="inlineStr">
        <is>
          <t>Ashanti</t>
        </is>
      </c>
      <c r="F1050" s="3" t="inlineStr">
        <is>
          <t>Phone/WhatsApp</t>
        </is>
      </c>
      <c r="G1050" s="3" t="inlineStr">
        <is>
          <t>Returning</t>
        </is>
      </c>
      <c r="H1050" s="3" t="n">
        <v>3</v>
      </c>
      <c r="I1050" s="3" t="n">
        <v>225</v>
      </c>
      <c r="J1050" s="3" t="n">
        <v>121.78</v>
      </c>
      <c r="K1050" s="3" t="n">
        <v>0</v>
      </c>
      <c r="L1050" s="3" t="n">
        <v>38.73</v>
      </c>
    </row>
    <row r="1051">
      <c r="A1051" s="3" t="inlineStr">
        <is>
          <t>ORD-11050</t>
        </is>
      </c>
      <c r="B1051" s="6" t="n">
        <v>45732</v>
      </c>
      <c r="C1051" s="3" t="inlineStr">
        <is>
          <t>Footwear</t>
        </is>
      </c>
      <c r="D1051" s="3" t="inlineStr">
        <is>
          <t>Sandals</t>
        </is>
      </c>
      <c r="E1051" s="3" t="inlineStr">
        <is>
          <t>Greater Accra</t>
        </is>
      </c>
      <c r="F1051" s="3" t="inlineStr">
        <is>
          <t>Phone/WhatsApp</t>
        </is>
      </c>
      <c r="G1051" s="3" t="inlineStr">
        <is>
          <t>Returning</t>
        </is>
      </c>
      <c r="H1051" s="3" t="n">
        <v>3</v>
      </c>
      <c r="I1051" s="3" t="n">
        <v>430</v>
      </c>
      <c r="J1051" s="3" t="n">
        <v>257.71</v>
      </c>
      <c r="K1051" s="3" t="n">
        <v>0</v>
      </c>
      <c r="L1051" s="3" t="n">
        <v>21.11</v>
      </c>
    </row>
    <row r="1052">
      <c r="A1052" s="3" t="inlineStr">
        <is>
          <t>ORD-11051</t>
        </is>
      </c>
      <c r="B1052" s="6" t="n">
        <v>45916</v>
      </c>
      <c r="C1052" s="3" t="inlineStr">
        <is>
          <t>Clothing</t>
        </is>
      </c>
      <c r="D1052" s="3" t="inlineStr">
        <is>
          <t>Shirts</t>
        </is>
      </c>
      <c r="E1052" s="3" t="inlineStr">
        <is>
          <t>Greater Accra</t>
        </is>
      </c>
      <c r="F1052" s="3" t="inlineStr">
        <is>
          <t>Retail Shop</t>
        </is>
      </c>
      <c r="G1052" s="3" t="inlineStr">
        <is>
          <t>New</t>
        </is>
      </c>
      <c r="H1052" s="3" t="n">
        <v>3</v>
      </c>
      <c r="I1052" s="3" t="n">
        <v>165</v>
      </c>
      <c r="J1052" s="3" t="n">
        <v>78.06999999999999</v>
      </c>
      <c r="K1052" s="3" t="n">
        <v>0.05</v>
      </c>
      <c r="L1052" s="3" t="n">
        <v>10.13</v>
      </c>
    </row>
    <row r="1053">
      <c r="A1053" s="3" t="inlineStr">
        <is>
          <t>ORD-11052</t>
        </is>
      </c>
      <c r="B1053" s="6" t="n">
        <v>45911</v>
      </c>
      <c r="C1053" s="3" t="inlineStr">
        <is>
          <t>Clothing</t>
        </is>
      </c>
      <c r="D1053" s="3" t="inlineStr">
        <is>
          <t>Trousers</t>
        </is>
      </c>
      <c r="E1053" s="3" t="inlineStr">
        <is>
          <t>Ashanti</t>
        </is>
      </c>
      <c r="F1053" s="3" t="inlineStr">
        <is>
          <t>Retail Shop</t>
        </is>
      </c>
      <c r="G1053" s="3" t="inlineStr">
        <is>
          <t>Returning</t>
        </is>
      </c>
      <c r="H1053" s="3" t="n">
        <v>4</v>
      </c>
      <c r="I1053" s="3" t="n">
        <v>85</v>
      </c>
      <c r="J1053" s="3" t="n">
        <v>40.65</v>
      </c>
      <c r="K1053" s="3" t="n">
        <v>0.1</v>
      </c>
      <c r="L1053" s="3" t="n">
        <v>9.199999999999999</v>
      </c>
    </row>
    <row r="1054">
      <c r="A1054" s="3" t="inlineStr">
        <is>
          <t>ORD-11053</t>
        </is>
      </c>
      <c r="B1054" s="6" t="n">
        <v>45809</v>
      </c>
      <c r="C1054" s="3" t="inlineStr">
        <is>
          <t>Footwear</t>
        </is>
      </c>
      <c r="D1054" s="3" t="inlineStr">
        <is>
          <t>Formal Shoes</t>
        </is>
      </c>
      <c r="E1054" s="3" t="inlineStr">
        <is>
          <t>Western</t>
        </is>
      </c>
      <c r="F1054" s="3" t="inlineStr">
        <is>
          <t>Online</t>
        </is>
      </c>
      <c r="G1054" s="3" t="inlineStr">
        <is>
          <t>Returning</t>
        </is>
      </c>
      <c r="H1054" s="3" t="n">
        <v>1</v>
      </c>
      <c r="I1054" s="3" t="n">
        <v>240</v>
      </c>
      <c r="J1054" s="3" t="n">
        <v>131.74</v>
      </c>
      <c r="K1054" s="3" t="n">
        <v>0.05</v>
      </c>
      <c r="L1054" s="3" t="n">
        <v>29.29</v>
      </c>
    </row>
    <row r="1055">
      <c r="A1055" s="3" t="inlineStr">
        <is>
          <t>ORD-11054</t>
        </is>
      </c>
      <c r="B1055" s="6" t="n">
        <v>45684</v>
      </c>
      <c r="C1055" s="3" t="inlineStr">
        <is>
          <t>Accessories</t>
        </is>
      </c>
      <c r="D1055" s="3" t="inlineStr">
        <is>
          <t>Belts</t>
        </is>
      </c>
      <c r="E1055" s="3" t="inlineStr">
        <is>
          <t>Western</t>
        </is>
      </c>
      <c r="F1055" s="3" t="inlineStr">
        <is>
          <t>Online</t>
        </is>
      </c>
      <c r="G1055" s="3" t="inlineStr">
        <is>
          <t>Returning</t>
        </is>
      </c>
      <c r="H1055" s="3" t="n">
        <v>3</v>
      </c>
      <c r="I1055" s="3" t="n">
        <v>165</v>
      </c>
      <c r="J1055" s="3" t="n">
        <v>82.26000000000001</v>
      </c>
      <c r="K1055" s="3" t="n">
        <v>0.15</v>
      </c>
      <c r="L1055" s="3" t="n">
        <v>40.44</v>
      </c>
    </row>
    <row r="1056">
      <c r="A1056" s="3" t="inlineStr">
        <is>
          <t>ORD-11055</t>
        </is>
      </c>
      <c r="B1056" s="6" t="n">
        <v>45832</v>
      </c>
      <c r="C1056" s="3" t="inlineStr">
        <is>
          <t>Home &amp; Lifestyle</t>
        </is>
      </c>
      <c r="D1056" s="3" t="inlineStr">
        <is>
          <t>Wallets</t>
        </is>
      </c>
      <c r="E1056" s="3" t="inlineStr">
        <is>
          <t>Ashanti</t>
        </is>
      </c>
      <c r="F1056" s="3" t="inlineStr">
        <is>
          <t>Phone/WhatsApp</t>
        </is>
      </c>
      <c r="G1056" s="3" t="inlineStr">
        <is>
          <t>Returning</t>
        </is>
      </c>
      <c r="H1056" s="3" t="n">
        <v>1</v>
      </c>
      <c r="I1056" s="3" t="n">
        <v>160</v>
      </c>
      <c r="J1056" s="3" t="n">
        <v>80.04000000000001</v>
      </c>
      <c r="K1056" s="3" t="n">
        <v>0</v>
      </c>
      <c r="L1056" s="3" t="n">
        <v>13.76</v>
      </c>
    </row>
    <row r="1057">
      <c r="A1057" s="3" t="inlineStr">
        <is>
          <t>ORD-11056</t>
        </is>
      </c>
      <c r="B1057" s="6" t="n">
        <v>45918</v>
      </c>
      <c r="C1057" s="3" t="inlineStr">
        <is>
          <t>Home &amp; Lifestyle</t>
        </is>
      </c>
      <c r="D1057" s="3" t="inlineStr">
        <is>
          <t>Wallets</t>
        </is>
      </c>
      <c r="E1057" s="3" t="inlineStr">
        <is>
          <t>Greater Accra</t>
        </is>
      </c>
      <c r="F1057" s="3" t="inlineStr">
        <is>
          <t>Retail Shop</t>
        </is>
      </c>
      <c r="G1057" s="3" t="inlineStr">
        <is>
          <t>Returning</t>
        </is>
      </c>
      <c r="H1057" s="3" t="n">
        <v>2</v>
      </c>
      <c r="I1057" s="3" t="n">
        <v>160</v>
      </c>
      <c r="J1057" s="3" t="n">
        <v>87.40000000000001</v>
      </c>
      <c r="K1057" s="3" t="n">
        <v>0</v>
      </c>
      <c r="L1057" s="3" t="n">
        <v>9.449999999999999</v>
      </c>
    </row>
    <row r="1058">
      <c r="A1058" s="3" t="inlineStr">
        <is>
          <t>ORD-11057</t>
        </is>
      </c>
      <c r="B1058" s="6" t="n">
        <v>45729</v>
      </c>
      <c r="C1058" s="3" t="inlineStr">
        <is>
          <t>Footwear</t>
        </is>
      </c>
      <c r="D1058" s="3" t="inlineStr">
        <is>
          <t>Boots</t>
        </is>
      </c>
      <c r="E1058" s="3" t="inlineStr">
        <is>
          <t>Greater Accra</t>
        </is>
      </c>
      <c r="F1058" s="3" t="inlineStr">
        <is>
          <t>Phone/WhatsApp</t>
        </is>
      </c>
      <c r="G1058" s="3" t="inlineStr">
        <is>
          <t>New</t>
        </is>
      </c>
      <c r="H1058" s="3" t="n">
        <v>3</v>
      </c>
      <c r="I1058" s="3" t="n">
        <v>415</v>
      </c>
      <c r="J1058" s="3" t="n">
        <v>213.07</v>
      </c>
      <c r="K1058" s="3" t="n">
        <v>0.15</v>
      </c>
      <c r="L1058" s="3" t="n">
        <v>38.66</v>
      </c>
    </row>
    <row r="1059">
      <c r="A1059" s="3" t="inlineStr">
        <is>
          <t>ORD-11058</t>
        </is>
      </c>
      <c r="B1059" s="6" t="n">
        <v>46022</v>
      </c>
      <c r="C1059" s="3" t="inlineStr">
        <is>
          <t>Clothing</t>
        </is>
      </c>
      <c r="D1059" s="3" t="inlineStr">
        <is>
          <t>Trousers</t>
        </is>
      </c>
      <c r="E1059" s="3" t="inlineStr">
        <is>
          <t>Greater Accra</t>
        </is>
      </c>
      <c r="F1059" s="3" t="inlineStr">
        <is>
          <t>Phone/WhatsApp</t>
        </is>
      </c>
      <c r="G1059" s="3" t="inlineStr">
        <is>
          <t>New</t>
        </is>
      </c>
      <c r="H1059" s="3" t="n">
        <v>4</v>
      </c>
      <c r="I1059" s="3" t="n">
        <v>130</v>
      </c>
      <c r="J1059" s="3" t="n">
        <v>73.41</v>
      </c>
      <c r="K1059" s="3" t="n">
        <v>0.1</v>
      </c>
      <c r="L1059" s="3" t="n">
        <v>23.63</v>
      </c>
    </row>
    <row r="1060">
      <c r="A1060" s="3" t="inlineStr">
        <is>
          <t>ORD-11059</t>
        </is>
      </c>
      <c r="B1060" s="6" t="n">
        <v>45697</v>
      </c>
      <c r="C1060" s="3" t="inlineStr">
        <is>
          <t>Clothing</t>
        </is>
      </c>
      <c r="D1060" s="3" t="inlineStr">
        <is>
          <t>Dresses</t>
        </is>
      </c>
      <c r="E1060" s="3" t="inlineStr">
        <is>
          <t>Northern</t>
        </is>
      </c>
      <c r="F1060" s="3" t="inlineStr">
        <is>
          <t>Online</t>
        </is>
      </c>
      <c r="G1060" s="3" t="inlineStr">
        <is>
          <t>New</t>
        </is>
      </c>
      <c r="H1060" s="3" t="n">
        <v>2</v>
      </c>
      <c r="I1060" s="3" t="n">
        <v>135</v>
      </c>
      <c r="J1060" s="3" t="n">
        <v>65.31</v>
      </c>
      <c r="K1060" s="3" t="n">
        <v>0.05</v>
      </c>
      <c r="L1060" s="3" t="n">
        <v>41.56</v>
      </c>
    </row>
    <row r="1061">
      <c r="A1061" s="3" t="inlineStr">
        <is>
          <t>ORD-11060</t>
        </is>
      </c>
      <c r="B1061" s="6" t="n">
        <v>45892</v>
      </c>
      <c r="C1061" s="3" t="inlineStr">
        <is>
          <t>Footwear</t>
        </is>
      </c>
      <c r="D1061" s="3" t="inlineStr">
        <is>
          <t>Sneakers</t>
        </is>
      </c>
      <c r="E1061" s="3" t="inlineStr">
        <is>
          <t>Central</t>
        </is>
      </c>
      <c r="F1061" s="3" t="inlineStr">
        <is>
          <t>Online</t>
        </is>
      </c>
      <c r="G1061" s="3" t="inlineStr">
        <is>
          <t>Returning</t>
        </is>
      </c>
      <c r="H1061" s="3" t="n">
        <v>1</v>
      </c>
      <c r="I1061" s="3" t="n">
        <v>255</v>
      </c>
      <c r="J1061" s="3" t="n">
        <v>129.52</v>
      </c>
      <c r="K1061" s="3" t="n">
        <v>0</v>
      </c>
      <c r="L1061" s="3" t="n">
        <v>19.46</v>
      </c>
    </row>
    <row r="1062">
      <c r="A1062" s="3" t="inlineStr">
        <is>
          <t>ORD-11061</t>
        </is>
      </c>
      <c r="B1062" s="6" t="n">
        <v>45814</v>
      </c>
      <c r="C1062" s="3" t="inlineStr">
        <is>
          <t>Clothing</t>
        </is>
      </c>
      <c r="D1062" s="3" t="inlineStr">
        <is>
          <t>Jackets</t>
        </is>
      </c>
      <c r="E1062" s="3" t="inlineStr">
        <is>
          <t>Greater Accra</t>
        </is>
      </c>
      <c r="F1062" s="3" t="inlineStr">
        <is>
          <t>Phone/WhatsApp</t>
        </is>
      </c>
      <c r="G1062" s="3" t="inlineStr">
        <is>
          <t>New</t>
        </is>
      </c>
      <c r="H1062" s="3" t="n">
        <v>1</v>
      </c>
      <c r="I1062" s="3" t="n">
        <v>230</v>
      </c>
      <c r="J1062" s="3" t="n">
        <v>116.69</v>
      </c>
      <c r="K1062" s="3" t="n">
        <v>0.05</v>
      </c>
      <c r="L1062" s="3" t="n">
        <v>18.06</v>
      </c>
    </row>
    <row r="1063">
      <c r="A1063" s="3" t="inlineStr">
        <is>
          <t>ORD-11062</t>
        </is>
      </c>
      <c r="B1063" s="6" t="n">
        <v>46013</v>
      </c>
      <c r="C1063" s="3" t="inlineStr">
        <is>
          <t>Clothing</t>
        </is>
      </c>
      <c r="D1063" s="3" t="inlineStr">
        <is>
          <t>Jackets</t>
        </is>
      </c>
      <c r="E1063" s="3" t="inlineStr">
        <is>
          <t>Western</t>
        </is>
      </c>
      <c r="F1063" s="3" t="inlineStr">
        <is>
          <t>Retail Shop</t>
        </is>
      </c>
      <c r="G1063" s="3" t="inlineStr">
        <is>
          <t>Returning</t>
        </is>
      </c>
      <c r="H1063" s="3" t="n">
        <v>4</v>
      </c>
      <c r="I1063" s="3" t="n">
        <v>175</v>
      </c>
      <c r="J1063" s="3" t="n">
        <v>94.5</v>
      </c>
      <c r="K1063" s="3" t="n">
        <v>0</v>
      </c>
      <c r="L1063" s="3" t="n">
        <v>1.98</v>
      </c>
    </row>
    <row r="1064">
      <c r="A1064" s="3" t="inlineStr">
        <is>
          <t>ORD-11063</t>
        </is>
      </c>
      <c r="B1064" s="6" t="n">
        <v>46003</v>
      </c>
      <c r="C1064" s="3" t="inlineStr">
        <is>
          <t>Accessories</t>
        </is>
      </c>
      <c r="D1064" s="3" t="inlineStr">
        <is>
          <t>Bags</t>
        </is>
      </c>
      <c r="E1064" s="3" t="inlineStr">
        <is>
          <t>Western</t>
        </is>
      </c>
      <c r="F1064" s="3" t="inlineStr">
        <is>
          <t>Retail Shop</t>
        </is>
      </c>
      <c r="G1064" s="3" t="inlineStr">
        <is>
          <t>Returning</t>
        </is>
      </c>
      <c r="H1064" s="3" t="n">
        <v>1</v>
      </c>
      <c r="I1064" s="3" t="n">
        <v>85</v>
      </c>
      <c r="J1064" s="3" t="n">
        <v>42.35</v>
      </c>
      <c r="K1064" s="3" t="n">
        <v>0</v>
      </c>
      <c r="L1064" s="3" t="n">
        <v>2.76</v>
      </c>
    </row>
    <row r="1065">
      <c r="A1065" s="3" t="inlineStr">
        <is>
          <t>ORD-11064</t>
        </is>
      </c>
      <c r="B1065" s="6" t="n">
        <v>46019</v>
      </c>
      <c r="C1065" s="3" t="inlineStr">
        <is>
          <t>Footwear</t>
        </is>
      </c>
      <c r="D1065" s="3" t="inlineStr">
        <is>
          <t>Formal Shoes</t>
        </is>
      </c>
      <c r="E1065" s="3" t="inlineStr">
        <is>
          <t>Western</t>
        </is>
      </c>
      <c r="F1065" s="3" t="inlineStr">
        <is>
          <t>Retail Shop</t>
        </is>
      </c>
      <c r="G1065" s="3" t="inlineStr">
        <is>
          <t>New</t>
        </is>
      </c>
      <c r="H1065" s="3" t="n">
        <v>1</v>
      </c>
      <c r="I1065" s="3" t="n">
        <v>285</v>
      </c>
      <c r="J1065" s="3" t="n">
        <v>148.78</v>
      </c>
      <c r="K1065" s="3" t="n">
        <v>0.15</v>
      </c>
      <c r="L1065" s="3" t="n">
        <v>6.45</v>
      </c>
    </row>
    <row r="1066">
      <c r="A1066" s="3" t="inlineStr">
        <is>
          <t>ORD-11065</t>
        </is>
      </c>
      <c r="B1066" s="6" t="n">
        <v>45934</v>
      </c>
      <c r="C1066" s="3" t="inlineStr">
        <is>
          <t>Clothing</t>
        </is>
      </c>
      <c r="D1066" s="3" t="inlineStr">
        <is>
          <t>Dresses</t>
        </is>
      </c>
      <c r="E1066" s="3" t="inlineStr">
        <is>
          <t>Central</t>
        </is>
      </c>
      <c r="F1066" s="3" t="inlineStr">
        <is>
          <t>Phone/WhatsApp</t>
        </is>
      </c>
      <c r="G1066" s="3" t="inlineStr">
        <is>
          <t>New</t>
        </is>
      </c>
      <c r="H1066" s="3" t="n">
        <v>2</v>
      </c>
      <c r="I1066" s="3" t="n">
        <v>235</v>
      </c>
      <c r="J1066" s="3" t="n">
        <v>112.45</v>
      </c>
      <c r="K1066" s="3" t="n">
        <v>0</v>
      </c>
      <c r="L1066" s="3" t="n">
        <v>22.39</v>
      </c>
    </row>
    <row r="1067">
      <c r="A1067" s="3" t="inlineStr">
        <is>
          <t>ORD-11066</t>
        </is>
      </c>
      <c r="B1067" s="6" t="n">
        <v>45674</v>
      </c>
      <c r="C1067" s="3" t="inlineStr">
        <is>
          <t>Clothing</t>
        </is>
      </c>
      <c r="D1067" s="3" t="inlineStr">
        <is>
          <t>Shirts</t>
        </is>
      </c>
      <c r="E1067" s="3" t="inlineStr">
        <is>
          <t>Greater Accra</t>
        </is>
      </c>
      <c r="F1067" s="3" t="inlineStr">
        <is>
          <t>Retail Shop</t>
        </is>
      </c>
      <c r="G1067" s="3" t="inlineStr">
        <is>
          <t>Returning</t>
        </is>
      </c>
      <c r="H1067" s="3" t="n">
        <v>1</v>
      </c>
      <c r="I1067" s="3" t="n">
        <v>130</v>
      </c>
      <c r="J1067" s="3" t="n">
        <v>68.95</v>
      </c>
      <c r="K1067" s="3" t="n">
        <v>0</v>
      </c>
      <c r="L1067" s="3" t="n">
        <v>5.42</v>
      </c>
    </row>
    <row r="1068">
      <c r="A1068" s="3" t="inlineStr">
        <is>
          <t>ORD-11067</t>
        </is>
      </c>
      <c r="B1068" s="6" t="n">
        <v>45811</v>
      </c>
      <c r="C1068" s="3" t="inlineStr">
        <is>
          <t>Clothing</t>
        </is>
      </c>
      <c r="D1068" s="3" t="inlineStr">
        <is>
          <t>Shirts</t>
        </is>
      </c>
      <c r="E1068" s="3" t="inlineStr">
        <is>
          <t>Central</t>
        </is>
      </c>
      <c r="F1068" s="3" t="inlineStr">
        <is>
          <t>Retail Shop</t>
        </is>
      </c>
      <c r="G1068" s="3" t="inlineStr">
        <is>
          <t>Returning</t>
        </is>
      </c>
      <c r="H1068" s="3" t="n">
        <v>1</v>
      </c>
      <c r="I1068" s="3" t="n">
        <v>105</v>
      </c>
      <c r="J1068" s="3" t="n">
        <v>55.59</v>
      </c>
      <c r="K1068" s="3" t="n">
        <v>0.1</v>
      </c>
      <c r="L1068" s="3" t="n">
        <v>7.31</v>
      </c>
    </row>
    <row r="1069">
      <c r="A1069" s="3" t="inlineStr">
        <is>
          <t>ORD-11068</t>
        </is>
      </c>
      <c r="B1069" s="6" t="n">
        <v>45981</v>
      </c>
      <c r="C1069" s="3" t="inlineStr">
        <is>
          <t>Accessories</t>
        </is>
      </c>
      <c r="D1069" s="3" t="inlineStr">
        <is>
          <t>Watches</t>
        </is>
      </c>
      <c r="E1069" s="3" t="inlineStr">
        <is>
          <t>Northern</t>
        </is>
      </c>
      <c r="F1069" s="3" t="inlineStr">
        <is>
          <t>Retail Shop</t>
        </is>
      </c>
      <c r="G1069" s="3" t="inlineStr">
        <is>
          <t>Returning</t>
        </is>
      </c>
      <c r="H1069" s="3" t="n">
        <v>1</v>
      </c>
      <c r="I1069" s="3" t="n">
        <v>95</v>
      </c>
      <c r="J1069" s="3" t="n">
        <v>42.02</v>
      </c>
      <c r="K1069" s="3" t="n">
        <v>0</v>
      </c>
      <c r="L1069" s="3" t="n">
        <v>11.39</v>
      </c>
    </row>
    <row r="1070">
      <c r="A1070" s="3" t="inlineStr">
        <is>
          <t>ORD-11069</t>
        </is>
      </c>
      <c r="B1070" s="6" t="n">
        <v>45976</v>
      </c>
      <c r="C1070" s="3" t="inlineStr">
        <is>
          <t>Footwear</t>
        </is>
      </c>
      <c r="D1070" s="3" t="inlineStr">
        <is>
          <t>Boots</t>
        </is>
      </c>
      <c r="E1070" s="3" t="inlineStr">
        <is>
          <t>Western</t>
        </is>
      </c>
      <c r="F1070" s="3" t="inlineStr">
        <is>
          <t>Retail Shop</t>
        </is>
      </c>
      <c r="G1070" s="3" t="inlineStr">
        <is>
          <t>Returning</t>
        </is>
      </c>
      <c r="H1070" s="3" t="n">
        <v>3</v>
      </c>
      <c r="I1070" s="3" t="n">
        <v>325</v>
      </c>
      <c r="J1070" s="3" t="n">
        <v>186.35</v>
      </c>
      <c r="K1070" s="3" t="n">
        <v>0</v>
      </c>
      <c r="L1070" s="3" t="n">
        <v>6.23</v>
      </c>
    </row>
    <row r="1071">
      <c r="A1071" s="3" t="inlineStr">
        <is>
          <t>ORD-11070</t>
        </is>
      </c>
      <c r="B1071" s="6" t="n">
        <v>45972</v>
      </c>
      <c r="C1071" s="3" t="inlineStr">
        <is>
          <t>Accessories</t>
        </is>
      </c>
      <c r="D1071" s="3" t="inlineStr">
        <is>
          <t>Watches</t>
        </is>
      </c>
      <c r="E1071" s="3" t="inlineStr">
        <is>
          <t>Greater Accra</t>
        </is>
      </c>
      <c r="F1071" s="3" t="inlineStr">
        <is>
          <t>Retail Shop</t>
        </is>
      </c>
      <c r="G1071" s="3" t="inlineStr">
        <is>
          <t>Returning</t>
        </is>
      </c>
      <c r="H1071" s="3" t="n">
        <v>4</v>
      </c>
      <c r="I1071" s="3" t="n">
        <v>100</v>
      </c>
      <c r="J1071" s="3" t="n">
        <v>52.99</v>
      </c>
      <c r="K1071" s="3" t="n">
        <v>0</v>
      </c>
      <c r="L1071" s="3" t="n">
        <v>8.01</v>
      </c>
    </row>
    <row r="1072">
      <c r="A1072" s="3" t="inlineStr">
        <is>
          <t>ORD-11071</t>
        </is>
      </c>
      <c r="B1072" s="6" t="n">
        <v>45970</v>
      </c>
      <c r="C1072" s="3" t="inlineStr">
        <is>
          <t>Footwear</t>
        </is>
      </c>
      <c r="D1072" s="3" t="inlineStr">
        <is>
          <t>Sandals</t>
        </is>
      </c>
      <c r="E1072" s="3" t="inlineStr">
        <is>
          <t>Northern</t>
        </is>
      </c>
      <c r="F1072" s="3" t="inlineStr">
        <is>
          <t>Online</t>
        </is>
      </c>
      <c r="G1072" s="3" t="inlineStr">
        <is>
          <t>New</t>
        </is>
      </c>
      <c r="H1072" s="3" t="n">
        <v>2</v>
      </c>
      <c r="I1072" s="3" t="n">
        <v>290</v>
      </c>
      <c r="J1072" s="3" t="n">
        <v>169.2</v>
      </c>
      <c r="K1072" s="3" t="n">
        <v>0</v>
      </c>
      <c r="L1072" s="3" t="n">
        <v>42.82</v>
      </c>
    </row>
    <row r="1073">
      <c r="A1073" s="3" t="inlineStr">
        <is>
          <t>ORD-11072</t>
        </is>
      </c>
      <c r="B1073" s="6" t="n">
        <v>45759</v>
      </c>
      <c r="C1073" s="3" t="inlineStr">
        <is>
          <t>Footwear</t>
        </is>
      </c>
      <c r="D1073" s="3" t="inlineStr">
        <is>
          <t>Boots</t>
        </is>
      </c>
      <c r="E1073" s="3" t="inlineStr">
        <is>
          <t>Greater Accra</t>
        </is>
      </c>
      <c r="F1073" s="3" t="inlineStr">
        <is>
          <t>Online</t>
        </is>
      </c>
      <c r="G1073" s="3" t="inlineStr">
        <is>
          <t>Returning</t>
        </is>
      </c>
      <c r="H1073" s="3" t="n">
        <v>1</v>
      </c>
      <c r="I1073" s="3" t="n">
        <v>370</v>
      </c>
      <c r="J1073" s="3" t="n">
        <v>202.75</v>
      </c>
      <c r="K1073" s="3" t="n">
        <v>0.1</v>
      </c>
      <c r="L1073" s="3" t="n">
        <v>27.51</v>
      </c>
    </row>
    <row r="1074">
      <c r="A1074" s="3" t="inlineStr">
        <is>
          <t>ORD-11073</t>
        </is>
      </c>
      <c r="B1074" s="6" t="n">
        <v>45901</v>
      </c>
      <c r="C1074" s="3" t="inlineStr">
        <is>
          <t>Clothing</t>
        </is>
      </c>
      <c r="D1074" s="3" t="inlineStr">
        <is>
          <t>Dresses</t>
        </is>
      </c>
      <c r="E1074" s="3" t="inlineStr">
        <is>
          <t>Greater Accra</t>
        </is>
      </c>
      <c r="F1074" s="3" t="inlineStr">
        <is>
          <t>Online</t>
        </is>
      </c>
      <c r="G1074" s="3" t="inlineStr">
        <is>
          <t>Returning</t>
        </is>
      </c>
      <c r="H1074" s="3" t="n">
        <v>2</v>
      </c>
      <c r="I1074" s="3" t="n">
        <v>195</v>
      </c>
      <c r="J1074" s="3" t="n">
        <v>100.11</v>
      </c>
      <c r="K1074" s="3" t="n">
        <v>0.1</v>
      </c>
      <c r="L1074" s="3" t="n">
        <v>13.38</v>
      </c>
    </row>
    <row r="1075">
      <c r="A1075" s="3" t="inlineStr">
        <is>
          <t>ORD-11074</t>
        </is>
      </c>
      <c r="B1075" s="6" t="n">
        <v>45667</v>
      </c>
      <c r="C1075" s="3" t="inlineStr">
        <is>
          <t>Home &amp; Lifestyle</t>
        </is>
      </c>
      <c r="D1075" s="3" t="inlineStr">
        <is>
          <t>Wallets</t>
        </is>
      </c>
      <c r="E1075" s="3" t="inlineStr">
        <is>
          <t>Ashanti</t>
        </is>
      </c>
      <c r="F1075" s="3" t="inlineStr">
        <is>
          <t>Phone/WhatsApp</t>
        </is>
      </c>
      <c r="G1075" s="3" t="inlineStr">
        <is>
          <t>New</t>
        </is>
      </c>
      <c r="H1075" s="3" t="n">
        <v>1</v>
      </c>
      <c r="I1075" s="3" t="n">
        <v>75</v>
      </c>
      <c r="J1075" s="3" t="n">
        <v>38.68</v>
      </c>
      <c r="K1075" s="3" t="n">
        <v>0</v>
      </c>
      <c r="L1075" s="3" t="n">
        <v>15.89</v>
      </c>
    </row>
    <row r="1076">
      <c r="A1076" s="3" t="inlineStr">
        <is>
          <t>ORD-11075</t>
        </is>
      </c>
      <c r="B1076" s="6" t="n">
        <v>45705</v>
      </c>
      <c r="C1076" s="3" t="inlineStr">
        <is>
          <t>Clothing</t>
        </is>
      </c>
      <c r="D1076" s="3" t="inlineStr">
        <is>
          <t>Shirts</t>
        </is>
      </c>
      <c r="E1076" s="3" t="inlineStr">
        <is>
          <t>Ashanti</t>
        </is>
      </c>
      <c r="F1076" s="3" t="inlineStr">
        <is>
          <t>Retail Shop</t>
        </is>
      </c>
      <c r="G1076" s="3" t="inlineStr">
        <is>
          <t>New</t>
        </is>
      </c>
      <c r="H1076" s="3" t="n">
        <v>1</v>
      </c>
      <c r="I1076" s="3" t="n">
        <v>95</v>
      </c>
      <c r="J1076" s="3" t="n">
        <v>44.85</v>
      </c>
      <c r="K1076" s="3" t="n">
        <v>0</v>
      </c>
      <c r="L1076" s="3" t="n">
        <v>1.82</v>
      </c>
    </row>
    <row r="1077">
      <c r="A1077" s="3" t="inlineStr">
        <is>
          <t>ORD-11076</t>
        </is>
      </c>
      <c r="B1077" s="6" t="n">
        <v>45840</v>
      </c>
      <c r="C1077" s="3" t="inlineStr">
        <is>
          <t>Footwear</t>
        </is>
      </c>
      <c r="D1077" s="3" t="inlineStr">
        <is>
          <t>Sandals</t>
        </is>
      </c>
      <c r="E1077" s="3" t="inlineStr">
        <is>
          <t>Ashanti</t>
        </is>
      </c>
      <c r="F1077" s="3" t="inlineStr">
        <is>
          <t>Retail Shop</t>
        </is>
      </c>
      <c r="G1077" s="3" t="inlineStr">
        <is>
          <t>Returning</t>
        </is>
      </c>
      <c r="H1077" s="3" t="n">
        <v>3</v>
      </c>
      <c r="I1077" s="3" t="n">
        <v>215</v>
      </c>
      <c r="J1077" s="3" t="n">
        <v>127.62</v>
      </c>
      <c r="K1077" s="3" t="n">
        <v>0</v>
      </c>
      <c r="L1077" s="3" t="n">
        <v>11.35</v>
      </c>
    </row>
    <row r="1078">
      <c r="A1078" s="3" t="inlineStr">
        <is>
          <t>ORD-11077</t>
        </is>
      </c>
      <c r="B1078" s="6" t="n">
        <v>45891</v>
      </c>
      <c r="C1078" s="3" t="inlineStr">
        <is>
          <t>Accessories</t>
        </is>
      </c>
      <c r="D1078" s="3" t="inlineStr">
        <is>
          <t>Bags</t>
        </is>
      </c>
      <c r="E1078" s="3" t="inlineStr">
        <is>
          <t>Greater Accra</t>
        </is>
      </c>
      <c r="F1078" s="3" t="inlineStr">
        <is>
          <t>Online</t>
        </is>
      </c>
      <c r="G1078" s="3" t="inlineStr">
        <is>
          <t>Returning</t>
        </is>
      </c>
      <c r="H1078" s="3" t="n">
        <v>5</v>
      </c>
      <c r="I1078" s="3" t="n">
        <v>85</v>
      </c>
      <c r="J1078" s="3" t="n">
        <v>37.54</v>
      </c>
      <c r="K1078" s="3" t="n">
        <v>0.15</v>
      </c>
      <c r="L1078" s="3" t="n">
        <v>30.85</v>
      </c>
    </row>
    <row r="1079">
      <c r="A1079" s="3" t="inlineStr">
        <is>
          <t>ORD-11078</t>
        </is>
      </c>
      <c r="B1079" s="6" t="n">
        <v>45869</v>
      </c>
      <c r="C1079" s="3" t="inlineStr">
        <is>
          <t>Footwear</t>
        </is>
      </c>
      <c r="D1079" s="3" t="inlineStr">
        <is>
          <t>Boots</t>
        </is>
      </c>
      <c r="E1079" s="3" t="inlineStr">
        <is>
          <t>Northern</t>
        </is>
      </c>
      <c r="F1079" s="3" t="inlineStr">
        <is>
          <t>Retail Shop</t>
        </is>
      </c>
      <c r="G1079" s="3" t="inlineStr">
        <is>
          <t>Returning</t>
        </is>
      </c>
      <c r="H1079" s="3" t="n">
        <v>3</v>
      </c>
      <c r="I1079" s="3" t="n">
        <v>465</v>
      </c>
      <c r="J1079" s="3" t="n">
        <v>276.19</v>
      </c>
      <c r="K1079" s="3" t="n">
        <v>0</v>
      </c>
      <c r="L1079" s="3" t="n">
        <v>9.58</v>
      </c>
    </row>
    <row r="1080">
      <c r="A1080" s="3" t="inlineStr">
        <is>
          <t>ORD-11079</t>
        </is>
      </c>
      <c r="B1080" s="6" t="n">
        <v>45932</v>
      </c>
      <c r="C1080" s="3" t="inlineStr">
        <is>
          <t>Footwear</t>
        </is>
      </c>
      <c r="D1080" s="3" t="inlineStr">
        <is>
          <t>Sandals</t>
        </is>
      </c>
      <c r="E1080" s="3" t="inlineStr">
        <is>
          <t>Greater Accra</t>
        </is>
      </c>
      <c r="F1080" s="3" t="inlineStr">
        <is>
          <t>Retail Shop</t>
        </is>
      </c>
      <c r="G1080" s="3" t="inlineStr">
        <is>
          <t>New</t>
        </is>
      </c>
      <c r="H1080" s="3" t="n">
        <v>1</v>
      </c>
      <c r="I1080" s="3" t="n">
        <v>220</v>
      </c>
      <c r="J1080" s="3" t="n">
        <v>137.61</v>
      </c>
      <c r="K1080" s="3" t="n">
        <v>0.1</v>
      </c>
      <c r="L1080" s="3" t="n">
        <v>10.67</v>
      </c>
    </row>
    <row r="1081">
      <c r="A1081" s="3" t="inlineStr">
        <is>
          <t>ORD-11080</t>
        </is>
      </c>
      <c r="B1081" s="6" t="n">
        <v>45932</v>
      </c>
      <c r="C1081" s="3" t="inlineStr">
        <is>
          <t>Accessories</t>
        </is>
      </c>
      <c r="D1081" s="3" t="inlineStr">
        <is>
          <t>Belts</t>
        </is>
      </c>
      <c r="E1081" s="3" t="inlineStr">
        <is>
          <t>Greater Accra</t>
        </is>
      </c>
      <c r="F1081" s="3" t="inlineStr">
        <is>
          <t>Phone/WhatsApp</t>
        </is>
      </c>
      <c r="G1081" s="3" t="inlineStr">
        <is>
          <t>New</t>
        </is>
      </c>
      <c r="H1081" s="3" t="n">
        <v>1</v>
      </c>
      <c r="I1081" s="3" t="n">
        <v>55</v>
      </c>
      <c r="J1081" s="3" t="n">
        <v>25.34</v>
      </c>
      <c r="K1081" s="3" t="n">
        <v>0</v>
      </c>
      <c r="L1081" s="3" t="n">
        <v>17.8</v>
      </c>
    </row>
    <row r="1082">
      <c r="A1082" s="3" t="inlineStr">
        <is>
          <t>ORD-11081</t>
        </is>
      </c>
      <c r="B1082" s="6" t="n">
        <v>45677</v>
      </c>
      <c r="C1082" s="3" t="inlineStr">
        <is>
          <t>Footwear</t>
        </is>
      </c>
      <c r="D1082" s="3" t="inlineStr">
        <is>
          <t>Sandals</t>
        </is>
      </c>
      <c r="E1082" s="3" t="inlineStr">
        <is>
          <t>Central</t>
        </is>
      </c>
      <c r="F1082" s="3" t="inlineStr">
        <is>
          <t>Retail Shop</t>
        </is>
      </c>
      <c r="G1082" s="3" t="inlineStr">
        <is>
          <t>Returning</t>
        </is>
      </c>
      <c r="H1082" s="3" t="n">
        <v>2</v>
      </c>
      <c r="I1082" s="3" t="n">
        <v>435</v>
      </c>
      <c r="J1082" s="3" t="n">
        <v>231.01</v>
      </c>
      <c r="K1082" s="3" t="n">
        <v>0</v>
      </c>
      <c r="L1082" s="3" t="n">
        <v>6.27</v>
      </c>
    </row>
    <row r="1083">
      <c r="A1083" s="3" t="inlineStr">
        <is>
          <t>ORD-11082</t>
        </is>
      </c>
      <c r="B1083" s="6" t="n">
        <v>45783</v>
      </c>
      <c r="C1083" s="3" t="inlineStr">
        <is>
          <t>Accessories</t>
        </is>
      </c>
      <c r="D1083" s="3" t="inlineStr">
        <is>
          <t>Sunglasses</t>
        </is>
      </c>
      <c r="E1083" s="3" t="inlineStr">
        <is>
          <t>Central</t>
        </is>
      </c>
      <c r="F1083" s="3" t="inlineStr">
        <is>
          <t>Online</t>
        </is>
      </c>
      <c r="G1083" s="3" t="inlineStr">
        <is>
          <t>Returning</t>
        </is>
      </c>
      <c r="H1083" s="3" t="n">
        <v>2</v>
      </c>
      <c r="I1083" s="3" t="n">
        <v>70</v>
      </c>
      <c r="J1083" s="3" t="n">
        <v>37.12</v>
      </c>
      <c r="K1083" s="3" t="n">
        <v>0.15</v>
      </c>
      <c r="L1083" s="3" t="n">
        <v>27.37</v>
      </c>
    </row>
    <row r="1084">
      <c r="A1084" s="3" t="inlineStr">
        <is>
          <t>ORD-11083</t>
        </is>
      </c>
      <c r="B1084" s="6" t="n">
        <v>45840</v>
      </c>
      <c r="C1084" s="3" t="inlineStr">
        <is>
          <t>Clothing</t>
        </is>
      </c>
      <c r="D1084" s="3" t="inlineStr">
        <is>
          <t>Jackets</t>
        </is>
      </c>
      <c r="E1084" s="3" t="inlineStr">
        <is>
          <t>Greater Accra</t>
        </is>
      </c>
      <c r="F1084" s="3" t="inlineStr">
        <is>
          <t>Online</t>
        </is>
      </c>
      <c r="G1084" s="3" t="inlineStr">
        <is>
          <t>Returning</t>
        </is>
      </c>
      <c r="H1084" s="3" t="n">
        <v>1</v>
      </c>
      <c r="I1084" s="3" t="n">
        <v>250</v>
      </c>
      <c r="J1084" s="3" t="n">
        <v>117.1</v>
      </c>
      <c r="K1084" s="3" t="n">
        <v>0.15</v>
      </c>
      <c r="L1084" s="3" t="n">
        <v>44.18</v>
      </c>
    </row>
    <row r="1085">
      <c r="A1085" s="3" t="inlineStr">
        <is>
          <t>ORD-11084</t>
        </is>
      </c>
      <c r="B1085" s="6" t="n">
        <v>45867</v>
      </c>
      <c r="C1085" s="3" t="inlineStr">
        <is>
          <t>Footwear</t>
        </is>
      </c>
      <c r="D1085" s="3" t="inlineStr">
        <is>
          <t>Sneakers</t>
        </is>
      </c>
      <c r="E1085" s="3" t="inlineStr">
        <is>
          <t>Western</t>
        </is>
      </c>
      <c r="F1085" s="3" t="inlineStr">
        <is>
          <t>Online</t>
        </is>
      </c>
      <c r="G1085" s="3" t="inlineStr">
        <is>
          <t>Returning</t>
        </is>
      </c>
      <c r="H1085" s="3" t="n">
        <v>4</v>
      </c>
      <c r="I1085" s="3" t="n">
        <v>160</v>
      </c>
      <c r="J1085" s="3" t="n">
        <v>87.45999999999999</v>
      </c>
      <c r="K1085" s="3" t="n">
        <v>0</v>
      </c>
      <c r="L1085" s="3" t="n">
        <v>27.03</v>
      </c>
    </row>
    <row r="1086">
      <c r="A1086" s="3" t="inlineStr">
        <is>
          <t>ORD-11085</t>
        </is>
      </c>
      <c r="B1086" s="6" t="n">
        <v>45977</v>
      </c>
      <c r="C1086" s="3" t="inlineStr">
        <is>
          <t>Footwear</t>
        </is>
      </c>
      <c r="D1086" s="3" t="inlineStr">
        <is>
          <t>Sneakers</t>
        </is>
      </c>
      <c r="E1086" s="3" t="inlineStr">
        <is>
          <t>Central</t>
        </is>
      </c>
      <c r="F1086" s="3" t="inlineStr">
        <is>
          <t>Online</t>
        </is>
      </c>
      <c r="G1086" s="3" t="inlineStr">
        <is>
          <t>Returning</t>
        </is>
      </c>
      <c r="H1086" s="3" t="n">
        <v>2</v>
      </c>
      <c r="I1086" s="3" t="n">
        <v>375</v>
      </c>
      <c r="J1086" s="3" t="n">
        <v>220.93</v>
      </c>
      <c r="K1086" s="3" t="n">
        <v>0</v>
      </c>
      <c r="L1086" s="3" t="n">
        <v>33.09</v>
      </c>
    </row>
    <row r="1087">
      <c r="A1087" s="3" t="inlineStr">
        <is>
          <t>ORD-11086</t>
        </is>
      </c>
      <c r="B1087" s="6" t="n">
        <v>45754</v>
      </c>
      <c r="C1087" s="3" t="inlineStr">
        <is>
          <t>Footwear</t>
        </is>
      </c>
      <c r="D1087" s="3" t="inlineStr">
        <is>
          <t>Sandals</t>
        </is>
      </c>
      <c r="E1087" s="3" t="inlineStr">
        <is>
          <t>Greater Accra</t>
        </is>
      </c>
      <c r="F1087" s="3" t="inlineStr">
        <is>
          <t>Retail Shop</t>
        </is>
      </c>
      <c r="G1087" s="3" t="inlineStr">
        <is>
          <t>Returning</t>
        </is>
      </c>
      <c r="H1087" s="3" t="n">
        <v>1</v>
      </c>
      <c r="I1087" s="3" t="n">
        <v>280</v>
      </c>
      <c r="J1087" s="3" t="n">
        <v>176.16</v>
      </c>
      <c r="K1087" s="3" t="n">
        <v>0</v>
      </c>
      <c r="L1087" s="3" t="n">
        <v>0.79</v>
      </c>
    </row>
    <row r="1088">
      <c r="A1088" s="3" t="inlineStr">
        <is>
          <t>ORD-11087</t>
        </is>
      </c>
      <c r="B1088" s="6" t="n">
        <v>45870</v>
      </c>
      <c r="C1088" s="3" t="inlineStr">
        <is>
          <t>Clothing</t>
        </is>
      </c>
      <c r="D1088" s="3" t="inlineStr">
        <is>
          <t>Jackets</t>
        </is>
      </c>
      <c r="E1088" s="3" t="inlineStr">
        <is>
          <t>Western</t>
        </is>
      </c>
      <c r="F1088" s="3" t="inlineStr">
        <is>
          <t>Retail Shop</t>
        </is>
      </c>
      <c r="G1088" s="3" t="inlineStr">
        <is>
          <t>Returning</t>
        </is>
      </c>
      <c r="H1088" s="3" t="n">
        <v>4</v>
      </c>
      <c r="I1088" s="3" t="n">
        <v>245</v>
      </c>
      <c r="J1088" s="3" t="n">
        <v>123.03</v>
      </c>
      <c r="K1088" s="3" t="n">
        <v>0.1</v>
      </c>
      <c r="L1088" s="3" t="n">
        <v>4.74</v>
      </c>
    </row>
    <row r="1089">
      <c r="A1089" s="3" t="inlineStr">
        <is>
          <t>ORD-11088</t>
        </is>
      </c>
      <c r="B1089" s="6" t="n">
        <v>45892</v>
      </c>
      <c r="C1089" s="3" t="inlineStr">
        <is>
          <t>Footwear</t>
        </is>
      </c>
      <c r="D1089" s="3" t="inlineStr">
        <is>
          <t>Sandals</t>
        </is>
      </c>
      <c r="E1089" s="3" t="inlineStr">
        <is>
          <t>Ashanti</t>
        </is>
      </c>
      <c r="F1089" s="3" t="inlineStr">
        <is>
          <t>Retail Shop</t>
        </is>
      </c>
      <c r="G1089" s="3" t="inlineStr">
        <is>
          <t>Returning</t>
        </is>
      </c>
      <c r="H1089" s="3" t="n">
        <v>6</v>
      </c>
      <c r="I1089" s="3" t="n">
        <v>615</v>
      </c>
      <c r="J1089" s="3" t="n">
        <v>308.87</v>
      </c>
      <c r="K1089" s="3" t="n">
        <v>0</v>
      </c>
      <c r="L1089" s="3" t="n">
        <v>8.15</v>
      </c>
    </row>
    <row r="1090">
      <c r="A1090" s="3" t="inlineStr">
        <is>
          <t>ORD-11089</t>
        </is>
      </c>
      <c r="B1090" s="6" t="n">
        <v>45973</v>
      </c>
      <c r="C1090" s="3" t="inlineStr">
        <is>
          <t>Footwear</t>
        </is>
      </c>
      <c r="D1090" s="3" t="inlineStr">
        <is>
          <t>Formal Shoes</t>
        </is>
      </c>
      <c r="E1090" s="3" t="inlineStr">
        <is>
          <t>Ashanti</t>
        </is>
      </c>
      <c r="F1090" s="3" t="inlineStr">
        <is>
          <t>Phone/WhatsApp</t>
        </is>
      </c>
      <c r="G1090" s="3" t="inlineStr">
        <is>
          <t>New</t>
        </is>
      </c>
      <c r="H1090" s="3" t="n">
        <v>4</v>
      </c>
      <c r="I1090" s="3" t="n">
        <v>480</v>
      </c>
      <c r="J1090" s="3" t="n">
        <v>266.35</v>
      </c>
      <c r="K1090" s="3" t="n">
        <v>0.1</v>
      </c>
      <c r="L1090" s="3" t="n">
        <v>14.24</v>
      </c>
    </row>
    <row r="1091">
      <c r="A1091" s="3" t="inlineStr">
        <is>
          <t>ORD-11090</t>
        </is>
      </c>
      <c r="B1091" s="6" t="n">
        <v>46004</v>
      </c>
      <c r="C1091" s="3" t="inlineStr">
        <is>
          <t>Accessories</t>
        </is>
      </c>
      <c r="D1091" s="3" t="inlineStr">
        <is>
          <t>Sunglasses</t>
        </is>
      </c>
      <c r="E1091" s="3" t="inlineStr">
        <is>
          <t>Western</t>
        </is>
      </c>
      <c r="F1091" s="3" t="inlineStr">
        <is>
          <t>Retail Shop</t>
        </is>
      </c>
      <c r="G1091" s="3" t="inlineStr">
        <is>
          <t>New</t>
        </is>
      </c>
      <c r="H1091" s="3" t="n">
        <v>1</v>
      </c>
      <c r="I1091" s="3" t="n">
        <v>130</v>
      </c>
      <c r="J1091" s="3" t="n">
        <v>64.20999999999999</v>
      </c>
      <c r="K1091" s="3" t="n">
        <v>0</v>
      </c>
      <c r="L1091" s="3" t="n">
        <v>7.72</v>
      </c>
    </row>
    <row r="1092">
      <c r="A1092" s="3" t="inlineStr">
        <is>
          <t>ORD-11091</t>
        </is>
      </c>
      <c r="B1092" s="6" t="n">
        <v>45941</v>
      </c>
      <c r="C1092" s="3" t="inlineStr">
        <is>
          <t>Clothing</t>
        </is>
      </c>
      <c r="D1092" s="3" t="inlineStr">
        <is>
          <t>Jackets</t>
        </is>
      </c>
      <c r="E1092" s="3" t="inlineStr">
        <is>
          <t>Greater Accra</t>
        </is>
      </c>
      <c r="F1092" s="3" t="inlineStr">
        <is>
          <t>Online</t>
        </is>
      </c>
      <c r="G1092" s="3" t="inlineStr">
        <is>
          <t>Returning</t>
        </is>
      </c>
      <c r="H1092" s="3" t="n">
        <v>1</v>
      </c>
      <c r="I1092" s="3" t="n">
        <v>145</v>
      </c>
      <c r="J1092" s="3" t="n">
        <v>79.66</v>
      </c>
      <c r="K1092" s="3" t="n">
        <v>0.05</v>
      </c>
      <c r="L1092" s="3" t="n">
        <v>25.25</v>
      </c>
    </row>
    <row r="1093">
      <c r="A1093" s="3" t="inlineStr">
        <is>
          <t>ORD-11092</t>
        </is>
      </c>
      <c r="B1093" s="6" t="n">
        <v>45981</v>
      </c>
      <c r="C1093" s="3" t="inlineStr">
        <is>
          <t>Clothing</t>
        </is>
      </c>
      <c r="D1093" s="3" t="inlineStr">
        <is>
          <t>Dresses</t>
        </is>
      </c>
      <c r="E1093" s="3" t="inlineStr">
        <is>
          <t>Central</t>
        </is>
      </c>
      <c r="F1093" s="3" t="inlineStr">
        <is>
          <t>Retail Shop</t>
        </is>
      </c>
      <c r="G1093" s="3" t="inlineStr">
        <is>
          <t>New</t>
        </is>
      </c>
      <c r="H1093" s="3" t="n">
        <v>2</v>
      </c>
      <c r="I1093" s="3" t="n">
        <v>105</v>
      </c>
      <c r="J1093" s="3" t="n">
        <v>60.66</v>
      </c>
      <c r="K1093" s="3" t="n">
        <v>0.2</v>
      </c>
      <c r="L1093" s="3" t="n">
        <v>7.88</v>
      </c>
    </row>
    <row r="1094">
      <c r="A1094" s="3" t="inlineStr">
        <is>
          <t>ORD-11093</t>
        </is>
      </c>
      <c r="B1094" s="6" t="n">
        <v>45993</v>
      </c>
      <c r="C1094" s="3" t="inlineStr">
        <is>
          <t>Clothing</t>
        </is>
      </c>
      <c r="D1094" s="3" t="inlineStr">
        <is>
          <t>Shirts</t>
        </is>
      </c>
      <c r="E1094" s="3" t="inlineStr">
        <is>
          <t>Western</t>
        </is>
      </c>
      <c r="F1094" s="3" t="inlineStr">
        <is>
          <t>Online</t>
        </is>
      </c>
      <c r="G1094" s="3" t="inlineStr">
        <is>
          <t>Returning</t>
        </is>
      </c>
      <c r="H1094" s="3" t="n">
        <v>1</v>
      </c>
      <c r="I1094" s="3" t="n">
        <v>100</v>
      </c>
      <c r="J1094" s="3" t="n">
        <v>54.03</v>
      </c>
      <c r="K1094" s="3" t="n">
        <v>0.2</v>
      </c>
      <c r="L1094" s="3" t="n">
        <v>31.08</v>
      </c>
    </row>
    <row r="1095">
      <c r="A1095" s="3" t="inlineStr">
        <is>
          <t>ORD-11094</t>
        </is>
      </c>
      <c r="B1095" s="6" t="n">
        <v>45840</v>
      </c>
      <c r="C1095" s="3" t="inlineStr">
        <is>
          <t>Home &amp; Lifestyle</t>
        </is>
      </c>
      <c r="D1095" s="3" t="inlineStr">
        <is>
          <t>Travel Mugs</t>
        </is>
      </c>
      <c r="E1095" s="3" t="inlineStr">
        <is>
          <t>Western</t>
        </is>
      </c>
      <c r="F1095" s="3" t="inlineStr">
        <is>
          <t>Retail Shop</t>
        </is>
      </c>
      <c r="G1095" s="3" t="inlineStr">
        <is>
          <t>Returning</t>
        </is>
      </c>
      <c r="H1095" s="3" t="n">
        <v>2</v>
      </c>
      <c r="I1095" s="3" t="n">
        <v>110</v>
      </c>
      <c r="J1095" s="3" t="n">
        <v>56.72</v>
      </c>
      <c r="K1095" s="3" t="n">
        <v>0.05</v>
      </c>
      <c r="L1095" s="3" t="n">
        <v>4.32</v>
      </c>
    </row>
    <row r="1096">
      <c r="A1096" s="3" t="inlineStr">
        <is>
          <t>ORD-11095</t>
        </is>
      </c>
      <c r="B1096" s="6" t="n">
        <v>46012</v>
      </c>
      <c r="C1096" s="3" t="inlineStr">
        <is>
          <t>Accessories</t>
        </is>
      </c>
      <c r="D1096" s="3" t="inlineStr">
        <is>
          <t>Watches</t>
        </is>
      </c>
      <c r="E1096" s="3" t="inlineStr">
        <is>
          <t>Ashanti</t>
        </is>
      </c>
      <c r="F1096" s="3" t="inlineStr">
        <is>
          <t>Online</t>
        </is>
      </c>
      <c r="G1096" s="3" t="inlineStr">
        <is>
          <t>New</t>
        </is>
      </c>
      <c r="H1096" s="3" t="n">
        <v>1</v>
      </c>
      <c r="I1096" s="3" t="n">
        <v>90</v>
      </c>
      <c r="J1096" s="3" t="n">
        <v>39.16</v>
      </c>
      <c r="K1096" s="3" t="n">
        <v>0</v>
      </c>
      <c r="L1096" s="3" t="n">
        <v>33.88</v>
      </c>
    </row>
    <row r="1097">
      <c r="A1097" s="3" t="inlineStr">
        <is>
          <t>ORD-11096</t>
        </is>
      </c>
      <c r="B1097" s="6" t="n">
        <v>45729</v>
      </c>
      <c r="C1097" s="3" t="inlineStr">
        <is>
          <t>Home &amp; Lifestyle</t>
        </is>
      </c>
      <c r="D1097" s="3" t="inlineStr">
        <is>
          <t>Travel Mugs</t>
        </is>
      </c>
      <c r="E1097" s="3" t="inlineStr">
        <is>
          <t>Greater Accra</t>
        </is>
      </c>
      <c r="F1097" s="3" t="inlineStr">
        <is>
          <t>Retail Shop</t>
        </is>
      </c>
      <c r="G1097" s="3" t="inlineStr">
        <is>
          <t>New</t>
        </is>
      </c>
      <c r="H1097" s="3" t="n">
        <v>4</v>
      </c>
      <c r="I1097" s="3" t="n">
        <v>190</v>
      </c>
      <c r="J1097" s="3" t="n">
        <v>114.81</v>
      </c>
      <c r="K1097" s="3" t="n">
        <v>0.1</v>
      </c>
      <c r="L1097" s="3" t="n">
        <v>8.630000000000001</v>
      </c>
    </row>
    <row r="1098">
      <c r="A1098" s="3" t="inlineStr">
        <is>
          <t>ORD-11097</t>
        </is>
      </c>
      <c r="B1098" s="6" t="n">
        <v>45726</v>
      </c>
      <c r="C1098" s="3" t="inlineStr">
        <is>
          <t>Clothing</t>
        </is>
      </c>
      <c r="D1098" s="3" t="inlineStr">
        <is>
          <t>Dresses</t>
        </is>
      </c>
      <c r="E1098" s="3" t="inlineStr">
        <is>
          <t>Greater Accra</t>
        </is>
      </c>
      <c r="F1098" s="3" t="inlineStr">
        <is>
          <t>Retail Shop</t>
        </is>
      </c>
      <c r="G1098" s="3" t="inlineStr">
        <is>
          <t>Returning</t>
        </is>
      </c>
      <c r="H1098" s="3" t="n">
        <v>1</v>
      </c>
      <c r="I1098" s="3" t="n">
        <v>180</v>
      </c>
      <c r="J1098" s="3" t="n">
        <v>83.77</v>
      </c>
      <c r="K1098" s="3" t="n">
        <v>0.15</v>
      </c>
      <c r="L1098" s="3" t="n">
        <v>2.05</v>
      </c>
    </row>
    <row r="1099">
      <c r="A1099" s="3" t="inlineStr">
        <is>
          <t>ORD-11098</t>
        </is>
      </c>
      <c r="B1099" s="6" t="n">
        <v>45685</v>
      </c>
      <c r="C1099" s="3" t="inlineStr">
        <is>
          <t>Accessories</t>
        </is>
      </c>
      <c r="D1099" s="3" t="inlineStr">
        <is>
          <t>Sunglasses</t>
        </is>
      </c>
      <c r="E1099" s="3" t="inlineStr">
        <is>
          <t>Greater Accra</t>
        </is>
      </c>
      <c r="F1099" s="3" t="inlineStr">
        <is>
          <t>Online</t>
        </is>
      </c>
      <c r="G1099" s="3" t="inlineStr">
        <is>
          <t>New</t>
        </is>
      </c>
      <c r="H1099" s="3" t="n">
        <v>5</v>
      </c>
      <c r="I1099" s="3" t="n">
        <v>60</v>
      </c>
      <c r="J1099" s="3" t="n">
        <v>26.37</v>
      </c>
      <c r="K1099" s="3" t="n">
        <v>0</v>
      </c>
      <c r="L1099" s="3" t="n">
        <v>31.17</v>
      </c>
    </row>
    <row r="1100">
      <c r="A1100" s="3" t="inlineStr">
        <is>
          <t>ORD-11099</t>
        </is>
      </c>
      <c r="B1100" s="6" t="n">
        <v>45946</v>
      </c>
      <c r="C1100" s="3" t="inlineStr">
        <is>
          <t>Footwear</t>
        </is>
      </c>
      <c r="D1100" s="3" t="inlineStr">
        <is>
          <t>Sandals</t>
        </is>
      </c>
      <c r="E1100" s="3" t="inlineStr">
        <is>
          <t>Greater Accra</t>
        </is>
      </c>
      <c r="F1100" s="3" t="inlineStr">
        <is>
          <t>Online</t>
        </is>
      </c>
      <c r="G1100" s="3" t="inlineStr">
        <is>
          <t>New</t>
        </is>
      </c>
      <c r="H1100" s="3" t="n">
        <v>5</v>
      </c>
      <c r="I1100" s="3" t="n">
        <v>450</v>
      </c>
      <c r="J1100" s="3" t="n">
        <v>245.88</v>
      </c>
      <c r="K1100" s="3" t="n">
        <v>0.2</v>
      </c>
      <c r="L1100" s="3" t="n">
        <v>12.06</v>
      </c>
    </row>
    <row r="1101">
      <c r="A1101" s="3" t="inlineStr">
        <is>
          <t>ORD-11100</t>
        </is>
      </c>
      <c r="B1101" s="6" t="n">
        <v>45763</v>
      </c>
      <c r="C1101" s="3" t="inlineStr">
        <is>
          <t>Clothing</t>
        </is>
      </c>
      <c r="D1101" s="3" t="inlineStr">
        <is>
          <t>Dresses</t>
        </is>
      </c>
      <c r="E1101" s="3" t="inlineStr">
        <is>
          <t>Central</t>
        </is>
      </c>
      <c r="F1101" s="3" t="inlineStr">
        <is>
          <t>Phone/WhatsApp</t>
        </is>
      </c>
      <c r="G1101" s="3" t="inlineStr">
        <is>
          <t>Returning</t>
        </is>
      </c>
      <c r="H1101" s="3" t="n">
        <v>3</v>
      </c>
      <c r="I1101" s="3" t="n">
        <v>135</v>
      </c>
      <c r="J1101" s="3" t="n">
        <v>65.36</v>
      </c>
      <c r="K1101" s="3" t="n">
        <v>0.1</v>
      </c>
      <c r="L1101" s="3" t="n">
        <v>10.93</v>
      </c>
    </row>
    <row r="1102">
      <c r="A1102" s="3" t="inlineStr">
        <is>
          <t>ORD-11101</t>
        </is>
      </c>
      <c r="B1102" s="6" t="n">
        <v>45688</v>
      </c>
      <c r="C1102" s="3" t="inlineStr">
        <is>
          <t>Home &amp; Lifestyle</t>
        </is>
      </c>
      <c r="D1102" s="3" t="inlineStr">
        <is>
          <t>Small Home Goods</t>
        </is>
      </c>
      <c r="E1102" s="3" t="inlineStr">
        <is>
          <t>Western</t>
        </is>
      </c>
      <c r="F1102" s="3" t="inlineStr">
        <is>
          <t>Retail Shop</t>
        </is>
      </c>
      <c r="G1102" s="3" t="inlineStr">
        <is>
          <t>Returning</t>
        </is>
      </c>
      <c r="H1102" s="3" t="n">
        <v>2</v>
      </c>
      <c r="I1102" s="3" t="n">
        <v>120</v>
      </c>
      <c r="J1102" s="3" t="n">
        <v>60.64</v>
      </c>
      <c r="K1102" s="3" t="n">
        <v>0.15</v>
      </c>
      <c r="L1102" s="3" t="n">
        <v>3.73</v>
      </c>
    </row>
    <row r="1103">
      <c r="A1103" s="3" t="inlineStr">
        <is>
          <t>ORD-11102</t>
        </is>
      </c>
      <c r="B1103" s="6" t="n">
        <v>45960</v>
      </c>
      <c r="C1103" s="3" t="inlineStr">
        <is>
          <t>Footwear</t>
        </is>
      </c>
      <c r="D1103" s="3" t="inlineStr">
        <is>
          <t>Boots</t>
        </is>
      </c>
      <c r="E1103" s="3" t="inlineStr">
        <is>
          <t>Greater Accra</t>
        </is>
      </c>
      <c r="F1103" s="3" t="inlineStr">
        <is>
          <t>Online</t>
        </is>
      </c>
      <c r="G1103" s="3" t="inlineStr">
        <is>
          <t>New</t>
        </is>
      </c>
      <c r="H1103" s="3" t="n">
        <v>10</v>
      </c>
      <c r="I1103" s="3" t="n">
        <v>340</v>
      </c>
      <c r="J1103" s="3" t="n">
        <v>198.09</v>
      </c>
      <c r="K1103" s="3" t="n">
        <v>0</v>
      </c>
      <c r="L1103" s="3" t="n">
        <v>29.22</v>
      </c>
    </row>
    <row r="1104">
      <c r="A1104" s="3" t="inlineStr">
        <is>
          <t>ORD-11103</t>
        </is>
      </c>
      <c r="B1104" s="6" t="n">
        <v>45853</v>
      </c>
      <c r="C1104" s="3" t="inlineStr">
        <is>
          <t>Footwear</t>
        </is>
      </c>
      <c r="D1104" s="3" t="inlineStr">
        <is>
          <t>Formal Shoes</t>
        </is>
      </c>
      <c r="E1104" s="3" t="inlineStr">
        <is>
          <t>Ashanti</t>
        </is>
      </c>
      <c r="F1104" s="3" t="inlineStr">
        <is>
          <t>Online</t>
        </is>
      </c>
      <c r="G1104" s="3" t="inlineStr">
        <is>
          <t>New</t>
        </is>
      </c>
      <c r="H1104" s="3" t="n">
        <v>1</v>
      </c>
      <c r="I1104" s="3" t="n">
        <v>220</v>
      </c>
      <c r="J1104" s="3" t="n">
        <v>140.19</v>
      </c>
      <c r="K1104" s="3" t="n">
        <v>0.1</v>
      </c>
      <c r="L1104" s="3" t="n">
        <v>13.07</v>
      </c>
    </row>
    <row r="1105">
      <c r="A1105" s="3" t="inlineStr">
        <is>
          <t>ORD-11104</t>
        </is>
      </c>
      <c r="B1105" s="6" t="n">
        <v>45793</v>
      </c>
      <c r="C1105" s="3" t="inlineStr">
        <is>
          <t>Clothing</t>
        </is>
      </c>
      <c r="D1105" s="3" t="inlineStr">
        <is>
          <t>Dresses</t>
        </is>
      </c>
      <c r="E1105" s="3" t="inlineStr">
        <is>
          <t>Greater Accra</t>
        </is>
      </c>
      <c r="F1105" s="3" t="inlineStr">
        <is>
          <t>Retail Shop</t>
        </is>
      </c>
      <c r="G1105" s="3" t="inlineStr">
        <is>
          <t>Returning</t>
        </is>
      </c>
      <c r="H1105" s="3" t="n">
        <v>4</v>
      </c>
      <c r="I1105" s="3" t="n">
        <v>180</v>
      </c>
      <c r="J1105" s="3" t="n">
        <v>102.29</v>
      </c>
      <c r="K1105" s="3" t="n">
        <v>0.05</v>
      </c>
      <c r="L1105" s="3" t="n">
        <v>4.79</v>
      </c>
    </row>
    <row r="1106">
      <c r="A1106" s="3" t="inlineStr">
        <is>
          <t>ORD-11105</t>
        </is>
      </c>
      <c r="B1106" s="6" t="n">
        <v>45764</v>
      </c>
      <c r="C1106" s="3" t="inlineStr">
        <is>
          <t>Accessories</t>
        </is>
      </c>
      <c r="D1106" s="3" t="inlineStr">
        <is>
          <t>Sunglasses</t>
        </is>
      </c>
      <c r="E1106" s="3" t="inlineStr">
        <is>
          <t>Greater Accra</t>
        </is>
      </c>
      <c r="F1106" s="3" t="inlineStr">
        <is>
          <t>Retail Shop</t>
        </is>
      </c>
      <c r="G1106" s="3" t="inlineStr">
        <is>
          <t>New</t>
        </is>
      </c>
      <c r="H1106" s="3" t="n">
        <v>2</v>
      </c>
      <c r="I1106" s="3" t="n">
        <v>65</v>
      </c>
      <c r="J1106" s="3" t="n">
        <v>34.9</v>
      </c>
      <c r="K1106" s="3" t="n">
        <v>0.05</v>
      </c>
      <c r="L1106" s="3" t="n">
        <v>4.9</v>
      </c>
    </row>
    <row r="1107">
      <c r="A1107" s="3" t="inlineStr">
        <is>
          <t>ORD-11106</t>
        </is>
      </c>
      <c r="B1107" s="6" t="n">
        <v>45760</v>
      </c>
      <c r="C1107" s="3" t="inlineStr">
        <is>
          <t>Footwear</t>
        </is>
      </c>
      <c r="D1107" s="3" t="inlineStr">
        <is>
          <t>Boots</t>
        </is>
      </c>
      <c r="E1107" s="3" t="inlineStr">
        <is>
          <t>Ashanti</t>
        </is>
      </c>
      <c r="F1107" s="3" t="inlineStr">
        <is>
          <t>Phone/WhatsApp</t>
        </is>
      </c>
      <c r="G1107" s="3" t="inlineStr">
        <is>
          <t>Returning</t>
        </is>
      </c>
      <c r="H1107" s="3" t="n">
        <v>1</v>
      </c>
      <c r="I1107" s="3" t="n">
        <v>475</v>
      </c>
      <c r="J1107" s="3" t="n">
        <v>263.92</v>
      </c>
      <c r="K1107" s="3" t="n">
        <v>0.05</v>
      </c>
      <c r="L1107" s="3" t="n">
        <v>25.23</v>
      </c>
    </row>
    <row r="1108">
      <c r="A1108" s="3" t="inlineStr">
        <is>
          <t>ORD-11107</t>
        </is>
      </c>
      <c r="B1108" s="6" t="n">
        <v>45960</v>
      </c>
      <c r="C1108" s="3" t="inlineStr">
        <is>
          <t>Home &amp; Lifestyle</t>
        </is>
      </c>
      <c r="D1108" s="3" t="inlineStr">
        <is>
          <t>Backpacks</t>
        </is>
      </c>
      <c r="E1108" s="3" t="inlineStr">
        <is>
          <t>Greater Accra</t>
        </is>
      </c>
      <c r="F1108" s="3" t="inlineStr">
        <is>
          <t>Online</t>
        </is>
      </c>
      <c r="G1108" s="3" t="inlineStr">
        <is>
          <t>Returning</t>
        </is>
      </c>
      <c r="H1108" s="3" t="n">
        <v>2</v>
      </c>
      <c r="I1108" s="3" t="n">
        <v>95</v>
      </c>
      <c r="J1108" s="3" t="n">
        <v>52.59</v>
      </c>
      <c r="K1108" s="3" t="n">
        <v>0</v>
      </c>
      <c r="L1108" s="3" t="n">
        <v>8.35</v>
      </c>
    </row>
    <row r="1109">
      <c r="A1109" s="3" t="inlineStr">
        <is>
          <t>ORD-11108</t>
        </is>
      </c>
      <c r="B1109" s="6" t="n">
        <v>45983</v>
      </c>
      <c r="C1109" s="3" t="inlineStr">
        <is>
          <t>Clothing</t>
        </is>
      </c>
      <c r="D1109" s="3" t="inlineStr">
        <is>
          <t>Shirts</t>
        </is>
      </c>
      <c r="E1109" s="3" t="inlineStr">
        <is>
          <t>Greater Accra</t>
        </is>
      </c>
      <c r="F1109" s="3" t="inlineStr">
        <is>
          <t>Retail Shop</t>
        </is>
      </c>
      <c r="G1109" s="3" t="inlineStr">
        <is>
          <t>Returning</t>
        </is>
      </c>
      <c r="H1109" s="3" t="n">
        <v>1</v>
      </c>
      <c r="I1109" s="3" t="n">
        <v>230</v>
      </c>
      <c r="J1109" s="3" t="n">
        <v>131.79</v>
      </c>
      <c r="K1109" s="3" t="n">
        <v>0.1</v>
      </c>
      <c r="L1109" s="3" t="n">
        <v>2.07</v>
      </c>
    </row>
    <row r="1110">
      <c r="A1110" s="3" t="inlineStr">
        <is>
          <t>ORD-11109</t>
        </is>
      </c>
      <c r="B1110" s="6" t="n">
        <v>45897</v>
      </c>
      <c r="C1110" s="3" t="inlineStr">
        <is>
          <t>Clothing</t>
        </is>
      </c>
      <c r="D1110" s="3" t="inlineStr">
        <is>
          <t>Trousers</t>
        </is>
      </c>
      <c r="E1110" s="3" t="inlineStr">
        <is>
          <t>Ashanti</t>
        </is>
      </c>
      <c r="F1110" s="3" t="inlineStr">
        <is>
          <t>Phone/WhatsApp</t>
        </is>
      </c>
      <c r="G1110" s="3" t="inlineStr">
        <is>
          <t>New</t>
        </is>
      </c>
      <c r="H1110" s="3" t="n">
        <v>1</v>
      </c>
      <c r="I1110" s="3" t="n">
        <v>125</v>
      </c>
      <c r="J1110" s="3" t="n">
        <v>67.79000000000001</v>
      </c>
      <c r="K1110" s="3" t="n">
        <v>0.1</v>
      </c>
      <c r="L1110" s="3" t="n">
        <v>20.19</v>
      </c>
    </row>
    <row r="1111">
      <c r="A1111" s="3" t="inlineStr">
        <is>
          <t>ORD-11110</t>
        </is>
      </c>
      <c r="B1111" s="6" t="n">
        <v>45935</v>
      </c>
      <c r="C1111" s="3" t="inlineStr">
        <is>
          <t>Clothing</t>
        </is>
      </c>
      <c r="D1111" s="3" t="inlineStr">
        <is>
          <t>Jackets</t>
        </is>
      </c>
      <c r="E1111" s="3" t="inlineStr">
        <is>
          <t>Greater Accra</t>
        </is>
      </c>
      <c r="F1111" s="3" t="inlineStr">
        <is>
          <t>Phone/WhatsApp</t>
        </is>
      </c>
      <c r="G1111" s="3" t="inlineStr">
        <is>
          <t>New</t>
        </is>
      </c>
      <c r="H1111" s="3" t="n">
        <v>5</v>
      </c>
      <c r="I1111" s="3" t="n">
        <v>115</v>
      </c>
      <c r="J1111" s="3" t="n">
        <v>62.74</v>
      </c>
      <c r="K1111" s="3" t="n">
        <v>0</v>
      </c>
      <c r="L1111" s="3" t="n">
        <v>22.3</v>
      </c>
    </row>
    <row r="1112">
      <c r="A1112" s="3" t="inlineStr">
        <is>
          <t>ORD-11111</t>
        </is>
      </c>
      <c r="B1112" s="6" t="n">
        <v>46021</v>
      </c>
      <c r="C1112" s="3" t="inlineStr">
        <is>
          <t>Footwear</t>
        </is>
      </c>
      <c r="D1112" s="3" t="inlineStr">
        <is>
          <t>Formal Shoes</t>
        </is>
      </c>
      <c r="E1112" s="3" t="inlineStr">
        <is>
          <t>Greater Accra</t>
        </is>
      </c>
      <c r="F1112" s="3" t="inlineStr">
        <is>
          <t>Retail Shop</t>
        </is>
      </c>
      <c r="G1112" s="3" t="inlineStr">
        <is>
          <t>New</t>
        </is>
      </c>
      <c r="H1112" s="3" t="n">
        <v>3</v>
      </c>
      <c r="I1112" s="3" t="n">
        <v>170</v>
      </c>
      <c r="J1112" s="3" t="n">
        <v>108.52</v>
      </c>
      <c r="K1112" s="3" t="n">
        <v>0</v>
      </c>
      <c r="L1112" s="3" t="n">
        <v>7.52</v>
      </c>
    </row>
    <row r="1113">
      <c r="A1113" s="3" t="inlineStr">
        <is>
          <t>ORD-11112</t>
        </is>
      </c>
      <c r="B1113" s="6" t="n">
        <v>45848</v>
      </c>
      <c r="C1113" s="3" t="inlineStr">
        <is>
          <t>Footwear</t>
        </is>
      </c>
      <c r="D1113" s="3" t="inlineStr">
        <is>
          <t>Formal Shoes</t>
        </is>
      </c>
      <c r="E1113" s="3" t="inlineStr">
        <is>
          <t>Western</t>
        </is>
      </c>
      <c r="F1113" s="3" t="inlineStr">
        <is>
          <t>Retail Shop</t>
        </is>
      </c>
      <c r="G1113" s="3" t="inlineStr">
        <is>
          <t>Returning</t>
        </is>
      </c>
      <c r="H1113" s="3" t="n">
        <v>11</v>
      </c>
      <c r="I1113" s="3" t="n">
        <v>385</v>
      </c>
      <c r="J1113" s="3" t="n">
        <v>224.9</v>
      </c>
      <c r="K1113" s="3" t="n">
        <v>0.1</v>
      </c>
      <c r="L1113" s="3" t="n">
        <v>5.99</v>
      </c>
    </row>
    <row r="1114">
      <c r="A1114" s="3" t="inlineStr">
        <is>
          <t>ORD-11113</t>
        </is>
      </c>
      <c r="B1114" s="6" t="n">
        <v>45923</v>
      </c>
      <c r="C1114" s="3" t="inlineStr">
        <is>
          <t>Footwear</t>
        </is>
      </c>
      <c r="D1114" s="3" t="inlineStr">
        <is>
          <t>Sandals</t>
        </is>
      </c>
      <c r="E1114" s="3" t="inlineStr">
        <is>
          <t>Greater Accra</t>
        </is>
      </c>
      <c r="F1114" s="3" t="inlineStr">
        <is>
          <t>Online</t>
        </is>
      </c>
      <c r="G1114" s="3" t="inlineStr">
        <is>
          <t>Returning</t>
        </is>
      </c>
      <c r="H1114" s="3" t="n">
        <v>4</v>
      </c>
      <c r="I1114" s="3" t="n">
        <v>260</v>
      </c>
      <c r="J1114" s="3" t="n">
        <v>138.94</v>
      </c>
      <c r="K1114" s="3" t="n">
        <v>0</v>
      </c>
      <c r="L1114" s="3" t="n">
        <v>14.09</v>
      </c>
    </row>
    <row r="1115">
      <c r="A1115" s="3" t="inlineStr">
        <is>
          <t>ORD-11114</t>
        </is>
      </c>
      <c r="B1115" s="6" t="n">
        <v>45878</v>
      </c>
      <c r="C1115" s="3" t="inlineStr">
        <is>
          <t>Clothing</t>
        </is>
      </c>
      <c r="D1115" s="3" t="inlineStr">
        <is>
          <t>Trousers</t>
        </is>
      </c>
      <c r="E1115" s="3" t="inlineStr">
        <is>
          <t>Greater Accra</t>
        </is>
      </c>
      <c r="F1115" s="3" t="inlineStr">
        <is>
          <t>Online</t>
        </is>
      </c>
      <c r="G1115" s="3" t="inlineStr">
        <is>
          <t>New</t>
        </is>
      </c>
      <c r="H1115" s="3" t="n">
        <v>8</v>
      </c>
      <c r="I1115" s="3" t="n">
        <v>85</v>
      </c>
      <c r="J1115" s="3" t="n">
        <v>47.8</v>
      </c>
      <c r="K1115" s="3" t="n">
        <v>0</v>
      </c>
      <c r="L1115" s="3" t="n">
        <v>37.54</v>
      </c>
    </row>
    <row r="1116">
      <c r="A1116" s="3" t="inlineStr">
        <is>
          <t>ORD-11115</t>
        </is>
      </c>
      <c r="B1116" s="6" t="n">
        <v>45803</v>
      </c>
      <c r="C1116" s="3" t="inlineStr">
        <is>
          <t>Footwear</t>
        </is>
      </c>
      <c r="D1116" s="3" t="inlineStr">
        <is>
          <t>Boots</t>
        </is>
      </c>
      <c r="E1116" s="3" t="inlineStr">
        <is>
          <t>Northern</t>
        </is>
      </c>
      <c r="F1116" s="3" t="inlineStr">
        <is>
          <t>Online</t>
        </is>
      </c>
      <c r="G1116" s="3" t="inlineStr">
        <is>
          <t>Returning</t>
        </is>
      </c>
      <c r="H1116" s="3" t="n">
        <v>2</v>
      </c>
      <c r="I1116" s="3" t="n">
        <v>165</v>
      </c>
      <c r="J1116" s="3" t="n">
        <v>101.1</v>
      </c>
      <c r="K1116" s="3" t="n">
        <v>0</v>
      </c>
      <c r="L1116" s="3" t="n">
        <v>25.53</v>
      </c>
    </row>
    <row r="1117">
      <c r="A1117" s="3" t="inlineStr">
        <is>
          <t>ORD-11116</t>
        </is>
      </c>
      <c r="B1117" s="6" t="n">
        <v>45681</v>
      </c>
      <c r="C1117" s="3" t="inlineStr">
        <is>
          <t>Footwear</t>
        </is>
      </c>
      <c r="D1117" s="3" t="inlineStr">
        <is>
          <t>Boots</t>
        </is>
      </c>
      <c r="E1117" s="3" t="inlineStr">
        <is>
          <t>Northern</t>
        </is>
      </c>
      <c r="F1117" s="3" t="inlineStr">
        <is>
          <t>Online</t>
        </is>
      </c>
      <c r="G1117" s="3" t="inlineStr">
        <is>
          <t>Returning</t>
        </is>
      </c>
      <c r="H1117" s="3" t="n">
        <v>7</v>
      </c>
      <c r="I1117" s="3" t="n">
        <v>280</v>
      </c>
      <c r="J1117" s="3" t="n">
        <v>175.44</v>
      </c>
      <c r="K1117" s="3" t="n">
        <v>0.05</v>
      </c>
      <c r="L1117" s="3" t="n">
        <v>26.35</v>
      </c>
    </row>
    <row r="1118">
      <c r="A1118" s="3" t="inlineStr">
        <is>
          <t>ORD-11117</t>
        </is>
      </c>
      <c r="B1118" s="6" t="n">
        <v>45915</v>
      </c>
      <c r="C1118" s="3" t="inlineStr">
        <is>
          <t>Home &amp; Lifestyle</t>
        </is>
      </c>
      <c r="D1118" s="3" t="inlineStr">
        <is>
          <t>Small Home Goods</t>
        </is>
      </c>
      <c r="E1118" s="3" t="inlineStr">
        <is>
          <t>Central</t>
        </is>
      </c>
      <c r="F1118" s="3" t="inlineStr">
        <is>
          <t>Retail Shop</t>
        </is>
      </c>
      <c r="G1118" s="3" t="inlineStr">
        <is>
          <t>New</t>
        </is>
      </c>
      <c r="H1118" s="3" t="n">
        <v>2</v>
      </c>
      <c r="I1118" s="3" t="n">
        <v>95</v>
      </c>
      <c r="J1118" s="3" t="n">
        <v>55.86</v>
      </c>
      <c r="K1118" s="3" t="n">
        <v>0</v>
      </c>
      <c r="L1118" s="3" t="n">
        <v>5.58</v>
      </c>
    </row>
    <row r="1119">
      <c r="A1119" s="3" t="inlineStr">
        <is>
          <t>ORD-11118</t>
        </is>
      </c>
      <c r="B1119" s="6" t="n">
        <v>45764</v>
      </c>
      <c r="C1119" s="3" t="inlineStr">
        <is>
          <t>Clothing</t>
        </is>
      </c>
      <c r="D1119" s="3" t="inlineStr">
        <is>
          <t>Shirts</t>
        </is>
      </c>
      <c r="E1119" s="3" t="inlineStr">
        <is>
          <t>Central</t>
        </is>
      </c>
      <c r="F1119" s="3" t="inlineStr">
        <is>
          <t>Online</t>
        </is>
      </c>
      <c r="G1119" s="3" t="inlineStr">
        <is>
          <t>Returning</t>
        </is>
      </c>
      <c r="H1119" s="3" t="n">
        <v>1</v>
      </c>
      <c r="I1119" s="3" t="n">
        <v>175</v>
      </c>
      <c r="J1119" s="3" t="n">
        <v>93.98</v>
      </c>
      <c r="K1119" s="3" t="n">
        <v>0.1</v>
      </c>
      <c r="L1119" s="3" t="n">
        <v>44.57</v>
      </c>
    </row>
    <row r="1120">
      <c r="A1120" s="3" t="inlineStr">
        <is>
          <t>ORD-11119</t>
        </is>
      </c>
      <c r="B1120" s="6" t="n">
        <v>45998</v>
      </c>
      <c r="C1120" s="3" t="inlineStr">
        <is>
          <t>Footwear</t>
        </is>
      </c>
      <c r="D1120" s="3" t="inlineStr">
        <is>
          <t>Sandals</t>
        </is>
      </c>
      <c r="E1120" s="3" t="inlineStr">
        <is>
          <t>Ashanti</t>
        </is>
      </c>
      <c r="F1120" s="3" t="inlineStr">
        <is>
          <t>Online</t>
        </is>
      </c>
      <c r="G1120" s="3" t="inlineStr">
        <is>
          <t>New</t>
        </is>
      </c>
      <c r="H1120" s="3" t="n">
        <v>1</v>
      </c>
      <c r="I1120" s="3" t="n">
        <v>380</v>
      </c>
      <c r="J1120" s="3" t="n">
        <v>236.28</v>
      </c>
      <c r="K1120" s="3" t="n">
        <v>0</v>
      </c>
      <c r="L1120" s="3" t="n">
        <v>18</v>
      </c>
    </row>
    <row r="1121">
      <c r="A1121" s="3" t="inlineStr">
        <is>
          <t>ORD-11120</t>
        </is>
      </c>
      <c r="B1121" s="6" t="n">
        <v>45881</v>
      </c>
      <c r="C1121" s="3" t="inlineStr">
        <is>
          <t>Clothing</t>
        </is>
      </c>
      <c r="D1121" s="3" t="inlineStr">
        <is>
          <t>Dresses</t>
        </is>
      </c>
      <c r="E1121" s="3" t="inlineStr">
        <is>
          <t>Greater Accra</t>
        </is>
      </c>
      <c r="F1121" s="3" t="inlineStr">
        <is>
          <t>Phone/WhatsApp</t>
        </is>
      </c>
      <c r="G1121" s="3" t="inlineStr">
        <is>
          <t>Returning</t>
        </is>
      </c>
      <c r="H1121" s="3" t="n">
        <v>3</v>
      </c>
      <c r="I1121" s="3" t="n">
        <v>180</v>
      </c>
      <c r="J1121" s="3" t="n">
        <v>96.25</v>
      </c>
      <c r="K1121" s="3" t="n">
        <v>0.15</v>
      </c>
      <c r="L1121" s="3" t="n">
        <v>18.18</v>
      </c>
    </row>
    <row r="1122">
      <c r="A1122" s="3" t="inlineStr">
        <is>
          <t>ORD-11121</t>
        </is>
      </c>
      <c r="B1122" s="6" t="n">
        <v>45725</v>
      </c>
      <c r="C1122" s="3" t="inlineStr">
        <is>
          <t>Footwear</t>
        </is>
      </c>
      <c r="D1122" s="3" t="inlineStr">
        <is>
          <t>Boots</t>
        </is>
      </c>
      <c r="E1122" s="3" t="inlineStr">
        <is>
          <t>Western</t>
        </is>
      </c>
      <c r="F1122" s="3" t="inlineStr">
        <is>
          <t>Phone/WhatsApp</t>
        </is>
      </c>
      <c r="G1122" s="3" t="inlineStr">
        <is>
          <t>New</t>
        </is>
      </c>
      <c r="H1122" s="3" t="n">
        <v>2</v>
      </c>
      <c r="I1122" s="3" t="n">
        <v>340</v>
      </c>
      <c r="J1122" s="3" t="n">
        <v>181.94</v>
      </c>
      <c r="K1122" s="3" t="n">
        <v>0</v>
      </c>
      <c r="L1122" s="3" t="n">
        <v>22.87</v>
      </c>
    </row>
    <row r="1123">
      <c r="A1123" s="3" t="inlineStr">
        <is>
          <t>ORD-11122</t>
        </is>
      </c>
      <c r="B1123" s="6" t="n">
        <v>46006</v>
      </c>
      <c r="C1123" s="3" t="inlineStr">
        <is>
          <t>Clothing</t>
        </is>
      </c>
      <c r="D1123" s="3" t="inlineStr">
        <is>
          <t>Shirts</t>
        </is>
      </c>
      <c r="E1123" s="3" t="inlineStr">
        <is>
          <t>Greater Accra</t>
        </is>
      </c>
      <c r="F1123" s="3" t="inlineStr">
        <is>
          <t>Phone/WhatsApp</t>
        </is>
      </c>
      <c r="G1123" s="3" t="inlineStr">
        <is>
          <t>Returning</t>
        </is>
      </c>
      <c r="H1123" s="3" t="n">
        <v>1</v>
      </c>
      <c r="I1123" s="3" t="n">
        <v>105</v>
      </c>
      <c r="J1123" s="3" t="n">
        <v>57.31</v>
      </c>
      <c r="K1123" s="3" t="n">
        <v>0</v>
      </c>
      <c r="L1123" s="3" t="n">
        <v>14.52</v>
      </c>
    </row>
    <row r="1124">
      <c r="A1124" s="3" t="inlineStr">
        <is>
          <t>ORD-11123</t>
        </is>
      </c>
      <c r="B1124" s="6" t="n">
        <v>45831</v>
      </c>
      <c r="C1124" s="3" t="inlineStr">
        <is>
          <t>Accessories</t>
        </is>
      </c>
      <c r="D1124" s="3" t="inlineStr">
        <is>
          <t>Watches</t>
        </is>
      </c>
      <c r="E1124" s="3" t="inlineStr">
        <is>
          <t>Northern</t>
        </is>
      </c>
      <c r="F1124" s="3" t="inlineStr">
        <is>
          <t>Phone/WhatsApp</t>
        </is>
      </c>
      <c r="G1124" s="3" t="inlineStr">
        <is>
          <t>New</t>
        </is>
      </c>
      <c r="H1124" s="3" t="n">
        <v>2</v>
      </c>
      <c r="I1124" s="3" t="n">
        <v>70</v>
      </c>
      <c r="J1124" s="3" t="n">
        <v>36.9</v>
      </c>
      <c r="K1124" s="3" t="n">
        <v>0</v>
      </c>
      <c r="L1124" s="3" t="n">
        <v>18.72</v>
      </c>
    </row>
    <row r="1125">
      <c r="A1125" s="3" t="inlineStr">
        <is>
          <t>ORD-11124</t>
        </is>
      </c>
      <c r="B1125" s="6" t="n">
        <v>45940</v>
      </c>
      <c r="C1125" s="3" t="inlineStr">
        <is>
          <t>Accessories</t>
        </is>
      </c>
      <c r="D1125" s="3" t="inlineStr">
        <is>
          <t>Belts</t>
        </is>
      </c>
      <c r="E1125" s="3" t="inlineStr">
        <is>
          <t>Central</t>
        </is>
      </c>
      <c r="F1125" s="3" t="inlineStr">
        <is>
          <t>Phone/WhatsApp</t>
        </is>
      </c>
      <c r="G1125" s="3" t="inlineStr">
        <is>
          <t>Returning</t>
        </is>
      </c>
      <c r="H1125" s="3" t="n">
        <v>1</v>
      </c>
      <c r="I1125" s="3" t="n">
        <v>110</v>
      </c>
      <c r="J1125" s="3" t="n">
        <v>48.23</v>
      </c>
      <c r="K1125" s="3" t="n">
        <v>0.05</v>
      </c>
      <c r="L1125" s="3" t="n">
        <v>37.85</v>
      </c>
    </row>
    <row r="1126">
      <c r="A1126" s="3" t="inlineStr">
        <is>
          <t>ORD-11125</t>
        </is>
      </c>
      <c r="B1126" s="6" t="n">
        <v>45990</v>
      </c>
      <c r="C1126" s="3" t="inlineStr">
        <is>
          <t>Clothing</t>
        </is>
      </c>
      <c r="D1126" s="3" t="inlineStr">
        <is>
          <t>Shirts</t>
        </is>
      </c>
      <c r="E1126" s="3" t="inlineStr">
        <is>
          <t>Greater Accra</t>
        </is>
      </c>
      <c r="F1126" s="3" t="inlineStr">
        <is>
          <t>Retail Shop</t>
        </is>
      </c>
      <c r="G1126" s="3" t="inlineStr">
        <is>
          <t>New</t>
        </is>
      </c>
      <c r="H1126" s="3" t="n">
        <v>1</v>
      </c>
      <c r="I1126" s="3" t="n">
        <v>135</v>
      </c>
      <c r="J1126" s="3" t="n">
        <v>70.25</v>
      </c>
      <c r="K1126" s="3" t="n">
        <v>0</v>
      </c>
      <c r="L1126" s="3" t="n">
        <v>8.94</v>
      </c>
    </row>
    <row r="1127">
      <c r="A1127" s="3" t="inlineStr">
        <is>
          <t>ORD-11126</t>
        </is>
      </c>
      <c r="B1127" s="6" t="n">
        <v>45967</v>
      </c>
      <c r="C1127" s="3" t="inlineStr">
        <is>
          <t>Footwear</t>
        </is>
      </c>
      <c r="D1127" s="3" t="inlineStr">
        <is>
          <t>Formal Shoes</t>
        </is>
      </c>
      <c r="E1127" s="3" t="inlineStr">
        <is>
          <t>Ashanti</t>
        </is>
      </c>
      <c r="F1127" s="3" t="inlineStr">
        <is>
          <t>Online</t>
        </is>
      </c>
      <c r="G1127" s="3" t="inlineStr">
        <is>
          <t>New</t>
        </is>
      </c>
      <c r="H1127" s="3" t="n">
        <v>6</v>
      </c>
      <c r="I1127" s="3" t="n">
        <v>250</v>
      </c>
      <c r="J1127" s="3" t="n">
        <v>144.46</v>
      </c>
      <c r="K1127" s="3" t="n">
        <v>0</v>
      </c>
      <c r="L1127" s="3" t="n">
        <v>17.98</v>
      </c>
    </row>
    <row r="1128">
      <c r="A1128" s="3" t="inlineStr">
        <is>
          <t>ORD-11127</t>
        </is>
      </c>
      <c r="B1128" s="6" t="n">
        <v>45963</v>
      </c>
      <c r="C1128" s="3" t="inlineStr">
        <is>
          <t>Home &amp; Lifestyle</t>
        </is>
      </c>
      <c r="D1128" s="3" t="inlineStr">
        <is>
          <t>Wallets</t>
        </is>
      </c>
      <c r="E1128" s="3" t="inlineStr">
        <is>
          <t>Greater Accra</t>
        </is>
      </c>
      <c r="F1128" s="3" t="inlineStr">
        <is>
          <t>Retail Shop</t>
        </is>
      </c>
      <c r="G1128" s="3" t="inlineStr">
        <is>
          <t>New</t>
        </is>
      </c>
      <c r="H1128" s="3" t="n">
        <v>2</v>
      </c>
      <c r="I1128" s="3" t="n">
        <v>175</v>
      </c>
      <c r="J1128" s="3" t="n">
        <v>87.15000000000001</v>
      </c>
      <c r="K1128" s="3" t="n">
        <v>0.15</v>
      </c>
      <c r="L1128" s="3" t="n">
        <v>9.550000000000001</v>
      </c>
    </row>
    <row r="1129">
      <c r="A1129" s="3" t="inlineStr">
        <is>
          <t>ORD-11128</t>
        </is>
      </c>
      <c r="B1129" s="6" t="n">
        <v>45940</v>
      </c>
      <c r="C1129" s="3" t="inlineStr">
        <is>
          <t>Footwear</t>
        </is>
      </c>
      <c r="D1129" s="3" t="inlineStr">
        <is>
          <t>Sneakers</t>
        </is>
      </c>
      <c r="E1129" s="3" t="inlineStr">
        <is>
          <t>Central</t>
        </is>
      </c>
      <c r="F1129" s="3" t="inlineStr">
        <is>
          <t>Retail Shop</t>
        </is>
      </c>
      <c r="G1129" s="3" t="inlineStr">
        <is>
          <t>Returning</t>
        </is>
      </c>
      <c r="H1129" s="3" t="n">
        <v>1</v>
      </c>
      <c r="I1129" s="3" t="n">
        <v>205</v>
      </c>
      <c r="J1129" s="3" t="n">
        <v>120.08</v>
      </c>
      <c r="K1129" s="3" t="n">
        <v>0.1</v>
      </c>
      <c r="L1129" s="3" t="n">
        <v>0.83</v>
      </c>
    </row>
    <row r="1130">
      <c r="A1130" s="3" t="inlineStr">
        <is>
          <t>ORD-11129</t>
        </is>
      </c>
      <c r="B1130" s="6" t="n">
        <v>45829</v>
      </c>
      <c r="C1130" s="3" t="inlineStr">
        <is>
          <t>Footwear</t>
        </is>
      </c>
      <c r="D1130" s="3" t="inlineStr">
        <is>
          <t>Boots</t>
        </is>
      </c>
      <c r="E1130" s="3" t="inlineStr">
        <is>
          <t>Northern</t>
        </is>
      </c>
      <c r="F1130" s="3" t="inlineStr">
        <is>
          <t>Online</t>
        </is>
      </c>
      <c r="G1130" s="3" t="inlineStr">
        <is>
          <t>New</t>
        </is>
      </c>
      <c r="H1130" s="3" t="n">
        <v>1</v>
      </c>
      <c r="I1130" s="3" t="n">
        <v>530</v>
      </c>
      <c r="J1130" s="3" t="n">
        <v>307</v>
      </c>
      <c r="K1130" s="3" t="n">
        <v>0</v>
      </c>
      <c r="L1130" s="3" t="n">
        <v>9.130000000000001</v>
      </c>
    </row>
    <row r="1131">
      <c r="A1131" s="3" t="inlineStr">
        <is>
          <t>ORD-11130</t>
        </is>
      </c>
      <c r="B1131" s="6" t="n">
        <v>45870</v>
      </c>
      <c r="C1131" s="3" t="inlineStr">
        <is>
          <t>Footwear</t>
        </is>
      </c>
      <c r="D1131" s="3" t="inlineStr">
        <is>
          <t>Formal Shoes</t>
        </is>
      </c>
      <c r="E1131" s="3" t="inlineStr">
        <is>
          <t>Greater Accra</t>
        </is>
      </c>
      <c r="F1131" s="3" t="inlineStr">
        <is>
          <t>Retail Shop</t>
        </is>
      </c>
      <c r="G1131" s="3" t="inlineStr">
        <is>
          <t>New</t>
        </is>
      </c>
      <c r="H1131" s="3" t="n">
        <v>3</v>
      </c>
      <c r="I1131" s="3" t="n">
        <v>270</v>
      </c>
      <c r="J1131" s="3" t="n">
        <v>153.96</v>
      </c>
      <c r="K1131" s="3" t="n">
        <v>0</v>
      </c>
      <c r="L1131" s="3" t="n">
        <v>4.02</v>
      </c>
    </row>
    <row r="1132">
      <c r="A1132" s="3" t="inlineStr">
        <is>
          <t>ORD-11131</t>
        </is>
      </c>
      <c r="B1132" s="6" t="n">
        <v>45895</v>
      </c>
      <c r="C1132" s="3" t="inlineStr">
        <is>
          <t>Accessories</t>
        </is>
      </c>
      <c r="D1132" s="3" t="inlineStr">
        <is>
          <t>Bags</t>
        </is>
      </c>
      <c r="E1132" s="3" t="inlineStr">
        <is>
          <t>Greater Accra</t>
        </is>
      </c>
      <c r="F1132" s="3" t="inlineStr">
        <is>
          <t>Online</t>
        </is>
      </c>
      <c r="G1132" s="3" t="inlineStr">
        <is>
          <t>Returning</t>
        </is>
      </c>
      <c r="H1132" s="3" t="n">
        <v>10</v>
      </c>
      <c r="I1132" s="3" t="n">
        <v>145</v>
      </c>
      <c r="J1132" s="3" t="n">
        <v>63.83</v>
      </c>
      <c r="K1132" s="3" t="n">
        <v>0</v>
      </c>
      <c r="L1132" s="3" t="n">
        <v>8.68</v>
      </c>
    </row>
    <row r="1133">
      <c r="A1133" s="3" t="inlineStr">
        <is>
          <t>ORD-11132</t>
        </is>
      </c>
      <c r="B1133" s="6" t="n">
        <v>45748</v>
      </c>
      <c r="C1133" s="3" t="inlineStr">
        <is>
          <t>Footwear</t>
        </is>
      </c>
      <c r="D1133" s="3" t="inlineStr">
        <is>
          <t>Formal Shoes</t>
        </is>
      </c>
      <c r="E1133" s="3" t="inlineStr">
        <is>
          <t>Greater Accra</t>
        </is>
      </c>
      <c r="F1133" s="3" t="inlineStr">
        <is>
          <t>Retail Shop</t>
        </is>
      </c>
      <c r="G1133" s="3" t="inlineStr">
        <is>
          <t>Returning</t>
        </is>
      </c>
      <c r="H1133" s="3" t="n">
        <v>3</v>
      </c>
      <c r="I1133" s="3" t="n">
        <v>235</v>
      </c>
      <c r="J1133" s="3" t="n">
        <v>122.87</v>
      </c>
      <c r="K1133" s="3" t="n">
        <v>0.05</v>
      </c>
      <c r="L1133" s="3" t="n">
        <v>3.33</v>
      </c>
    </row>
    <row r="1134">
      <c r="A1134" s="3" t="inlineStr">
        <is>
          <t>ORD-11133</t>
        </is>
      </c>
      <c r="B1134" s="6" t="n">
        <v>45880</v>
      </c>
      <c r="C1134" s="3" t="inlineStr">
        <is>
          <t>Clothing</t>
        </is>
      </c>
      <c r="D1134" s="3" t="inlineStr">
        <is>
          <t>Shirts</t>
        </is>
      </c>
      <c r="E1134" s="3" t="inlineStr">
        <is>
          <t>Western</t>
        </is>
      </c>
      <c r="F1134" s="3" t="inlineStr">
        <is>
          <t>Online</t>
        </is>
      </c>
      <c r="G1134" s="3" t="inlineStr">
        <is>
          <t>Returning</t>
        </is>
      </c>
      <c r="H1134" s="3" t="n">
        <v>2</v>
      </c>
      <c r="I1134" s="3" t="n">
        <v>170</v>
      </c>
      <c r="J1134" s="3" t="n">
        <v>82.95999999999999</v>
      </c>
      <c r="K1134" s="3" t="n">
        <v>0.05</v>
      </c>
      <c r="L1134" s="3" t="n">
        <v>22.62</v>
      </c>
    </row>
    <row r="1135">
      <c r="A1135" s="3" t="inlineStr">
        <is>
          <t>ORD-11134</t>
        </is>
      </c>
      <c r="B1135" s="6" t="n">
        <v>45871</v>
      </c>
      <c r="C1135" s="3" t="inlineStr">
        <is>
          <t>Clothing</t>
        </is>
      </c>
      <c r="D1135" s="3" t="inlineStr">
        <is>
          <t>Jackets</t>
        </is>
      </c>
      <c r="E1135" s="3" t="inlineStr">
        <is>
          <t>Greater Accra</t>
        </is>
      </c>
      <c r="F1135" s="3" t="inlineStr">
        <is>
          <t>Online</t>
        </is>
      </c>
      <c r="G1135" s="3" t="inlineStr">
        <is>
          <t>New</t>
        </is>
      </c>
      <c r="H1135" s="3" t="n">
        <v>1</v>
      </c>
      <c r="I1135" s="3" t="n">
        <v>165</v>
      </c>
      <c r="J1135" s="3" t="n">
        <v>76.45</v>
      </c>
      <c r="K1135" s="3" t="n">
        <v>0.05</v>
      </c>
      <c r="L1135" s="3" t="n">
        <v>40.59</v>
      </c>
    </row>
    <row r="1136">
      <c r="A1136" s="3" t="inlineStr">
        <is>
          <t>ORD-11135</t>
        </is>
      </c>
      <c r="B1136" s="6" t="n">
        <v>45787</v>
      </c>
      <c r="C1136" s="3" t="inlineStr">
        <is>
          <t>Footwear</t>
        </is>
      </c>
      <c r="D1136" s="3" t="inlineStr">
        <is>
          <t>Sandals</t>
        </is>
      </c>
      <c r="E1136" s="3" t="inlineStr">
        <is>
          <t>Greater Accra</t>
        </is>
      </c>
      <c r="F1136" s="3" t="inlineStr">
        <is>
          <t>Retail Shop</t>
        </is>
      </c>
      <c r="G1136" s="3" t="inlineStr">
        <is>
          <t>Returning</t>
        </is>
      </c>
      <c r="H1136" s="3" t="n">
        <v>5</v>
      </c>
      <c r="I1136" s="3" t="n">
        <v>340</v>
      </c>
      <c r="J1136" s="3" t="n">
        <v>187</v>
      </c>
      <c r="K1136" s="3" t="n">
        <v>0</v>
      </c>
      <c r="L1136" s="3" t="n">
        <v>4.08</v>
      </c>
    </row>
    <row r="1137">
      <c r="A1137" s="3" t="inlineStr">
        <is>
          <t>ORD-11136</t>
        </is>
      </c>
      <c r="B1137" s="6" t="n">
        <v>45704</v>
      </c>
      <c r="C1137" s="3" t="inlineStr">
        <is>
          <t>Home &amp; Lifestyle</t>
        </is>
      </c>
      <c r="D1137" s="3" t="inlineStr">
        <is>
          <t>Backpacks</t>
        </is>
      </c>
      <c r="E1137" s="3" t="inlineStr">
        <is>
          <t>Greater Accra</t>
        </is>
      </c>
      <c r="F1137" s="3" t="inlineStr">
        <is>
          <t>Phone/WhatsApp</t>
        </is>
      </c>
      <c r="G1137" s="3" t="inlineStr">
        <is>
          <t>New</t>
        </is>
      </c>
      <c r="H1137" s="3" t="n">
        <v>1</v>
      </c>
      <c r="I1137" s="3" t="n">
        <v>145</v>
      </c>
      <c r="J1137" s="3" t="n">
        <v>79.11</v>
      </c>
      <c r="K1137" s="3" t="n">
        <v>0.1</v>
      </c>
      <c r="L1137" s="3" t="n">
        <v>43.54</v>
      </c>
    </row>
    <row r="1138">
      <c r="A1138" s="3" t="inlineStr">
        <is>
          <t>ORD-11137</t>
        </is>
      </c>
      <c r="B1138" s="6" t="n">
        <v>45955</v>
      </c>
      <c r="C1138" s="3" t="inlineStr">
        <is>
          <t>Clothing</t>
        </is>
      </c>
      <c r="D1138" s="3" t="inlineStr">
        <is>
          <t>Trousers</t>
        </is>
      </c>
      <c r="E1138" s="3" t="inlineStr">
        <is>
          <t>Greater Accra</t>
        </is>
      </c>
      <c r="F1138" s="3" t="inlineStr">
        <is>
          <t>Online</t>
        </is>
      </c>
      <c r="G1138" s="3" t="inlineStr">
        <is>
          <t>New</t>
        </is>
      </c>
      <c r="H1138" s="3" t="n">
        <v>3</v>
      </c>
      <c r="I1138" s="3" t="n">
        <v>200</v>
      </c>
      <c r="J1138" s="3" t="n">
        <v>112.62</v>
      </c>
      <c r="K1138" s="3" t="n">
        <v>0</v>
      </c>
      <c r="L1138" s="3" t="n">
        <v>44.13</v>
      </c>
    </row>
    <row r="1139">
      <c r="A1139" s="3" t="inlineStr">
        <is>
          <t>ORD-11138</t>
        </is>
      </c>
      <c r="B1139" s="6" t="n">
        <v>45902</v>
      </c>
      <c r="C1139" s="3" t="inlineStr">
        <is>
          <t>Home &amp; Lifestyle</t>
        </is>
      </c>
      <c r="D1139" s="3" t="inlineStr">
        <is>
          <t>Travel Mugs</t>
        </is>
      </c>
      <c r="E1139" s="3" t="inlineStr">
        <is>
          <t>Greater Accra</t>
        </is>
      </c>
      <c r="F1139" s="3" t="inlineStr">
        <is>
          <t>Retail Shop</t>
        </is>
      </c>
      <c r="G1139" s="3" t="inlineStr">
        <is>
          <t>Returning</t>
        </is>
      </c>
      <c r="H1139" s="3" t="n">
        <v>1</v>
      </c>
      <c r="I1139" s="3" t="n">
        <v>80</v>
      </c>
      <c r="J1139" s="3" t="n">
        <v>49.23</v>
      </c>
      <c r="K1139" s="3" t="n">
        <v>0</v>
      </c>
      <c r="L1139" s="3" t="n">
        <v>1.08</v>
      </c>
    </row>
    <row r="1140">
      <c r="A1140" s="3" t="inlineStr">
        <is>
          <t>ORD-11139</t>
        </is>
      </c>
      <c r="B1140" s="6" t="n">
        <v>46017</v>
      </c>
      <c r="C1140" s="3" t="inlineStr">
        <is>
          <t>Footwear</t>
        </is>
      </c>
      <c r="D1140" s="3" t="inlineStr">
        <is>
          <t>Boots</t>
        </is>
      </c>
      <c r="E1140" s="3" t="inlineStr">
        <is>
          <t>Greater Accra</t>
        </is>
      </c>
      <c r="F1140" s="3" t="inlineStr">
        <is>
          <t>Retail Shop</t>
        </is>
      </c>
      <c r="G1140" s="3" t="inlineStr">
        <is>
          <t>New</t>
        </is>
      </c>
      <c r="H1140" s="3" t="n">
        <v>3</v>
      </c>
      <c r="I1140" s="3" t="n">
        <v>285</v>
      </c>
      <c r="J1140" s="3" t="n">
        <v>153.01</v>
      </c>
      <c r="K1140" s="3" t="n">
        <v>0</v>
      </c>
      <c r="L1140" s="3" t="n">
        <v>11.45</v>
      </c>
    </row>
    <row r="1141">
      <c r="A1141" s="3" t="inlineStr">
        <is>
          <t>ORD-11140</t>
        </is>
      </c>
      <c r="B1141" s="6" t="n">
        <v>45894</v>
      </c>
      <c r="C1141" s="3" t="inlineStr">
        <is>
          <t>Home &amp; Lifestyle</t>
        </is>
      </c>
      <c r="D1141" s="3" t="inlineStr">
        <is>
          <t>Wallets</t>
        </is>
      </c>
      <c r="E1141" s="3" t="inlineStr">
        <is>
          <t>Greater Accra</t>
        </is>
      </c>
      <c r="F1141" s="3" t="inlineStr">
        <is>
          <t>Retail Shop</t>
        </is>
      </c>
      <c r="G1141" s="3" t="inlineStr">
        <is>
          <t>New</t>
        </is>
      </c>
      <c r="H1141" s="3" t="n">
        <v>1</v>
      </c>
      <c r="I1141" s="3" t="n">
        <v>165</v>
      </c>
      <c r="J1141" s="3" t="n">
        <v>99.8</v>
      </c>
      <c r="K1141" s="3" t="n">
        <v>0.05</v>
      </c>
      <c r="L1141" s="3" t="n">
        <v>8.17</v>
      </c>
    </row>
    <row r="1142">
      <c r="A1142" s="3" t="inlineStr">
        <is>
          <t>ORD-11141</t>
        </is>
      </c>
      <c r="B1142" s="6" t="n">
        <v>45718</v>
      </c>
      <c r="C1142" s="3" t="inlineStr">
        <is>
          <t>Footwear</t>
        </is>
      </c>
      <c r="D1142" s="3" t="inlineStr">
        <is>
          <t>Boots</t>
        </is>
      </c>
      <c r="E1142" s="3" t="inlineStr">
        <is>
          <t>Greater Accra</t>
        </is>
      </c>
      <c r="F1142" s="3" t="inlineStr">
        <is>
          <t>Retail Shop</t>
        </is>
      </c>
      <c r="G1142" s="3" t="inlineStr">
        <is>
          <t>Returning</t>
        </is>
      </c>
      <c r="H1142" s="3" t="n">
        <v>1</v>
      </c>
      <c r="I1142" s="3" t="n">
        <v>215</v>
      </c>
      <c r="J1142" s="3" t="n">
        <v>129.03</v>
      </c>
      <c r="K1142" s="3" t="n">
        <v>0</v>
      </c>
      <c r="L1142" s="3" t="n">
        <v>7.18</v>
      </c>
    </row>
    <row r="1143">
      <c r="A1143" s="3" t="inlineStr">
        <is>
          <t>ORD-11142</t>
        </is>
      </c>
      <c r="B1143" s="6" t="n">
        <v>45697</v>
      </c>
      <c r="C1143" s="3" t="inlineStr">
        <is>
          <t>Clothing</t>
        </is>
      </c>
      <c r="D1143" s="3" t="inlineStr">
        <is>
          <t>Shirts</t>
        </is>
      </c>
      <c r="E1143" s="3" t="inlineStr">
        <is>
          <t>Ashanti</t>
        </is>
      </c>
      <c r="F1143" s="3" t="inlineStr">
        <is>
          <t>Online</t>
        </is>
      </c>
      <c r="G1143" s="3" t="inlineStr">
        <is>
          <t>New</t>
        </is>
      </c>
      <c r="H1143" s="3" t="n">
        <v>1</v>
      </c>
      <c r="I1143" s="3" t="n">
        <v>160</v>
      </c>
      <c r="J1143" s="3" t="n">
        <v>87.45</v>
      </c>
      <c r="K1143" s="3" t="n">
        <v>0.15</v>
      </c>
      <c r="L1143" s="3" t="n">
        <v>25.05</v>
      </c>
    </row>
    <row r="1144">
      <c r="A1144" s="3" t="inlineStr">
        <is>
          <t>ORD-11143</t>
        </is>
      </c>
      <c r="B1144" s="6" t="n">
        <v>45804</v>
      </c>
      <c r="C1144" s="3" t="inlineStr">
        <is>
          <t>Accessories</t>
        </is>
      </c>
      <c r="D1144" s="3" t="inlineStr">
        <is>
          <t>Belts</t>
        </is>
      </c>
      <c r="E1144" s="3" t="inlineStr">
        <is>
          <t>Greater Accra</t>
        </is>
      </c>
      <c r="F1144" s="3" t="inlineStr">
        <is>
          <t>Retail Shop</t>
        </is>
      </c>
      <c r="G1144" s="3" t="inlineStr">
        <is>
          <t>New</t>
        </is>
      </c>
      <c r="H1144" s="3" t="n">
        <v>1</v>
      </c>
      <c r="I1144" s="3" t="n">
        <v>90</v>
      </c>
      <c r="J1144" s="3" t="n">
        <v>41.92</v>
      </c>
      <c r="K1144" s="3" t="n">
        <v>0.05</v>
      </c>
      <c r="L1144" s="3" t="n">
        <v>2.51</v>
      </c>
    </row>
    <row r="1145">
      <c r="A1145" s="3" t="inlineStr">
        <is>
          <t>ORD-11144</t>
        </is>
      </c>
      <c r="B1145" s="6" t="n">
        <v>45678</v>
      </c>
      <c r="C1145" s="3" t="inlineStr">
        <is>
          <t>Clothing</t>
        </is>
      </c>
      <c r="D1145" s="3" t="inlineStr">
        <is>
          <t>Trousers</t>
        </is>
      </c>
      <c r="E1145" s="3" t="inlineStr">
        <is>
          <t>Western</t>
        </is>
      </c>
      <c r="F1145" s="3" t="inlineStr">
        <is>
          <t>Phone/WhatsApp</t>
        </is>
      </c>
      <c r="G1145" s="3" t="inlineStr">
        <is>
          <t>Returning</t>
        </is>
      </c>
      <c r="H1145" s="3" t="n">
        <v>2</v>
      </c>
      <c r="I1145" s="3" t="n">
        <v>205</v>
      </c>
      <c r="J1145" s="3" t="n">
        <v>115</v>
      </c>
      <c r="K1145" s="3" t="n">
        <v>0.05</v>
      </c>
      <c r="L1145" s="3" t="n">
        <v>30.6</v>
      </c>
    </row>
    <row r="1146">
      <c r="A1146" s="3" t="inlineStr">
        <is>
          <t>ORD-11145</t>
        </is>
      </c>
      <c r="B1146" s="6" t="n">
        <v>45993</v>
      </c>
      <c r="C1146" s="3" t="inlineStr">
        <is>
          <t>Footwear</t>
        </is>
      </c>
      <c r="D1146" s="3" t="inlineStr">
        <is>
          <t>Boots</t>
        </is>
      </c>
      <c r="E1146" s="3" t="inlineStr">
        <is>
          <t>Greater Accra</t>
        </is>
      </c>
      <c r="F1146" s="3" t="inlineStr">
        <is>
          <t>Retail Shop</t>
        </is>
      </c>
      <c r="G1146" s="3" t="inlineStr">
        <is>
          <t>Returning</t>
        </is>
      </c>
      <c r="H1146" s="3" t="n">
        <v>2</v>
      </c>
      <c r="I1146" s="3" t="n">
        <v>440</v>
      </c>
      <c r="J1146" s="3" t="n">
        <v>236.22</v>
      </c>
      <c r="K1146" s="3" t="n">
        <v>0.15</v>
      </c>
      <c r="L1146" s="3" t="n">
        <v>2.97</v>
      </c>
    </row>
    <row r="1147">
      <c r="A1147" s="3" t="inlineStr">
        <is>
          <t>ORD-11146</t>
        </is>
      </c>
      <c r="B1147" s="6" t="n">
        <v>45678</v>
      </c>
      <c r="C1147" s="3" t="inlineStr">
        <is>
          <t>Footwear</t>
        </is>
      </c>
      <c r="D1147" s="3" t="inlineStr">
        <is>
          <t>Sandals</t>
        </is>
      </c>
      <c r="E1147" s="3" t="inlineStr">
        <is>
          <t>Central</t>
        </is>
      </c>
      <c r="F1147" s="3" t="inlineStr">
        <is>
          <t>Phone/WhatsApp</t>
        </is>
      </c>
      <c r="G1147" s="3" t="inlineStr">
        <is>
          <t>Returning</t>
        </is>
      </c>
      <c r="H1147" s="3" t="n">
        <v>1</v>
      </c>
      <c r="I1147" s="3" t="n">
        <v>340</v>
      </c>
      <c r="J1147" s="3" t="n">
        <v>208.48</v>
      </c>
      <c r="K1147" s="3" t="n">
        <v>0</v>
      </c>
      <c r="L1147" s="3" t="n">
        <v>28.12</v>
      </c>
    </row>
    <row r="1148">
      <c r="A1148" s="3" t="inlineStr">
        <is>
          <t>ORD-11147</t>
        </is>
      </c>
      <c r="B1148" s="6" t="n">
        <v>45849</v>
      </c>
      <c r="C1148" s="3" t="inlineStr">
        <is>
          <t>Clothing</t>
        </is>
      </c>
      <c r="D1148" s="3" t="inlineStr">
        <is>
          <t>Shirts</t>
        </is>
      </c>
      <c r="E1148" s="3" t="inlineStr">
        <is>
          <t>Western</t>
        </is>
      </c>
      <c r="F1148" s="3" t="inlineStr">
        <is>
          <t>Phone/WhatsApp</t>
        </is>
      </c>
      <c r="G1148" s="3" t="inlineStr">
        <is>
          <t>Returning</t>
        </is>
      </c>
      <c r="H1148" s="3" t="n">
        <v>1</v>
      </c>
      <c r="I1148" s="3" t="n">
        <v>140</v>
      </c>
      <c r="J1148" s="3" t="n">
        <v>77.22</v>
      </c>
      <c r="K1148" s="3" t="n">
        <v>0</v>
      </c>
      <c r="L1148" s="3" t="n">
        <v>38.8</v>
      </c>
    </row>
    <row r="1149">
      <c r="A1149" s="3" t="inlineStr">
        <is>
          <t>ORD-11148</t>
        </is>
      </c>
      <c r="B1149" s="6" t="n">
        <v>45836</v>
      </c>
      <c r="C1149" s="3" t="inlineStr">
        <is>
          <t>Footwear</t>
        </is>
      </c>
      <c r="D1149" s="3" t="inlineStr">
        <is>
          <t>Boots</t>
        </is>
      </c>
      <c r="E1149" s="3" t="inlineStr">
        <is>
          <t>Greater Accra</t>
        </is>
      </c>
      <c r="F1149" s="3" t="inlineStr">
        <is>
          <t>Online</t>
        </is>
      </c>
      <c r="G1149" s="3" t="inlineStr">
        <is>
          <t>Returning</t>
        </is>
      </c>
      <c r="H1149" s="3" t="n">
        <v>4</v>
      </c>
      <c r="I1149" s="3" t="n">
        <v>250</v>
      </c>
      <c r="J1149" s="3" t="n">
        <v>137.59</v>
      </c>
      <c r="K1149" s="3" t="n">
        <v>0.05</v>
      </c>
      <c r="L1149" s="3" t="n">
        <v>17</v>
      </c>
    </row>
    <row r="1150">
      <c r="A1150" s="3" t="inlineStr">
        <is>
          <t>ORD-11149</t>
        </is>
      </c>
      <c r="B1150" s="6" t="n">
        <v>45731</v>
      </c>
      <c r="C1150" s="3" t="inlineStr">
        <is>
          <t>Home &amp; Lifestyle</t>
        </is>
      </c>
      <c r="D1150" s="3" t="inlineStr">
        <is>
          <t>Backpacks</t>
        </is>
      </c>
      <c r="E1150" s="3" t="inlineStr">
        <is>
          <t>Greater Accra</t>
        </is>
      </c>
      <c r="F1150" s="3" t="inlineStr">
        <is>
          <t>Online</t>
        </is>
      </c>
      <c r="G1150" s="3" t="inlineStr">
        <is>
          <t>Returning</t>
        </is>
      </c>
      <c r="H1150" s="3" t="n">
        <v>3</v>
      </c>
      <c r="I1150" s="3" t="n">
        <v>150</v>
      </c>
      <c r="J1150" s="3" t="n">
        <v>88.19</v>
      </c>
      <c r="K1150" s="3" t="n">
        <v>0.05</v>
      </c>
      <c r="L1150" s="3" t="n">
        <v>8.619999999999999</v>
      </c>
    </row>
    <row r="1151">
      <c r="A1151" s="3" t="inlineStr">
        <is>
          <t>ORD-11150</t>
        </is>
      </c>
      <c r="B1151" s="6" t="n">
        <v>45983</v>
      </c>
      <c r="C1151" s="3" t="inlineStr">
        <is>
          <t>Accessories</t>
        </is>
      </c>
      <c r="D1151" s="3" t="inlineStr">
        <is>
          <t>Belts</t>
        </is>
      </c>
      <c r="E1151" s="3" t="inlineStr">
        <is>
          <t>Ashanti</t>
        </is>
      </c>
      <c r="F1151" s="3" t="inlineStr">
        <is>
          <t>Online</t>
        </is>
      </c>
      <c r="G1151" s="3" t="inlineStr">
        <is>
          <t>Returning</t>
        </is>
      </c>
      <c r="H1151" s="3" t="n">
        <v>1</v>
      </c>
      <c r="I1151" s="3" t="n">
        <v>70</v>
      </c>
      <c r="J1151" s="3" t="n">
        <v>30.99</v>
      </c>
      <c r="K1151" s="3" t="n">
        <v>0.1</v>
      </c>
      <c r="L1151" s="3" t="n">
        <v>37.03</v>
      </c>
    </row>
    <row r="1152">
      <c r="A1152" s="3" t="inlineStr">
        <is>
          <t>ORD-11151</t>
        </is>
      </c>
      <c r="B1152" s="6" t="n">
        <v>45798</v>
      </c>
      <c r="C1152" s="3" t="inlineStr">
        <is>
          <t>Footwear</t>
        </is>
      </c>
      <c r="D1152" s="3" t="inlineStr">
        <is>
          <t>Formal Shoes</t>
        </is>
      </c>
      <c r="E1152" s="3" t="inlineStr">
        <is>
          <t>Central</t>
        </is>
      </c>
      <c r="F1152" s="3" t="inlineStr">
        <is>
          <t>Online</t>
        </is>
      </c>
      <c r="G1152" s="3" t="inlineStr">
        <is>
          <t>Returning</t>
        </is>
      </c>
      <c r="H1152" s="3" t="n">
        <v>1</v>
      </c>
      <c r="I1152" s="3" t="n">
        <v>335</v>
      </c>
      <c r="J1152" s="3" t="n">
        <v>191.74</v>
      </c>
      <c r="K1152" s="3" t="n">
        <v>0.15</v>
      </c>
      <c r="L1152" s="3" t="n">
        <v>23.94</v>
      </c>
    </row>
    <row r="1153">
      <c r="A1153" s="3" t="inlineStr">
        <is>
          <t>ORD-11152</t>
        </is>
      </c>
      <c r="B1153" s="6" t="n">
        <v>45714</v>
      </c>
      <c r="C1153" s="3" t="inlineStr">
        <is>
          <t>Clothing</t>
        </is>
      </c>
      <c r="D1153" s="3" t="inlineStr">
        <is>
          <t>Shirts</t>
        </is>
      </c>
      <c r="E1153" s="3" t="inlineStr">
        <is>
          <t>Greater Accra</t>
        </is>
      </c>
      <c r="F1153" s="3" t="inlineStr">
        <is>
          <t>Retail Shop</t>
        </is>
      </c>
      <c r="G1153" s="3" t="inlineStr">
        <is>
          <t>New</t>
        </is>
      </c>
      <c r="H1153" s="3" t="n">
        <v>2</v>
      </c>
      <c r="I1153" s="3" t="n">
        <v>130</v>
      </c>
      <c r="J1153" s="3" t="n">
        <v>63.79</v>
      </c>
      <c r="K1153" s="3" t="n">
        <v>0.15</v>
      </c>
      <c r="L1153" s="3" t="n">
        <v>8.83</v>
      </c>
    </row>
    <row r="1154">
      <c r="A1154" s="3" t="inlineStr">
        <is>
          <t>ORD-11153</t>
        </is>
      </c>
      <c r="B1154" s="6" t="n">
        <v>45986</v>
      </c>
      <c r="C1154" s="3" t="inlineStr">
        <is>
          <t>Footwear</t>
        </is>
      </c>
      <c r="D1154" s="3" t="inlineStr">
        <is>
          <t>Formal Shoes</t>
        </is>
      </c>
      <c r="E1154" s="3" t="inlineStr">
        <is>
          <t>Greater Accra</t>
        </is>
      </c>
      <c r="F1154" s="3" t="inlineStr">
        <is>
          <t>Online</t>
        </is>
      </c>
      <c r="G1154" s="3" t="inlineStr">
        <is>
          <t>Returning</t>
        </is>
      </c>
      <c r="H1154" s="3" t="n">
        <v>1</v>
      </c>
      <c r="I1154" s="3" t="n">
        <v>225</v>
      </c>
      <c r="J1154" s="3" t="n">
        <v>129.96</v>
      </c>
      <c r="K1154" s="3" t="n">
        <v>0.15</v>
      </c>
      <c r="L1154" s="3" t="n">
        <v>40.84</v>
      </c>
    </row>
    <row r="1155">
      <c r="A1155" s="3" t="inlineStr">
        <is>
          <t>ORD-11154</t>
        </is>
      </c>
      <c r="B1155" s="6" t="n">
        <v>45983</v>
      </c>
      <c r="C1155" s="3" t="inlineStr">
        <is>
          <t>Footwear</t>
        </is>
      </c>
      <c r="D1155" s="3" t="inlineStr">
        <is>
          <t>Formal Shoes</t>
        </is>
      </c>
      <c r="E1155" s="3" t="inlineStr">
        <is>
          <t>Ashanti</t>
        </is>
      </c>
      <c r="F1155" s="3" t="inlineStr">
        <is>
          <t>Online</t>
        </is>
      </c>
      <c r="G1155" s="3" t="inlineStr">
        <is>
          <t>Returning</t>
        </is>
      </c>
      <c r="H1155" s="3" t="n">
        <v>2</v>
      </c>
      <c r="I1155" s="3" t="n">
        <v>240</v>
      </c>
      <c r="J1155" s="3" t="n">
        <v>146.6</v>
      </c>
      <c r="K1155" s="3" t="n">
        <v>0.05</v>
      </c>
      <c r="L1155" s="3" t="n">
        <v>20.38</v>
      </c>
    </row>
    <row r="1156">
      <c r="A1156" s="3" t="inlineStr">
        <is>
          <t>ORD-11155</t>
        </is>
      </c>
      <c r="B1156" s="6" t="n">
        <v>45753</v>
      </c>
      <c r="C1156" s="3" t="inlineStr">
        <is>
          <t>Clothing</t>
        </is>
      </c>
      <c r="D1156" s="3" t="inlineStr">
        <is>
          <t>Jackets</t>
        </is>
      </c>
      <c r="E1156" s="3" t="inlineStr">
        <is>
          <t>Northern</t>
        </is>
      </c>
      <c r="F1156" s="3" t="inlineStr">
        <is>
          <t>Retail Shop</t>
        </is>
      </c>
      <c r="G1156" s="3" t="inlineStr">
        <is>
          <t>Returning</t>
        </is>
      </c>
      <c r="H1156" s="3" t="n">
        <v>1</v>
      </c>
      <c r="I1156" s="3" t="n">
        <v>135</v>
      </c>
      <c r="J1156" s="3" t="n">
        <v>74.56999999999999</v>
      </c>
      <c r="K1156" s="3" t="n">
        <v>0.05</v>
      </c>
      <c r="L1156" s="3" t="n">
        <v>5.03</v>
      </c>
    </row>
    <row r="1157">
      <c r="A1157" s="3" t="inlineStr">
        <is>
          <t>ORD-11156</t>
        </is>
      </c>
      <c r="B1157" s="6" t="n">
        <v>45897</v>
      </c>
      <c r="C1157" s="3" t="inlineStr">
        <is>
          <t>Home &amp; Lifestyle</t>
        </is>
      </c>
      <c r="D1157" s="3" t="inlineStr">
        <is>
          <t>Wallets</t>
        </is>
      </c>
      <c r="E1157" s="3" t="inlineStr">
        <is>
          <t>Central</t>
        </is>
      </c>
      <c r="F1157" s="3" t="inlineStr">
        <is>
          <t>Online</t>
        </is>
      </c>
      <c r="G1157" s="3" t="inlineStr">
        <is>
          <t>Returning</t>
        </is>
      </c>
      <c r="H1157" s="3" t="n">
        <v>3</v>
      </c>
      <c r="I1157" s="3" t="n">
        <v>60</v>
      </c>
      <c r="J1157" s="3" t="n">
        <v>32.32</v>
      </c>
      <c r="K1157" s="3" t="n">
        <v>0.2</v>
      </c>
      <c r="L1157" s="3" t="n">
        <v>16.02</v>
      </c>
    </row>
    <row r="1158">
      <c r="A1158" s="3" t="inlineStr">
        <is>
          <t>ORD-11157</t>
        </is>
      </c>
      <c r="B1158" s="6" t="n">
        <v>45888</v>
      </c>
      <c r="C1158" s="3" t="inlineStr">
        <is>
          <t>Home &amp; Lifestyle</t>
        </is>
      </c>
      <c r="D1158" s="3" t="inlineStr">
        <is>
          <t>Small Home Goods</t>
        </is>
      </c>
      <c r="E1158" s="3" t="inlineStr">
        <is>
          <t>Greater Accra</t>
        </is>
      </c>
      <c r="F1158" s="3" t="inlineStr">
        <is>
          <t>Phone/WhatsApp</t>
        </is>
      </c>
      <c r="G1158" s="3" t="inlineStr">
        <is>
          <t>Returning</t>
        </is>
      </c>
      <c r="H1158" s="3" t="n">
        <v>2</v>
      </c>
      <c r="I1158" s="3" t="n">
        <v>95</v>
      </c>
      <c r="J1158" s="3" t="n">
        <v>49.97</v>
      </c>
      <c r="K1158" s="3" t="n">
        <v>0</v>
      </c>
      <c r="L1158" s="3" t="n">
        <v>25.56</v>
      </c>
    </row>
    <row r="1159">
      <c r="A1159" s="3" t="inlineStr">
        <is>
          <t>ORD-11158</t>
        </is>
      </c>
      <c r="B1159" s="6" t="n">
        <v>45884</v>
      </c>
      <c r="C1159" s="3" t="inlineStr">
        <is>
          <t>Footwear</t>
        </is>
      </c>
      <c r="D1159" s="3" t="inlineStr">
        <is>
          <t>Formal Shoes</t>
        </is>
      </c>
      <c r="E1159" s="3" t="inlineStr">
        <is>
          <t>Central</t>
        </is>
      </c>
      <c r="F1159" s="3" t="inlineStr">
        <is>
          <t>Online</t>
        </is>
      </c>
      <c r="G1159" s="3" t="inlineStr">
        <is>
          <t>New</t>
        </is>
      </c>
      <c r="H1159" s="3" t="n">
        <v>8</v>
      </c>
      <c r="I1159" s="3" t="n">
        <v>260</v>
      </c>
      <c r="J1159" s="3" t="n">
        <v>158.04</v>
      </c>
      <c r="K1159" s="3" t="n">
        <v>0</v>
      </c>
      <c r="L1159" s="3" t="n">
        <v>12.42</v>
      </c>
    </row>
    <row r="1160">
      <c r="A1160" s="3" t="inlineStr">
        <is>
          <t>ORD-11159</t>
        </is>
      </c>
      <c r="B1160" s="6" t="n">
        <v>45899</v>
      </c>
      <c r="C1160" s="3" t="inlineStr">
        <is>
          <t>Clothing</t>
        </is>
      </c>
      <c r="D1160" s="3" t="inlineStr">
        <is>
          <t>Dresses</t>
        </is>
      </c>
      <c r="E1160" s="3" t="inlineStr">
        <is>
          <t>Central</t>
        </is>
      </c>
      <c r="F1160" s="3" t="inlineStr">
        <is>
          <t>Retail Shop</t>
        </is>
      </c>
      <c r="G1160" s="3" t="inlineStr">
        <is>
          <t>Returning</t>
        </is>
      </c>
      <c r="H1160" s="3" t="n">
        <v>1</v>
      </c>
      <c r="I1160" s="3" t="n">
        <v>135</v>
      </c>
      <c r="J1160" s="3" t="n">
        <v>72.56</v>
      </c>
      <c r="K1160" s="3" t="n">
        <v>0.1</v>
      </c>
      <c r="L1160" s="3" t="n">
        <v>0.52</v>
      </c>
    </row>
    <row r="1161">
      <c r="A1161" s="3" t="inlineStr">
        <is>
          <t>ORD-11160</t>
        </is>
      </c>
      <c r="B1161" s="6" t="n">
        <v>45862</v>
      </c>
      <c r="C1161" s="3" t="inlineStr">
        <is>
          <t>Accessories</t>
        </is>
      </c>
      <c r="D1161" s="3" t="inlineStr">
        <is>
          <t>Belts</t>
        </is>
      </c>
      <c r="E1161" s="3" t="inlineStr">
        <is>
          <t>Ashanti</t>
        </is>
      </c>
      <c r="F1161" s="3" t="inlineStr">
        <is>
          <t>Phone/WhatsApp</t>
        </is>
      </c>
      <c r="G1161" s="3" t="inlineStr">
        <is>
          <t>Returning</t>
        </is>
      </c>
      <c r="H1161" s="3" t="n">
        <v>1</v>
      </c>
      <c r="I1161" s="3" t="n">
        <v>120</v>
      </c>
      <c r="J1161" s="3" t="n">
        <v>64.27</v>
      </c>
      <c r="K1161" s="3" t="n">
        <v>0.1</v>
      </c>
      <c r="L1161" s="3" t="n">
        <v>36.88</v>
      </c>
    </row>
    <row r="1162">
      <c r="A1162" s="3" t="inlineStr">
        <is>
          <t>ORD-11161</t>
        </is>
      </c>
      <c r="B1162" s="6" t="n">
        <v>45781</v>
      </c>
      <c r="C1162" s="3" t="inlineStr">
        <is>
          <t>Footwear</t>
        </is>
      </c>
      <c r="D1162" s="3" t="inlineStr">
        <is>
          <t>Formal Shoes</t>
        </is>
      </c>
      <c r="E1162" s="3" t="inlineStr">
        <is>
          <t>Central</t>
        </is>
      </c>
      <c r="F1162" s="3" t="inlineStr">
        <is>
          <t>Online</t>
        </is>
      </c>
      <c r="G1162" s="3" t="inlineStr">
        <is>
          <t>Returning</t>
        </is>
      </c>
      <c r="H1162" s="3" t="n">
        <v>1</v>
      </c>
      <c r="I1162" s="3" t="n">
        <v>235</v>
      </c>
      <c r="J1162" s="3" t="n">
        <v>134.04</v>
      </c>
      <c r="K1162" s="3" t="n">
        <v>0.2</v>
      </c>
      <c r="L1162" s="3" t="n">
        <v>42.67</v>
      </c>
    </row>
    <row r="1163">
      <c r="A1163" s="3" t="inlineStr">
        <is>
          <t>ORD-11162</t>
        </is>
      </c>
      <c r="B1163" s="6" t="n">
        <v>45828</v>
      </c>
      <c r="C1163" s="3" t="inlineStr">
        <is>
          <t>Accessories</t>
        </is>
      </c>
      <c r="D1163" s="3" t="inlineStr">
        <is>
          <t>Watches</t>
        </is>
      </c>
      <c r="E1163" s="3" t="inlineStr">
        <is>
          <t>Ashanti</t>
        </is>
      </c>
      <c r="F1163" s="3" t="inlineStr">
        <is>
          <t>Retail Shop</t>
        </is>
      </c>
      <c r="G1163" s="3" t="inlineStr">
        <is>
          <t>New</t>
        </is>
      </c>
      <c r="H1163" s="3" t="n">
        <v>5</v>
      </c>
      <c r="I1163" s="3" t="n">
        <v>60</v>
      </c>
      <c r="J1163" s="3" t="n">
        <v>25.82</v>
      </c>
      <c r="K1163" s="3" t="n">
        <v>0.05</v>
      </c>
      <c r="L1163" s="3" t="n">
        <v>6.12</v>
      </c>
    </row>
    <row r="1164">
      <c r="A1164" s="3" t="inlineStr">
        <is>
          <t>ORD-11163</t>
        </is>
      </c>
      <c r="B1164" s="6" t="n">
        <v>45852</v>
      </c>
      <c r="C1164" s="3" t="inlineStr">
        <is>
          <t>Clothing</t>
        </is>
      </c>
      <c r="D1164" s="3" t="inlineStr">
        <is>
          <t>Dresses</t>
        </is>
      </c>
      <c r="E1164" s="3" t="inlineStr">
        <is>
          <t>Greater Accra</t>
        </is>
      </c>
      <c r="F1164" s="3" t="inlineStr">
        <is>
          <t>Online</t>
        </is>
      </c>
      <c r="G1164" s="3" t="inlineStr">
        <is>
          <t>Returning</t>
        </is>
      </c>
      <c r="H1164" s="3" t="n">
        <v>2</v>
      </c>
      <c r="I1164" s="3" t="n">
        <v>170</v>
      </c>
      <c r="J1164" s="3" t="n">
        <v>84.3</v>
      </c>
      <c r="K1164" s="3" t="n">
        <v>0.05</v>
      </c>
      <c r="L1164" s="3" t="n">
        <v>12.92</v>
      </c>
    </row>
    <row r="1165">
      <c r="A1165" s="3" t="inlineStr">
        <is>
          <t>ORD-11164</t>
        </is>
      </c>
      <c r="B1165" s="6" t="n">
        <v>45721</v>
      </c>
      <c r="C1165" s="3" t="inlineStr">
        <is>
          <t>Accessories</t>
        </is>
      </c>
      <c r="D1165" s="3" t="inlineStr">
        <is>
          <t>Bags</t>
        </is>
      </c>
      <c r="E1165" s="3" t="inlineStr">
        <is>
          <t>Ashanti</t>
        </is>
      </c>
      <c r="F1165" s="3" t="inlineStr">
        <is>
          <t>Retail Shop</t>
        </is>
      </c>
      <c r="G1165" s="3" t="inlineStr">
        <is>
          <t>Returning</t>
        </is>
      </c>
      <c r="H1165" s="3" t="n">
        <v>4</v>
      </c>
      <c r="I1165" s="3" t="n">
        <v>85</v>
      </c>
      <c r="J1165" s="3" t="n">
        <v>38.16</v>
      </c>
      <c r="K1165" s="3" t="n">
        <v>0.1</v>
      </c>
      <c r="L1165" s="3" t="n">
        <v>3.87</v>
      </c>
    </row>
    <row r="1166">
      <c r="A1166" s="3" t="inlineStr">
        <is>
          <t>ORD-11165</t>
        </is>
      </c>
      <c r="B1166" s="6" t="n">
        <v>45788</v>
      </c>
      <c r="C1166" s="3" t="inlineStr">
        <is>
          <t>Accessories</t>
        </is>
      </c>
      <c r="D1166" s="3" t="inlineStr">
        <is>
          <t>Sunglasses</t>
        </is>
      </c>
      <c r="E1166" s="3" t="inlineStr">
        <is>
          <t>Greater Accra</t>
        </is>
      </c>
      <c r="F1166" s="3" t="inlineStr">
        <is>
          <t>Retail Shop</t>
        </is>
      </c>
      <c r="G1166" s="3" t="inlineStr">
        <is>
          <t>New</t>
        </is>
      </c>
      <c r="H1166" s="3" t="n">
        <v>2</v>
      </c>
      <c r="I1166" s="3" t="n">
        <v>160</v>
      </c>
      <c r="J1166" s="3" t="n">
        <v>68.17</v>
      </c>
      <c r="K1166" s="3" t="n">
        <v>0.1</v>
      </c>
      <c r="L1166" s="3" t="n">
        <v>11.51</v>
      </c>
    </row>
    <row r="1167">
      <c r="A1167" s="3" t="inlineStr">
        <is>
          <t>ORD-11166</t>
        </is>
      </c>
      <c r="B1167" s="6" t="n">
        <v>46011</v>
      </c>
      <c r="C1167" s="3" t="inlineStr">
        <is>
          <t>Clothing</t>
        </is>
      </c>
      <c r="D1167" s="3" t="inlineStr">
        <is>
          <t>Dresses</t>
        </is>
      </c>
      <c r="E1167" s="3" t="inlineStr">
        <is>
          <t>Greater Accra</t>
        </is>
      </c>
      <c r="F1167" s="3" t="inlineStr">
        <is>
          <t>Online</t>
        </is>
      </c>
      <c r="G1167" s="3" t="inlineStr">
        <is>
          <t>Returning</t>
        </is>
      </c>
      <c r="H1167" s="3" t="n">
        <v>2</v>
      </c>
      <c r="I1167" s="3" t="n">
        <v>130</v>
      </c>
      <c r="J1167" s="3" t="n">
        <v>63.79</v>
      </c>
      <c r="K1167" s="3" t="n">
        <v>0</v>
      </c>
      <c r="L1167" s="3" t="n">
        <v>30.88</v>
      </c>
    </row>
    <row r="1168">
      <c r="A1168" s="3" t="inlineStr">
        <is>
          <t>ORD-11167</t>
        </is>
      </c>
      <c r="B1168" s="6" t="n">
        <v>45802</v>
      </c>
      <c r="C1168" s="3" t="inlineStr">
        <is>
          <t>Footwear</t>
        </is>
      </c>
      <c r="D1168" s="3" t="inlineStr">
        <is>
          <t>Formal Shoes</t>
        </is>
      </c>
      <c r="E1168" s="3" t="inlineStr">
        <is>
          <t>Central</t>
        </is>
      </c>
      <c r="F1168" s="3" t="inlineStr">
        <is>
          <t>Phone/WhatsApp</t>
        </is>
      </c>
      <c r="G1168" s="3" t="inlineStr">
        <is>
          <t>Returning</t>
        </is>
      </c>
      <c r="H1168" s="3" t="n">
        <v>4</v>
      </c>
      <c r="I1168" s="3" t="n">
        <v>200</v>
      </c>
      <c r="J1168" s="3" t="n">
        <v>118.21</v>
      </c>
      <c r="K1168" s="3" t="n">
        <v>0</v>
      </c>
      <c r="L1168" s="3" t="n">
        <v>8.77</v>
      </c>
    </row>
    <row r="1169">
      <c r="A1169" s="3" t="inlineStr">
        <is>
          <t>ORD-11168</t>
        </is>
      </c>
      <c r="B1169" s="6" t="n">
        <v>45911</v>
      </c>
      <c r="C1169" s="3" t="inlineStr">
        <is>
          <t>Accessories</t>
        </is>
      </c>
      <c r="D1169" s="3" t="inlineStr">
        <is>
          <t>Watches</t>
        </is>
      </c>
      <c r="E1169" s="3" t="inlineStr">
        <is>
          <t>Central</t>
        </is>
      </c>
      <c r="F1169" s="3" t="inlineStr">
        <is>
          <t>Online</t>
        </is>
      </c>
      <c r="G1169" s="3" t="inlineStr">
        <is>
          <t>Returning</t>
        </is>
      </c>
      <c r="H1169" s="3" t="n">
        <v>3</v>
      </c>
      <c r="I1169" s="3" t="n">
        <v>110</v>
      </c>
      <c r="J1169" s="3" t="n">
        <v>55.88</v>
      </c>
      <c r="K1169" s="3" t="n">
        <v>0.15</v>
      </c>
      <c r="L1169" s="3" t="n">
        <v>30.72</v>
      </c>
    </row>
    <row r="1170">
      <c r="A1170" s="3" t="inlineStr">
        <is>
          <t>ORD-11169</t>
        </is>
      </c>
      <c r="B1170" s="6" t="n">
        <v>45683</v>
      </c>
      <c r="C1170" s="3" t="inlineStr">
        <is>
          <t>Clothing</t>
        </is>
      </c>
      <c r="D1170" s="3" t="inlineStr">
        <is>
          <t>Jackets</t>
        </is>
      </c>
      <c r="E1170" s="3" t="inlineStr">
        <is>
          <t>Western</t>
        </is>
      </c>
      <c r="F1170" s="3" t="inlineStr">
        <is>
          <t>Phone/WhatsApp</t>
        </is>
      </c>
      <c r="G1170" s="3" t="inlineStr">
        <is>
          <t>New</t>
        </is>
      </c>
      <c r="H1170" s="3" t="n">
        <v>2</v>
      </c>
      <c r="I1170" s="3" t="n">
        <v>140</v>
      </c>
      <c r="J1170" s="3" t="n">
        <v>71.95</v>
      </c>
      <c r="K1170" s="3" t="n">
        <v>0.15</v>
      </c>
      <c r="L1170" s="3" t="n">
        <v>14.35</v>
      </c>
    </row>
    <row r="1171">
      <c r="A1171" s="3" t="inlineStr">
        <is>
          <t>ORD-11170</t>
        </is>
      </c>
      <c r="B1171" s="6" t="n">
        <v>45660</v>
      </c>
      <c r="C1171" s="3" t="inlineStr">
        <is>
          <t>Footwear</t>
        </is>
      </c>
      <c r="D1171" s="3" t="inlineStr">
        <is>
          <t>Formal Shoes</t>
        </is>
      </c>
      <c r="E1171" s="3" t="inlineStr">
        <is>
          <t>Greater Accra</t>
        </is>
      </c>
      <c r="F1171" s="3" t="inlineStr">
        <is>
          <t>Retail Shop</t>
        </is>
      </c>
      <c r="G1171" s="3" t="inlineStr">
        <is>
          <t>Returning</t>
        </is>
      </c>
      <c r="H1171" s="3" t="n">
        <v>3</v>
      </c>
      <c r="I1171" s="3" t="n">
        <v>185</v>
      </c>
      <c r="J1171" s="3" t="n">
        <v>112.57</v>
      </c>
      <c r="K1171" s="3" t="n">
        <v>0</v>
      </c>
      <c r="L1171" s="3" t="n">
        <v>0.39</v>
      </c>
    </row>
    <row r="1172">
      <c r="A1172" s="3" t="inlineStr">
        <is>
          <t>ORD-11171</t>
        </is>
      </c>
      <c r="B1172" s="6" t="n">
        <v>45674</v>
      </c>
      <c r="C1172" s="3" t="inlineStr">
        <is>
          <t>Footwear</t>
        </is>
      </c>
      <c r="D1172" s="3" t="inlineStr">
        <is>
          <t>Formal Shoes</t>
        </is>
      </c>
      <c r="E1172" s="3" t="inlineStr">
        <is>
          <t>Northern</t>
        </is>
      </c>
      <c r="F1172" s="3" t="inlineStr">
        <is>
          <t>Retail Shop</t>
        </is>
      </c>
      <c r="G1172" s="3" t="inlineStr">
        <is>
          <t>Returning</t>
        </is>
      </c>
      <c r="H1172" s="3" t="n">
        <v>5</v>
      </c>
      <c r="I1172" s="3" t="n">
        <v>390</v>
      </c>
      <c r="J1172" s="3" t="n">
        <v>241.05</v>
      </c>
      <c r="K1172" s="3" t="n">
        <v>0.2</v>
      </c>
      <c r="L1172" s="3" t="n">
        <v>1.22</v>
      </c>
    </row>
    <row r="1173">
      <c r="A1173" s="3" t="inlineStr">
        <is>
          <t>ORD-11172</t>
        </is>
      </c>
      <c r="B1173" s="6" t="n">
        <v>45815</v>
      </c>
      <c r="C1173" s="3" t="inlineStr">
        <is>
          <t>Footwear</t>
        </is>
      </c>
      <c r="D1173" s="3" t="inlineStr">
        <is>
          <t>Sandals</t>
        </is>
      </c>
      <c r="E1173" s="3" t="inlineStr">
        <is>
          <t>Ashanti</t>
        </is>
      </c>
      <c r="F1173" s="3" t="inlineStr">
        <is>
          <t>Retail Shop</t>
        </is>
      </c>
      <c r="G1173" s="3" t="inlineStr">
        <is>
          <t>Returning</t>
        </is>
      </c>
      <c r="H1173" s="3" t="n">
        <v>2</v>
      </c>
      <c r="I1173" s="3" t="n">
        <v>190</v>
      </c>
      <c r="J1173" s="3" t="n">
        <v>100.36</v>
      </c>
      <c r="K1173" s="3" t="n">
        <v>0.05</v>
      </c>
      <c r="L1173" s="3" t="n">
        <v>6.65</v>
      </c>
    </row>
    <row r="1174">
      <c r="A1174" s="3" t="inlineStr">
        <is>
          <t>ORD-11173</t>
        </is>
      </c>
      <c r="B1174" s="6" t="n">
        <v>45708</v>
      </c>
      <c r="C1174" s="3" t="inlineStr">
        <is>
          <t>Home &amp; Lifestyle</t>
        </is>
      </c>
      <c r="D1174" s="3" t="inlineStr">
        <is>
          <t>Travel Mugs</t>
        </is>
      </c>
      <c r="E1174" s="3" t="inlineStr">
        <is>
          <t>Greater Accra</t>
        </is>
      </c>
      <c r="F1174" s="3" t="inlineStr">
        <is>
          <t>Retail Shop</t>
        </is>
      </c>
      <c r="G1174" s="3" t="inlineStr">
        <is>
          <t>Returning</t>
        </is>
      </c>
      <c r="H1174" s="3" t="n">
        <v>5</v>
      </c>
      <c r="I1174" s="3" t="n">
        <v>110</v>
      </c>
      <c r="J1174" s="3" t="n">
        <v>54.15</v>
      </c>
      <c r="K1174" s="3" t="n">
        <v>0.1</v>
      </c>
      <c r="L1174" s="3" t="n">
        <v>4.71</v>
      </c>
    </row>
    <row r="1175">
      <c r="A1175" s="3" t="inlineStr">
        <is>
          <t>ORD-11174</t>
        </is>
      </c>
      <c r="B1175" s="6" t="n">
        <v>45666</v>
      </c>
      <c r="C1175" s="3" t="inlineStr">
        <is>
          <t>Footwear</t>
        </is>
      </c>
      <c r="D1175" s="3" t="inlineStr">
        <is>
          <t>Boots</t>
        </is>
      </c>
      <c r="E1175" s="3" t="inlineStr">
        <is>
          <t>Western</t>
        </is>
      </c>
      <c r="F1175" s="3" t="inlineStr">
        <is>
          <t>Retail Shop</t>
        </is>
      </c>
      <c r="G1175" s="3" t="inlineStr">
        <is>
          <t>New</t>
        </is>
      </c>
      <c r="H1175" s="3" t="n">
        <v>2</v>
      </c>
      <c r="I1175" s="3" t="n">
        <v>225</v>
      </c>
      <c r="J1175" s="3" t="n">
        <v>136.03</v>
      </c>
      <c r="K1175" s="3" t="n">
        <v>0.05</v>
      </c>
      <c r="L1175" s="3" t="n">
        <v>11.28</v>
      </c>
    </row>
    <row r="1176">
      <c r="A1176" s="3" t="inlineStr">
        <is>
          <t>ORD-11175</t>
        </is>
      </c>
      <c r="B1176" s="6" t="n">
        <v>46011</v>
      </c>
      <c r="C1176" s="3" t="inlineStr">
        <is>
          <t>Clothing</t>
        </is>
      </c>
      <c r="D1176" s="3" t="inlineStr">
        <is>
          <t>Dresses</t>
        </is>
      </c>
      <c r="E1176" s="3" t="inlineStr">
        <is>
          <t>Greater Accra</t>
        </is>
      </c>
      <c r="F1176" s="3" t="inlineStr">
        <is>
          <t>Retail Shop</t>
        </is>
      </c>
      <c r="G1176" s="3" t="inlineStr">
        <is>
          <t>New</t>
        </is>
      </c>
      <c r="H1176" s="3" t="n">
        <v>2</v>
      </c>
      <c r="I1176" s="3" t="n">
        <v>185</v>
      </c>
      <c r="J1176" s="3" t="n">
        <v>101.1</v>
      </c>
      <c r="K1176" s="3" t="n">
        <v>0.1</v>
      </c>
      <c r="L1176" s="3" t="n">
        <v>5.67</v>
      </c>
    </row>
    <row r="1177">
      <c r="A1177" s="3" t="inlineStr">
        <is>
          <t>ORD-11176</t>
        </is>
      </c>
      <c r="B1177" s="6" t="n">
        <v>46017</v>
      </c>
      <c r="C1177" s="3" t="inlineStr">
        <is>
          <t>Accessories</t>
        </is>
      </c>
      <c r="D1177" s="3" t="inlineStr">
        <is>
          <t>Watches</t>
        </is>
      </c>
      <c r="E1177" s="3" t="inlineStr">
        <is>
          <t>Western</t>
        </is>
      </c>
      <c r="F1177" s="3" t="inlineStr">
        <is>
          <t>Retail Shop</t>
        </is>
      </c>
      <c r="G1177" s="3" t="inlineStr">
        <is>
          <t>Returning</t>
        </is>
      </c>
      <c r="H1177" s="3" t="n">
        <v>2</v>
      </c>
      <c r="I1177" s="3" t="n">
        <v>90</v>
      </c>
      <c r="J1177" s="3" t="n">
        <v>48.06</v>
      </c>
      <c r="K1177" s="3" t="n">
        <v>0.05</v>
      </c>
      <c r="L1177" s="3" t="n">
        <v>3.97</v>
      </c>
    </row>
    <row r="1178">
      <c r="A1178" s="3" t="inlineStr">
        <is>
          <t>ORD-11177</t>
        </is>
      </c>
      <c r="B1178" s="6" t="n">
        <v>46010</v>
      </c>
      <c r="C1178" s="3" t="inlineStr">
        <is>
          <t>Clothing</t>
        </is>
      </c>
      <c r="D1178" s="3" t="inlineStr">
        <is>
          <t>Shirts</t>
        </is>
      </c>
      <c r="E1178" s="3" t="inlineStr">
        <is>
          <t>Central</t>
        </is>
      </c>
      <c r="F1178" s="3" t="inlineStr">
        <is>
          <t>Retail Shop</t>
        </is>
      </c>
      <c r="G1178" s="3" t="inlineStr">
        <is>
          <t>New</t>
        </is>
      </c>
      <c r="H1178" s="3" t="n">
        <v>5</v>
      </c>
      <c r="I1178" s="3" t="n">
        <v>95</v>
      </c>
      <c r="J1178" s="3" t="n">
        <v>51.36</v>
      </c>
      <c r="K1178" s="3" t="n">
        <v>0.05</v>
      </c>
      <c r="L1178" s="3" t="n">
        <v>4.52</v>
      </c>
    </row>
    <row r="1179">
      <c r="A1179" s="3" t="inlineStr">
        <is>
          <t>ORD-11178</t>
        </is>
      </c>
      <c r="B1179" s="6" t="n">
        <v>45880</v>
      </c>
      <c r="C1179" s="3" t="inlineStr">
        <is>
          <t>Home &amp; Lifestyle</t>
        </is>
      </c>
      <c r="D1179" s="3" t="inlineStr">
        <is>
          <t>Backpacks</t>
        </is>
      </c>
      <c r="E1179" s="3" t="inlineStr">
        <is>
          <t>Ashanti</t>
        </is>
      </c>
      <c r="F1179" s="3" t="inlineStr">
        <is>
          <t>Phone/WhatsApp</t>
        </is>
      </c>
      <c r="G1179" s="3" t="inlineStr">
        <is>
          <t>Returning</t>
        </is>
      </c>
      <c r="H1179" s="3" t="n">
        <v>4</v>
      </c>
      <c r="I1179" s="3" t="n">
        <v>130</v>
      </c>
      <c r="J1179" s="3" t="n">
        <v>77.73</v>
      </c>
      <c r="K1179" s="3" t="n">
        <v>0.1</v>
      </c>
      <c r="L1179" s="3" t="n">
        <v>43.98</v>
      </c>
    </row>
    <row r="1180">
      <c r="A1180" s="3" t="inlineStr">
        <is>
          <t>ORD-11179</t>
        </is>
      </c>
      <c r="B1180" s="6" t="n">
        <v>45803</v>
      </c>
      <c r="C1180" s="3" t="inlineStr">
        <is>
          <t>Clothing</t>
        </is>
      </c>
      <c r="D1180" s="3" t="inlineStr">
        <is>
          <t>Jackets</t>
        </is>
      </c>
      <c r="E1180" s="3" t="inlineStr">
        <is>
          <t>Ashanti</t>
        </is>
      </c>
      <c r="F1180" s="3" t="inlineStr">
        <is>
          <t>Retail Shop</t>
        </is>
      </c>
      <c r="G1180" s="3" t="inlineStr">
        <is>
          <t>Returning</t>
        </is>
      </c>
      <c r="H1180" s="3" t="n">
        <v>2</v>
      </c>
      <c r="I1180" s="3" t="n">
        <v>135</v>
      </c>
      <c r="J1180" s="3" t="n">
        <v>65.7</v>
      </c>
      <c r="K1180" s="3" t="n">
        <v>0</v>
      </c>
      <c r="L1180" s="3" t="n">
        <v>1.74</v>
      </c>
    </row>
    <row r="1181">
      <c r="A1181" s="3" t="inlineStr">
        <is>
          <t>ORD-11180</t>
        </is>
      </c>
      <c r="B1181" s="6" t="n">
        <v>45955</v>
      </c>
      <c r="C1181" s="3" t="inlineStr">
        <is>
          <t>Footwear</t>
        </is>
      </c>
      <c r="D1181" s="3" t="inlineStr">
        <is>
          <t>Formal Shoes</t>
        </is>
      </c>
      <c r="E1181" s="3" t="inlineStr">
        <is>
          <t>Greater Accra</t>
        </is>
      </c>
      <c r="F1181" s="3" t="inlineStr">
        <is>
          <t>Online</t>
        </is>
      </c>
      <c r="G1181" s="3" t="inlineStr">
        <is>
          <t>New</t>
        </is>
      </c>
      <c r="H1181" s="3" t="n">
        <v>10</v>
      </c>
      <c r="I1181" s="3" t="n">
        <v>290</v>
      </c>
      <c r="J1181" s="3" t="n">
        <v>183.33</v>
      </c>
      <c r="K1181" s="3" t="n">
        <v>0.1</v>
      </c>
      <c r="L1181" s="3" t="n">
        <v>20.18</v>
      </c>
    </row>
    <row r="1182">
      <c r="A1182" s="3" t="inlineStr">
        <is>
          <t>ORD-11181</t>
        </is>
      </c>
      <c r="B1182" s="6" t="n">
        <v>45943</v>
      </c>
      <c r="C1182" s="3" t="inlineStr">
        <is>
          <t>Accessories</t>
        </is>
      </c>
      <c r="D1182" s="3" t="inlineStr">
        <is>
          <t>Watches</t>
        </is>
      </c>
      <c r="E1182" s="3" t="inlineStr">
        <is>
          <t>Western</t>
        </is>
      </c>
      <c r="F1182" s="3" t="inlineStr">
        <is>
          <t>Retail Shop</t>
        </is>
      </c>
      <c r="G1182" s="3" t="inlineStr">
        <is>
          <t>New</t>
        </is>
      </c>
      <c r="H1182" s="3" t="n">
        <v>1</v>
      </c>
      <c r="I1182" s="3" t="n">
        <v>85</v>
      </c>
      <c r="J1182" s="3" t="n">
        <v>42.14</v>
      </c>
      <c r="K1182" s="3" t="n">
        <v>0</v>
      </c>
      <c r="L1182" s="3" t="n">
        <v>11.36</v>
      </c>
    </row>
    <row r="1183">
      <c r="A1183" s="3" t="inlineStr">
        <is>
          <t>ORD-11182</t>
        </is>
      </c>
      <c r="B1183" s="6" t="n">
        <v>45849</v>
      </c>
      <c r="C1183" s="3" t="inlineStr">
        <is>
          <t>Footwear</t>
        </is>
      </c>
      <c r="D1183" s="3" t="inlineStr">
        <is>
          <t>Sandals</t>
        </is>
      </c>
      <c r="E1183" s="3" t="inlineStr">
        <is>
          <t>Ashanti</t>
        </is>
      </c>
      <c r="F1183" s="3" t="inlineStr">
        <is>
          <t>Online</t>
        </is>
      </c>
      <c r="G1183" s="3" t="inlineStr">
        <is>
          <t>New</t>
        </is>
      </c>
      <c r="H1183" s="3" t="n">
        <v>4</v>
      </c>
      <c r="I1183" s="3" t="n">
        <v>375</v>
      </c>
      <c r="J1183" s="3" t="n">
        <v>222.56</v>
      </c>
      <c r="K1183" s="3" t="n">
        <v>0.15</v>
      </c>
      <c r="L1183" s="3" t="n">
        <v>29.94</v>
      </c>
    </row>
    <row r="1184">
      <c r="A1184" s="3" t="inlineStr">
        <is>
          <t>ORD-11183</t>
        </is>
      </c>
      <c r="B1184" s="6" t="n">
        <v>45830</v>
      </c>
      <c r="C1184" s="3" t="inlineStr">
        <is>
          <t>Footwear</t>
        </is>
      </c>
      <c r="D1184" s="3" t="inlineStr">
        <is>
          <t>Formal Shoes</t>
        </is>
      </c>
      <c r="E1184" s="3" t="inlineStr">
        <is>
          <t>Greater Accra</t>
        </is>
      </c>
      <c r="F1184" s="3" t="inlineStr">
        <is>
          <t>Retail Shop</t>
        </is>
      </c>
      <c r="G1184" s="3" t="inlineStr">
        <is>
          <t>Returning</t>
        </is>
      </c>
      <c r="H1184" s="3" t="n">
        <v>2</v>
      </c>
      <c r="I1184" s="3" t="n">
        <v>310</v>
      </c>
      <c r="J1184" s="3" t="n">
        <v>162.24</v>
      </c>
      <c r="K1184" s="3" t="n">
        <v>0</v>
      </c>
      <c r="L1184" s="3" t="n">
        <v>8.08</v>
      </c>
    </row>
    <row r="1185">
      <c r="A1185" s="3" t="inlineStr">
        <is>
          <t>ORD-11184</t>
        </is>
      </c>
      <c r="B1185" s="6" t="n">
        <v>45822</v>
      </c>
      <c r="C1185" s="3" t="inlineStr">
        <is>
          <t>Home &amp; Lifestyle</t>
        </is>
      </c>
      <c r="D1185" s="3" t="inlineStr">
        <is>
          <t>Travel Mugs</t>
        </is>
      </c>
      <c r="E1185" s="3" t="inlineStr">
        <is>
          <t>Western</t>
        </is>
      </c>
      <c r="F1185" s="3" t="inlineStr">
        <is>
          <t>Retail Shop</t>
        </is>
      </c>
      <c r="G1185" s="3" t="inlineStr">
        <is>
          <t>New</t>
        </is>
      </c>
      <c r="H1185" s="3" t="n">
        <v>3</v>
      </c>
      <c r="I1185" s="3" t="n">
        <v>180</v>
      </c>
      <c r="J1185" s="3" t="n">
        <v>88.78</v>
      </c>
      <c r="K1185" s="3" t="n">
        <v>0</v>
      </c>
      <c r="L1185" s="3" t="n">
        <v>3.62</v>
      </c>
    </row>
    <row r="1186">
      <c r="A1186" s="3" t="inlineStr">
        <is>
          <t>ORD-11185</t>
        </is>
      </c>
      <c r="B1186" s="6" t="n">
        <v>45906</v>
      </c>
      <c r="C1186" s="3" t="inlineStr">
        <is>
          <t>Footwear</t>
        </is>
      </c>
      <c r="D1186" s="3" t="inlineStr">
        <is>
          <t>Sneakers</t>
        </is>
      </c>
      <c r="E1186" s="3" t="inlineStr">
        <is>
          <t>Western</t>
        </is>
      </c>
      <c r="F1186" s="3" t="inlineStr">
        <is>
          <t>Online</t>
        </is>
      </c>
      <c r="G1186" s="3" t="inlineStr">
        <is>
          <t>Returning</t>
        </is>
      </c>
      <c r="H1186" s="3" t="n">
        <v>8</v>
      </c>
      <c r="I1186" s="3" t="n">
        <v>435</v>
      </c>
      <c r="J1186" s="3" t="n">
        <v>239.9</v>
      </c>
      <c r="K1186" s="3" t="n">
        <v>0.15</v>
      </c>
      <c r="L1186" s="3" t="n">
        <v>19.59</v>
      </c>
    </row>
    <row r="1187">
      <c r="A1187" s="3" t="inlineStr">
        <is>
          <t>ORD-11186</t>
        </is>
      </c>
      <c r="B1187" s="6" t="n">
        <v>45729</v>
      </c>
      <c r="C1187" s="3" t="inlineStr">
        <is>
          <t>Clothing</t>
        </is>
      </c>
      <c r="D1187" s="3" t="inlineStr">
        <is>
          <t>Dresses</t>
        </is>
      </c>
      <c r="E1187" s="3" t="inlineStr">
        <is>
          <t>Northern</t>
        </is>
      </c>
      <c r="F1187" s="3" t="inlineStr">
        <is>
          <t>Retail Shop</t>
        </is>
      </c>
      <c r="G1187" s="3" t="inlineStr">
        <is>
          <t>New</t>
        </is>
      </c>
      <c r="H1187" s="3" t="n">
        <v>5</v>
      </c>
      <c r="I1187" s="3" t="n">
        <v>205</v>
      </c>
      <c r="J1187" s="3" t="n">
        <v>103.16</v>
      </c>
      <c r="K1187" s="3" t="n">
        <v>0</v>
      </c>
      <c r="L1187" s="3" t="n">
        <v>6.47</v>
      </c>
    </row>
    <row r="1188">
      <c r="A1188" s="3" t="inlineStr">
        <is>
          <t>ORD-11187</t>
        </is>
      </c>
      <c r="B1188" s="6" t="n">
        <v>45923</v>
      </c>
      <c r="C1188" s="3" t="inlineStr">
        <is>
          <t>Accessories</t>
        </is>
      </c>
      <c r="D1188" s="3" t="inlineStr">
        <is>
          <t>Watches</t>
        </is>
      </c>
      <c r="E1188" s="3" t="inlineStr">
        <is>
          <t>Central</t>
        </is>
      </c>
      <c r="F1188" s="3" t="inlineStr">
        <is>
          <t>Online</t>
        </is>
      </c>
      <c r="G1188" s="3" t="inlineStr">
        <is>
          <t>Returning</t>
        </is>
      </c>
      <c r="H1188" s="3" t="n">
        <v>2</v>
      </c>
      <c r="I1188" s="3" t="n">
        <v>85</v>
      </c>
      <c r="J1188" s="3" t="n">
        <v>44.07</v>
      </c>
      <c r="K1188" s="3" t="n">
        <v>0.05</v>
      </c>
      <c r="L1188" s="3" t="n">
        <v>31.3</v>
      </c>
    </row>
    <row r="1189">
      <c r="A1189" s="3" t="inlineStr">
        <is>
          <t>ORD-11188</t>
        </is>
      </c>
      <c r="B1189" s="6" t="n">
        <v>45703</v>
      </c>
      <c r="C1189" s="3" t="inlineStr">
        <is>
          <t>Accessories</t>
        </is>
      </c>
      <c r="D1189" s="3" t="inlineStr">
        <is>
          <t>Bags</t>
        </is>
      </c>
      <c r="E1189" s="3" t="inlineStr">
        <is>
          <t>Ashanti</t>
        </is>
      </c>
      <c r="F1189" s="3" t="inlineStr">
        <is>
          <t>Phone/WhatsApp</t>
        </is>
      </c>
      <c r="G1189" s="3" t="inlineStr">
        <is>
          <t>Returning</t>
        </is>
      </c>
      <c r="H1189" s="3" t="n">
        <v>2</v>
      </c>
      <c r="I1189" s="3" t="n">
        <v>125</v>
      </c>
      <c r="J1189" s="3" t="n">
        <v>55.67</v>
      </c>
      <c r="K1189" s="3" t="n">
        <v>0.15</v>
      </c>
      <c r="L1189" s="3" t="n">
        <v>26.66</v>
      </c>
    </row>
    <row r="1190">
      <c r="A1190" s="3" t="inlineStr">
        <is>
          <t>ORD-11189</t>
        </is>
      </c>
      <c r="B1190" s="6" t="n">
        <v>45682</v>
      </c>
      <c r="C1190" s="3" t="inlineStr">
        <is>
          <t>Footwear</t>
        </is>
      </c>
      <c r="D1190" s="3" t="inlineStr">
        <is>
          <t>Formal Shoes</t>
        </is>
      </c>
      <c r="E1190" s="3" t="inlineStr">
        <is>
          <t>Central</t>
        </is>
      </c>
      <c r="F1190" s="3" t="inlineStr">
        <is>
          <t>Retail Shop</t>
        </is>
      </c>
      <c r="G1190" s="3" t="inlineStr">
        <is>
          <t>Returning</t>
        </is>
      </c>
      <c r="H1190" s="3" t="n">
        <v>1</v>
      </c>
      <c r="I1190" s="3" t="n">
        <v>215</v>
      </c>
      <c r="J1190" s="3" t="n">
        <v>135.98</v>
      </c>
      <c r="K1190" s="3" t="n">
        <v>0</v>
      </c>
      <c r="L1190" s="3" t="n">
        <v>3.51</v>
      </c>
    </row>
    <row r="1191">
      <c r="A1191" s="3" t="inlineStr">
        <is>
          <t>ORD-11190</t>
        </is>
      </c>
      <c r="B1191" s="6" t="n">
        <v>45911</v>
      </c>
      <c r="C1191" s="3" t="inlineStr">
        <is>
          <t>Clothing</t>
        </is>
      </c>
      <c r="D1191" s="3" t="inlineStr">
        <is>
          <t>Shirts</t>
        </is>
      </c>
      <c r="E1191" s="3" t="inlineStr">
        <is>
          <t>Ashanti</t>
        </is>
      </c>
      <c r="F1191" s="3" t="inlineStr">
        <is>
          <t>Online</t>
        </is>
      </c>
      <c r="G1191" s="3" t="inlineStr">
        <is>
          <t>New</t>
        </is>
      </c>
      <c r="H1191" s="3" t="n">
        <v>2</v>
      </c>
      <c r="I1191" s="3" t="n">
        <v>60</v>
      </c>
      <c r="J1191" s="3" t="n">
        <v>33.78</v>
      </c>
      <c r="K1191" s="3" t="n">
        <v>0.15</v>
      </c>
      <c r="L1191" s="3" t="n">
        <v>20.38</v>
      </c>
    </row>
    <row r="1192">
      <c r="A1192" s="3" t="inlineStr">
        <is>
          <t>ORD-11191</t>
        </is>
      </c>
      <c r="B1192" s="6" t="n">
        <v>45795</v>
      </c>
      <c r="C1192" s="3" t="inlineStr">
        <is>
          <t>Footwear</t>
        </is>
      </c>
      <c r="D1192" s="3" t="inlineStr">
        <is>
          <t>Formal Shoes</t>
        </is>
      </c>
      <c r="E1192" s="3" t="inlineStr">
        <is>
          <t>Greater Accra</t>
        </is>
      </c>
      <c r="F1192" s="3" t="inlineStr">
        <is>
          <t>Retail Shop</t>
        </is>
      </c>
      <c r="G1192" s="3" t="inlineStr">
        <is>
          <t>Returning</t>
        </is>
      </c>
      <c r="H1192" s="3" t="n">
        <v>1</v>
      </c>
      <c r="I1192" s="3" t="n">
        <v>180</v>
      </c>
      <c r="J1192" s="3" t="n">
        <v>93.40000000000001</v>
      </c>
      <c r="K1192" s="3" t="n">
        <v>0</v>
      </c>
      <c r="L1192" s="3" t="n">
        <v>3.58</v>
      </c>
    </row>
    <row r="1193">
      <c r="A1193" s="3" t="inlineStr">
        <is>
          <t>ORD-11192</t>
        </is>
      </c>
      <c r="B1193" s="6" t="n">
        <v>45937</v>
      </c>
      <c r="C1193" s="3" t="inlineStr">
        <is>
          <t>Footwear</t>
        </is>
      </c>
      <c r="D1193" s="3" t="inlineStr">
        <is>
          <t>Sandals</t>
        </is>
      </c>
      <c r="E1193" s="3" t="inlineStr">
        <is>
          <t>Greater Accra</t>
        </is>
      </c>
      <c r="F1193" s="3" t="inlineStr">
        <is>
          <t>Phone/WhatsApp</t>
        </is>
      </c>
      <c r="G1193" s="3" t="inlineStr">
        <is>
          <t>New</t>
        </is>
      </c>
      <c r="H1193" s="3" t="n">
        <v>4</v>
      </c>
      <c r="I1193" s="3" t="n">
        <v>315</v>
      </c>
      <c r="J1193" s="3" t="n">
        <v>168.13</v>
      </c>
      <c r="K1193" s="3" t="n">
        <v>0</v>
      </c>
      <c r="L1193" s="3" t="n">
        <v>8.949999999999999</v>
      </c>
    </row>
    <row r="1194">
      <c r="A1194" s="3" t="inlineStr">
        <is>
          <t>ORD-11193</t>
        </is>
      </c>
      <c r="B1194" s="6" t="n">
        <v>45748</v>
      </c>
      <c r="C1194" s="3" t="inlineStr">
        <is>
          <t>Footwear</t>
        </is>
      </c>
      <c r="D1194" s="3" t="inlineStr">
        <is>
          <t>Formal Shoes</t>
        </is>
      </c>
      <c r="E1194" s="3" t="inlineStr">
        <is>
          <t>Greater Accra</t>
        </is>
      </c>
      <c r="F1194" s="3" t="inlineStr">
        <is>
          <t>Retail Shop</t>
        </is>
      </c>
      <c r="G1194" s="3" t="inlineStr">
        <is>
          <t>Returning</t>
        </is>
      </c>
      <c r="H1194" s="3" t="n">
        <v>2</v>
      </c>
      <c r="I1194" s="3" t="n">
        <v>245</v>
      </c>
      <c r="J1194" s="3" t="n">
        <v>129.74</v>
      </c>
      <c r="K1194" s="3" t="n">
        <v>0.1</v>
      </c>
      <c r="L1194" s="3" t="n">
        <v>11.25</v>
      </c>
    </row>
    <row r="1195">
      <c r="A1195" s="3" t="inlineStr">
        <is>
          <t>ORD-11194</t>
        </is>
      </c>
      <c r="B1195" s="6" t="n">
        <v>45735</v>
      </c>
      <c r="C1195" s="3" t="inlineStr">
        <is>
          <t>Clothing</t>
        </is>
      </c>
      <c r="D1195" s="3" t="inlineStr">
        <is>
          <t>Shirts</t>
        </is>
      </c>
      <c r="E1195" s="3" t="inlineStr">
        <is>
          <t>Ashanti</t>
        </is>
      </c>
      <c r="F1195" s="3" t="inlineStr">
        <is>
          <t>Phone/WhatsApp</t>
        </is>
      </c>
      <c r="G1195" s="3" t="inlineStr">
        <is>
          <t>Returning</t>
        </is>
      </c>
      <c r="H1195" s="3" t="n">
        <v>1</v>
      </c>
      <c r="I1195" s="3" t="n">
        <v>120</v>
      </c>
      <c r="J1195" s="3" t="n">
        <v>68.59999999999999</v>
      </c>
      <c r="K1195" s="3" t="n">
        <v>0.1</v>
      </c>
      <c r="L1195" s="3" t="n">
        <v>37.53</v>
      </c>
    </row>
    <row r="1196">
      <c r="A1196" s="3" t="inlineStr">
        <is>
          <t>ORD-11195</t>
        </is>
      </c>
      <c r="B1196" s="6" t="n">
        <v>45917</v>
      </c>
      <c r="C1196" s="3" t="inlineStr">
        <is>
          <t>Clothing</t>
        </is>
      </c>
      <c r="D1196" s="3" t="inlineStr">
        <is>
          <t>Trousers</t>
        </is>
      </c>
      <c r="E1196" s="3" t="inlineStr">
        <is>
          <t>Ashanti</t>
        </is>
      </c>
      <c r="F1196" s="3" t="inlineStr">
        <is>
          <t>Online</t>
        </is>
      </c>
      <c r="G1196" s="3" t="inlineStr">
        <is>
          <t>Returning</t>
        </is>
      </c>
      <c r="H1196" s="3" t="n">
        <v>2</v>
      </c>
      <c r="I1196" s="3" t="n">
        <v>240</v>
      </c>
      <c r="J1196" s="3" t="n">
        <v>138.82</v>
      </c>
      <c r="K1196" s="3" t="n">
        <v>0.1</v>
      </c>
      <c r="L1196" s="3" t="n">
        <v>13.36</v>
      </c>
    </row>
    <row r="1197">
      <c r="A1197" s="3" t="inlineStr">
        <is>
          <t>ORD-11196</t>
        </is>
      </c>
      <c r="B1197" s="6" t="n">
        <v>45894</v>
      </c>
      <c r="C1197" s="3" t="inlineStr">
        <is>
          <t>Footwear</t>
        </is>
      </c>
      <c r="D1197" s="3" t="inlineStr">
        <is>
          <t>Sneakers</t>
        </is>
      </c>
      <c r="E1197" s="3" t="inlineStr">
        <is>
          <t>Western</t>
        </is>
      </c>
      <c r="F1197" s="3" t="inlineStr">
        <is>
          <t>Phone/WhatsApp</t>
        </is>
      </c>
      <c r="G1197" s="3" t="inlineStr">
        <is>
          <t>Returning</t>
        </is>
      </c>
      <c r="H1197" s="3" t="n">
        <v>1</v>
      </c>
      <c r="I1197" s="3" t="n">
        <v>245</v>
      </c>
      <c r="J1197" s="3" t="n">
        <v>132.28</v>
      </c>
      <c r="K1197" s="3" t="n">
        <v>0.05</v>
      </c>
      <c r="L1197" s="3" t="n">
        <v>39.77</v>
      </c>
    </row>
    <row r="1198">
      <c r="A1198" s="3" t="inlineStr">
        <is>
          <t>ORD-11197</t>
        </is>
      </c>
      <c r="B1198" s="6" t="n">
        <v>45796</v>
      </c>
      <c r="C1198" s="3" t="inlineStr">
        <is>
          <t>Home &amp; Lifestyle</t>
        </is>
      </c>
      <c r="D1198" s="3" t="inlineStr">
        <is>
          <t>Backpacks</t>
        </is>
      </c>
      <c r="E1198" s="3" t="inlineStr">
        <is>
          <t>Greater Accra</t>
        </is>
      </c>
      <c r="F1198" s="3" t="inlineStr">
        <is>
          <t>Online</t>
        </is>
      </c>
      <c r="G1198" s="3" t="inlineStr">
        <is>
          <t>Returning</t>
        </is>
      </c>
      <c r="H1198" s="3" t="n">
        <v>2</v>
      </c>
      <c r="I1198" s="3" t="n">
        <v>105</v>
      </c>
      <c r="J1198" s="3" t="n">
        <v>59.34</v>
      </c>
      <c r="K1198" s="3" t="n">
        <v>0.15</v>
      </c>
      <c r="L1198" s="3" t="n">
        <v>24.99</v>
      </c>
    </row>
    <row r="1199">
      <c r="A1199" s="3" t="inlineStr">
        <is>
          <t>ORD-11198</t>
        </is>
      </c>
      <c r="B1199" s="6" t="n">
        <v>45779</v>
      </c>
      <c r="C1199" s="3" t="inlineStr">
        <is>
          <t>Clothing</t>
        </is>
      </c>
      <c r="D1199" s="3" t="inlineStr">
        <is>
          <t>Shirts</t>
        </is>
      </c>
      <c r="E1199" s="3" t="inlineStr">
        <is>
          <t>Ashanti</t>
        </is>
      </c>
      <c r="F1199" s="3" t="inlineStr">
        <is>
          <t>Retail Shop</t>
        </is>
      </c>
      <c r="G1199" s="3" t="inlineStr">
        <is>
          <t>Returning</t>
        </is>
      </c>
      <c r="H1199" s="3" t="n">
        <v>4</v>
      </c>
      <c r="I1199" s="3" t="n">
        <v>170</v>
      </c>
      <c r="J1199" s="3" t="n">
        <v>85.20999999999999</v>
      </c>
      <c r="K1199" s="3" t="n">
        <v>0</v>
      </c>
      <c r="L1199" s="3" t="n">
        <v>3.51</v>
      </c>
    </row>
    <row r="1200">
      <c r="A1200" s="3" t="inlineStr">
        <is>
          <t>ORD-11199</t>
        </is>
      </c>
      <c r="B1200" s="6" t="n">
        <v>45892</v>
      </c>
      <c r="C1200" s="3" t="inlineStr">
        <is>
          <t>Footwear</t>
        </is>
      </c>
      <c r="D1200" s="3" t="inlineStr">
        <is>
          <t>Boots</t>
        </is>
      </c>
      <c r="E1200" s="3" t="inlineStr">
        <is>
          <t>Ashanti</t>
        </is>
      </c>
      <c r="F1200" s="3" t="inlineStr">
        <is>
          <t>Online</t>
        </is>
      </c>
      <c r="G1200" s="3" t="inlineStr">
        <is>
          <t>Returning</t>
        </is>
      </c>
      <c r="H1200" s="3" t="n">
        <v>5</v>
      </c>
      <c r="I1200" s="3" t="n">
        <v>300</v>
      </c>
      <c r="J1200" s="3" t="n">
        <v>166.28</v>
      </c>
      <c r="K1200" s="3" t="n">
        <v>0.2</v>
      </c>
      <c r="L1200" s="3" t="n">
        <v>11.88</v>
      </c>
    </row>
    <row r="1201">
      <c r="A1201" s="3" t="inlineStr">
        <is>
          <t>ORD-11200</t>
        </is>
      </c>
      <c r="B1201" s="6" t="n">
        <v>45673</v>
      </c>
      <c r="C1201" s="3" t="inlineStr">
        <is>
          <t>Footwear</t>
        </is>
      </c>
      <c r="D1201" s="3" t="inlineStr">
        <is>
          <t>Boots</t>
        </is>
      </c>
      <c r="E1201" s="3" t="inlineStr">
        <is>
          <t>Ashanti</t>
        </is>
      </c>
      <c r="F1201" s="3" t="inlineStr">
        <is>
          <t>Online</t>
        </is>
      </c>
      <c r="G1201" s="3" t="inlineStr">
        <is>
          <t>Returning</t>
        </is>
      </c>
      <c r="H1201" s="3" t="n">
        <v>1</v>
      </c>
      <c r="I1201" s="3" t="n">
        <v>260</v>
      </c>
      <c r="J1201" s="3" t="n">
        <v>142.69</v>
      </c>
      <c r="K1201" s="3" t="n">
        <v>0</v>
      </c>
      <c r="L1201" s="3" t="n">
        <v>28.81</v>
      </c>
    </row>
    <row r="1202">
      <c r="A1202" s="3" t="inlineStr">
        <is>
          <t>ORD-10078</t>
        </is>
      </c>
      <c r="B1202" s="6" t="n">
        <v>45768</v>
      </c>
      <c r="C1202" s="3" t="inlineStr">
        <is>
          <t>Footwear</t>
        </is>
      </c>
      <c r="D1202" s="3" t="inlineStr">
        <is>
          <t>Sneakers</t>
        </is>
      </c>
      <c r="E1202" s="3" t="inlineStr">
        <is>
          <t>Ashanti</t>
        </is>
      </c>
      <c r="F1202" s="3" t="inlineStr">
        <is>
          <t>Retail Shop</t>
        </is>
      </c>
      <c r="G1202" s="3" t="inlineStr">
        <is>
          <t>New</t>
        </is>
      </c>
      <c r="H1202" s="3" t="n">
        <v>3</v>
      </c>
      <c r="I1202" s="3" t="n">
        <v>600</v>
      </c>
      <c r="J1202" s="3" t="n">
        <v>315.9</v>
      </c>
      <c r="K1202" s="3" t="n">
        <v>0.1</v>
      </c>
      <c r="L1202" s="3" t="n">
        <v>1.96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8" customWidth="1" min="3" max="3"/>
    <col width="18" customWidth="1" min="4" max="4"/>
    <col width="15" customWidth="1" min="5" max="5"/>
    <col width="16" customWidth="1" min="6" max="6"/>
    <col width="15" customWidth="1" min="7" max="7"/>
    <col width="13" customWidth="1" min="8" max="8"/>
    <col width="18" customWidth="1" min="9" max="9"/>
    <col width="17" customWidth="1" min="10" max="10"/>
    <col width="15" customWidth="1" min="11" max="11"/>
    <col width="21" customWidth="1" min="12" max="12"/>
    <col width="17" customWidth="1" min="13" max="13"/>
    <col width="20" customWidth="1" min="14" max="14"/>
    <col width="30" customWidth="1" min="15" max="15"/>
    <col width="21" customWidth="1" min="16" max="16"/>
    <col width="19" customWidth="1" min="17" max="17"/>
  </cols>
  <sheetData>
    <row r="1" ht="28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 Category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Sales Channel</t>
        </is>
      </c>
      <c r="G1" s="1" t="inlineStr">
        <is>
          <t>Customer Type</t>
        </is>
      </c>
      <c r="H1" s="1" t="inlineStr">
        <is>
          <t>Quantity</t>
        </is>
      </c>
      <c r="I1" s="1" t="inlineStr">
        <is>
          <t>Unit Price (GHS)</t>
        </is>
      </c>
      <c r="J1" s="1" t="inlineStr">
        <is>
          <t>Unit Cost (GHS)</t>
        </is>
      </c>
      <c r="K1" s="1" t="inlineStr">
        <is>
          <t>Discount Rate</t>
        </is>
      </c>
      <c r="L1" s="1" t="inlineStr">
        <is>
          <t>Delivery Cost (GHS)</t>
        </is>
      </c>
      <c r="M1" s="1" t="inlineStr">
        <is>
          <t>Net Sales (GHS)</t>
        </is>
      </c>
      <c r="N1" s="1" t="inlineStr">
        <is>
          <t>Product Cost (GHS)</t>
        </is>
      </c>
      <c r="O1" s="1" t="inlineStr">
        <is>
          <t>Estimated Contribution (GHS)</t>
        </is>
      </c>
      <c r="P1" s="1" t="inlineStr">
        <is>
          <t>Contribution Margin</t>
        </is>
      </c>
      <c r="Q1" s="1" t="inlineStr">
        <is>
          <t>Data Quality Note</t>
        </is>
      </c>
    </row>
    <row r="2">
      <c r="A2" s="3" t="inlineStr">
        <is>
          <t>ORD-10001</t>
        </is>
      </c>
      <c r="B2" s="7" t="n">
        <v>45769</v>
      </c>
      <c r="C2" s="3" t="inlineStr">
        <is>
          <t>Clothing</t>
        </is>
      </c>
      <c r="D2" s="3" t="inlineStr">
        <is>
          <t>Dresses</t>
        </is>
      </c>
      <c r="E2" s="3" t="inlineStr">
        <is>
          <t>Ashanti</t>
        </is>
      </c>
      <c r="F2" s="3" t="inlineStr">
        <is>
          <t>Online</t>
        </is>
      </c>
      <c r="G2" s="3" t="inlineStr">
        <is>
          <t>Returning</t>
        </is>
      </c>
      <c r="H2" s="3" t="n">
        <v>4</v>
      </c>
      <c r="I2" s="8" t="n">
        <v>150</v>
      </c>
      <c r="J2" s="8" t="n">
        <v>84.76000000000001</v>
      </c>
      <c r="K2" s="9" t="n">
        <v>0</v>
      </c>
      <c r="L2" s="8" t="n">
        <v>8.119999999999999</v>
      </c>
      <c r="M2" s="8">
        <f>H2*I2*(1-K2)</f>
        <v/>
      </c>
      <c r="N2" s="8">
        <f>H2*J2</f>
        <v/>
      </c>
      <c r="O2" s="8">
        <f>M2-N2-L2</f>
        <v/>
      </c>
      <c r="P2" s="10">
        <f>IFERROR(O2/M2,0)</f>
        <v/>
      </c>
      <c r="Q2" s="3">
        <f>IF(H2&lt;=0,"Review: quantity &lt;= 0",IF(K2&gt;0.3,"Review: discount &gt; 30%",IF(G2="","Review: missing customer type","OK")))</f>
        <v/>
      </c>
    </row>
    <row r="3">
      <c r="A3" s="3" t="inlineStr">
        <is>
          <t>ORD-10002</t>
        </is>
      </c>
      <c r="B3" s="7" t="n">
        <v>45899</v>
      </c>
      <c r="C3" s="3" t="inlineStr">
        <is>
          <t>Clothing</t>
        </is>
      </c>
      <c r="D3" s="3" t="inlineStr">
        <is>
          <t>Trousers</t>
        </is>
      </c>
      <c r="E3" s="3" t="inlineStr">
        <is>
          <t>Greater Accra</t>
        </is>
      </c>
      <c r="F3" s="3" t="inlineStr">
        <is>
          <t>Retail Shop</t>
        </is>
      </c>
      <c r="G3" s="3" t="inlineStr">
        <is>
          <t>Returning</t>
        </is>
      </c>
      <c r="H3" s="3" t="n">
        <v>1</v>
      </c>
      <c r="I3" s="8" t="n">
        <v>130</v>
      </c>
      <c r="J3" s="8" t="n">
        <v>73.8</v>
      </c>
      <c r="K3" s="9" t="n">
        <v>0</v>
      </c>
      <c r="L3" s="8" t="n">
        <v>3.84</v>
      </c>
      <c r="M3" s="8">
        <f>H3*I3*(1-K3)</f>
        <v/>
      </c>
      <c r="N3" s="8">
        <f>H3*J3</f>
        <v/>
      </c>
      <c r="O3" s="8">
        <f>M3-N3-L3</f>
        <v/>
      </c>
      <c r="P3" s="10">
        <f>IFERROR(O3/M3,0)</f>
        <v/>
      </c>
      <c r="Q3" s="3">
        <f>IF(H3&lt;=0,"Review: quantity &lt;= 0",IF(K3&gt;0.3,"Review: discount &gt; 30%",IF(G3="","Review: missing customer type","OK")))</f>
        <v/>
      </c>
    </row>
    <row r="4">
      <c r="A4" s="3" t="inlineStr">
        <is>
          <t>ORD-10003</t>
        </is>
      </c>
      <c r="B4" s="7" t="n">
        <v>45801</v>
      </c>
      <c r="C4" s="3" t="inlineStr">
        <is>
          <t>Home &amp; Lifestyle</t>
        </is>
      </c>
      <c r="D4" s="3" t="inlineStr">
        <is>
          <t>Small Home Goods</t>
        </is>
      </c>
      <c r="E4" s="3" t="inlineStr">
        <is>
          <t>Ashanti</t>
        </is>
      </c>
      <c r="F4" s="3" t="inlineStr">
        <is>
          <t>Retail Shop</t>
        </is>
      </c>
      <c r="G4" s="3" t="inlineStr">
        <is>
          <t>Returning</t>
        </is>
      </c>
      <c r="H4" s="3" t="n">
        <v>4</v>
      </c>
      <c r="I4" s="8" t="n">
        <v>130</v>
      </c>
      <c r="J4" s="8" t="n">
        <v>70.56</v>
      </c>
      <c r="K4" s="9" t="n">
        <v>0</v>
      </c>
      <c r="L4" s="8" t="n">
        <v>10.95</v>
      </c>
      <c r="M4" s="8">
        <f>H4*I4*(1-K4)</f>
        <v/>
      </c>
      <c r="N4" s="8">
        <f>H4*J4</f>
        <v/>
      </c>
      <c r="O4" s="8">
        <f>M4-N4-L4</f>
        <v/>
      </c>
      <c r="P4" s="10">
        <f>IFERROR(O4/M4,0)</f>
        <v/>
      </c>
      <c r="Q4" s="3">
        <f>IF(H4&lt;=0,"Review: quantity &lt;= 0",IF(K4&gt;0.3,"Review: discount &gt; 30%",IF(G4="","Review: missing customer type","OK")))</f>
        <v/>
      </c>
    </row>
    <row r="5">
      <c r="A5" s="3" t="inlineStr">
        <is>
          <t>ORD-10004</t>
        </is>
      </c>
      <c r="B5" s="7" t="n">
        <v>45971</v>
      </c>
      <c r="C5" s="3" t="inlineStr">
        <is>
          <t>Accessories</t>
        </is>
      </c>
      <c r="D5" s="3" t="inlineStr">
        <is>
          <t>Watches</t>
        </is>
      </c>
      <c r="E5" s="3" t="inlineStr">
        <is>
          <t>Northern</t>
        </is>
      </c>
      <c r="F5" s="3" t="inlineStr">
        <is>
          <t>Phone/WhatsApp</t>
        </is>
      </c>
      <c r="G5" s="3" t="inlineStr">
        <is>
          <t>New</t>
        </is>
      </c>
      <c r="H5" s="3" t="n">
        <v>3</v>
      </c>
      <c r="I5" s="8" t="n">
        <v>80</v>
      </c>
      <c r="J5" s="8" t="n">
        <v>37.41</v>
      </c>
      <c r="K5" s="9" t="n">
        <v>0.05</v>
      </c>
      <c r="L5" s="8" t="n">
        <v>22.63</v>
      </c>
      <c r="M5" s="8">
        <f>H5*I5*(1-K5)</f>
        <v/>
      </c>
      <c r="N5" s="8">
        <f>H5*J5</f>
        <v/>
      </c>
      <c r="O5" s="8">
        <f>M5-N5-L5</f>
        <v/>
      </c>
      <c r="P5" s="10">
        <f>IFERROR(O5/M5,0)</f>
        <v/>
      </c>
      <c r="Q5" s="3">
        <f>IF(H5&lt;=0,"Review: quantity &lt;= 0",IF(K5&gt;0.3,"Review: discount &gt; 30%",IF(G5="","Review: missing customer type","OK")))</f>
        <v/>
      </c>
    </row>
    <row r="6">
      <c r="A6" s="3" t="inlineStr">
        <is>
          <t>ORD-10005</t>
        </is>
      </c>
      <c r="B6" s="7" t="n">
        <v>45898</v>
      </c>
      <c r="C6" s="3" t="inlineStr">
        <is>
          <t>Home &amp; Lifestyle</t>
        </is>
      </c>
      <c r="D6" s="3" t="inlineStr">
        <is>
          <t>Travel Mugs</t>
        </is>
      </c>
      <c r="E6" s="3" t="inlineStr">
        <is>
          <t>Greater Accra</t>
        </is>
      </c>
      <c r="F6" s="3" t="inlineStr">
        <is>
          <t>Retail Shop</t>
        </is>
      </c>
      <c r="G6" s="3" t="inlineStr">
        <is>
          <t>Returning</t>
        </is>
      </c>
      <c r="H6" s="3" t="n">
        <v>2</v>
      </c>
      <c r="I6" s="8" t="n">
        <v>90</v>
      </c>
      <c r="J6" s="8" t="n">
        <v>46.61</v>
      </c>
      <c r="K6" s="9" t="n">
        <v>0</v>
      </c>
      <c r="L6" s="8" t="n">
        <v>9.33</v>
      </c>
      <c r="M6" s="8">
        <f>H6*I6*(1-K6)</f>
        <v/>
      </c>
      <c r="N6" s="8">
        <f>H6*J6</f>
        <v/>
      </c>
      <c r="O6" s="8">
        <f>M6-N6-L6</f>
        <v/>
      </c>
      <c r="P6" s="10">
        <f>IFERROR(O6/M6,0)</f>
        <v/>
      </c>
      <c r="Q6" s="3">
        <f>IF(H6&lt;=0,"Review: quantity &lt;= 0",IF(K6&gt;0.3,"Review: discount &gt; 30%",IF(G6="","Review: missing customer type","OK")))</f>
        <v/>
      </c>
    </row>
    <row r="7">
      <c r="A7" s="3" t="inlineStr">
        <is>
          <t>ORD-10006</t>
        </is>
      </c>
      <c r="B7" s="7" t="n">
        <v>45936</v>
      </c>
      <c r="C7" s="3" t="inlineStr">
        <is>
          <t>Clothing</t>
        </is>
      </c>
      <c r="D7" s="3" t="inlineStr">
        <is>
          <t>Trousers</t>
        </is>
      </c>
      <c r="E7" s="3" t="inlineStr">
        <is>
          <t>Ashanti</t>
        </is>
      </c>
      <c r="F7" s="3" t="inlineStr">
        <is>
          <t>Phone/WhatsApp</t>
        </is>
      </c>
      <c r="G7" s="3" t="inlineStr">
        <is>
          <t>Returning</t>
        </is>
      </c>
      <c r="H7" s="3" t="n">
        <v>3</v>
      </c>
      <c r="I7" s="8" t="n">
        <v>110</v>
      </c>
      <c r="J7" s="8" t="n">
        <v>55.82</v>
      </c>
      <c r="K7" s="9" t="n">
        <v>0.05</v>
      </c>
      <c r="L7" s="8" t="n">
        <v>37.45</v>
      </c>
      <c r="M7" s="8">
        <f>H7*I7*(1-K7)</f>
        <v/>
      </c>
      <c r="N7" s="8">
        <f>H7*J7</f>
        <v/>
      </c>
      <c r="O7" s="8">
        <f>M7-N7-L7</f>
        <v/>
      </c>
      <c r="P7" s="10">
        <f>IFERROR(O7/M7,0)</f>
        <v/>
      </c>
      <c r="Q7" s="3">
        <f>IF(H7&lt;=0,"Review: quantity &lt;= 0",IF(K7&gt;0.3,"Review: discount &gt; 30%",IF(G7="","Review: missing customer type","OK")))</f>
        <v/>
      </c>
    </row>
    <row r="8">
      <c r="A8" s="3" t="inlineStr">
        <is>
          <t>ORD-10007</t>
        </is>
      </c>
      <c r="B8" s="7" t="n">
        <v>45689</v>
      </c>
      <c r="C8" s="3" t="inlineStr">
        <is>
          <t>Home &amp; Lifestyle</t>
        </is>
      </c>
      <c r="D8" s="3" t="inlineStr">
        <is>
          <t>Backpacks</t>
        </is>
      </c>
      <c r="E8" s="3" t="inlineStr">
        <is>
          <t>Greater Accra</t>
        </is>
      </c>
      <c r="F8" s="3" t="inlineStr">
        <is>
          <t>Retail Shop</t>
        </is>
      </c>
      <c r="G8" s="3" t="inlineStr">
        <is>
          <t>Returning</t>
        </is>
      </c>
      <c r="H8" s="3" t="n">
        <v>2</v>
      </c>
      <c r="I8" s="8" t="n">
        <v>200</v>
      </c>
      <c r="J8" s="8" t="n">
        <v>103.12</v>
      </c>
      <c r="K8" s="9" t="n">
        <v>0</v>
      </c>
      <c r="L8" s="8" t="n">
        <v>8.800000000000001</v>
      </c>
      <c r="M8" s="8">
        <f>H8*I8*(1-K8)</f>
        <v/>
      </c>
      <c r="N8" s="8">
        <f>H8*J8</f>
        <v/>
      </c>
      <c r="O8" s="8">
        <f>M8-N8-L8</f>
        <v/>
      </c>
      <c r="P8" s="10">
        <f>IFERROR(O8/M8,0)</f>
        <v/>
      </c>
      <c r="Q8" s="3">
        <f>IF(H8&lt;=0,"Review: quantity &lt;= 0",IF(K8&gt;0.3,"Review: discount &gt; 30%",IF(G8="","Review: missing customer type","OK")))</f>
        <v/>
      </c>
    </row>
    <row r="9">
      <c r="A9" s="3" t="inlineStr">
        <is>
          <t>ORD-10008</t>
        </is>
      </c>
      <c r="B9" s="7" t="n">
        <v>45982</v>
      </c>
      <c r="C9" s="3" t="inlineStr">
        <is>
          <t>Clothing</t>
        </is>
      </c>
      <c r="D9" s="3" t="inlineStr">
        <is>
          <t>Dresses</t>
        </is>
      </c>
      <c r="E9" s="3" t="inlineStr">
        <is>
          <t>Ashanti</t>
        </is>
      </c>
      <c r="F9" s="3" t="inlineStr">
        <is>
          <t>Phone/WhatsApp</t>
        </is>
      </c>
      <c r="G9" s="3" t="inlineStr">
        <is>
          <t>Returning</t>
        </is>
      </c>
      <c r="H9" s="3" t="n">
        <v>3</v>
      </c>
      <c r="I9" s="8" t="n">
        <v>230</v>
      </c>
      <c r="J9" s="8" t="n">
        <v>122.39</v>
      </c>
      <c r="K9" s="9" t="n">
        <v>0.15</v>
      </c>
      <c r="L9" s="8" t="n">
        <v>30.18</v>
      </c>
      <c r="M9" s="8">
        <f>H9*I9*(1-K9)</f>
        <v/>
      </c>
      <c r="N9" s="8">
        <f>H9*J9</f>
        <v/>
      </c>
      <c r="O9" s="8">
        <f>M9-N9-L9</f>
        <v/>
      </c>
      <c r="P9" s="10">
        <f>IFERROR(O9/M9,0)</f>
        <v/>
      </c>
      <c r="Q9" s="3">
        <f>IF(H9&lt;=0,"Review: quantity &lt;= 0",IF(K9&gt;0.3,"Review: discount &gt; 30%",IF(G9="","Review: missing customer type","OK")))</f>
        <v/>
      </c>
    </row>
    <row r="10">
      <c r="A10" s="3" t="inlineStr">
        <is>
          <t>ORD-10009</t>
        </is>
      </c>
      <c r="B10" s="7" t="n">
        <v>45697</v>
      </c>
      <c r="C10" s="3" t="inlineStr">
        <is>
          <t>Accessories</t>
        </is>
      </c>
      <c r="D10" s="3" t="inlineStr">
        <is>
          <t>Bags</t>
        </is>
      </c>
      <c r="E10" s="3" t="inlineStr">
        <is>
          <t>Ashanti</t>
        </is>
      </c>
      <c r="F10" s="3" t="inlineStr">
        <is>
          <t>Retail Shop</t>
        </is>
      </c>
      <c r="G10" s="3" t="inlineStr">
        <is>
          <t>Returning</t>
        </is>
      </c>
      <c r="H10" s="3" t="n">
        <v>3</v>
      </c>
      <c r="I10" s="8" t="n">
        <v>85</v>
      </c>
      <c r="J10" s="8" t="n">
        <v>37.84</v>
      </c>
      <c r="K10" s="9" t="n">
        <v>0</v>
      </c>
      <c r="L10" s="8" t="n">
        <v>9.33</v>
      </c>
      <c r="M10" s="8">
        <f>H10*I10*(1-K10)</f>
        <v/>
      </c>
      <c r="N10" s="8">
        <f>H10*J10</f>
        <v/>
      </c>
      <c r="O10" s="8">
        <f>M10-N10-L10</f>
        <v/>
      </c>
      <c r="P10" s="10">
        <f>IFERROR(O10/M10,0)</f>
        <v/>
      </c>
      <c r="Q10" s="3">
        <f>IF(H10&lt;=0,"Review: quantity &lt;= 0",IF(K10&gt;0.3,"Review: discount &gt; 30%",IF(G10="","Review: missing customer type","OK")))</f>
        <v/>
      </c>
    </row>
    <row r="11">
      <c r="A11" s="3" t="inlineStr">
        <is>
          <t>ORD-10010</t>
        </is>
      </c>
      <c r="B11" s="7" t="n">
        <v>45665</v>
      </c>
      <c r="C11" s="3" t="inlineStr">
        <is>
          <t>Clothing</t>
        </is>
      </c>
      <c r="D11" s="3" t="inlineStr">
        <is>
          <t>Dresses</t>
        </is>
      </c>
      <c r="E11" s="3" t="inlineStr">
        <is>
          <t>Ashanti</t>
        </is>
      </c>
      <c r="F11" s="3" t="inlineStr">
        <is>
          <t>Retail Shop</t>
        </is>
      </c>
      <c r="G11" s="3" t="inlineStr">
        <is>
          <t>Returning</t>
        </is>
      </c>
      <c r="H11" s="3" t="n">
        <v>1</v>
      </c>
      <c r="I11" s="8" t="n">
        <v>135</v>
      </c>
      <c r="J11" s="8" t="n">
        <v>67.51000000000001</v>
      </c>
      <c r="K11" s="9" t="n">
        <v>0.05</v>
      </c>
      <c r="L11" s="8" t="n">
        <v>8.18</v>
      </c>
      <c r="M11" s="8">
        <f>H11*I11*(1-K11)</f>
        <v/>
      </c>
      <c r="N11" s="8">
        <f>H11*J11</f>
        <v/>
      </c>
      <c r="O11" s="8">
        <f>M11-N11-L11</f>
        <v/>
      </c>
      <c r="P11" s="10">
        <f>IFERROR(O11/M11,0)</f>
        <v/>
      </c>
      <c r="Q11" s="3">
        <f>IF(H11&lt;=0,"Review: quantity &lt;= 0",IF(K11&gt;0.3,"Review: discount &gt; 30%",IF(G11="","Review: missing customer type","OK")))</f>
        <v/>
      </c>
    </row>
    <row r="12">
      <c r="A12" s="3" t="inlineStr">
        <is>
          <t>ORD-10011</t>
        </is>
      </c>
      <c r="B12" s="7" t="n">
        <v>45896</v>
      </c>
      <c r="C12" s="3" t="inlineStr">
        <is>
          <t>Footwear</t>
        </is>
      </c>
      <c r="D12" s="3" t="inlineStr">
        <is>
          <t>Boots</t>
        </is>
      </c>
      <c r="E12" s="3" t="inlineStr">
        <is>
          <t>Greater Accra</t>
        </is>
      </c>
      <c r="F12" s="3" t="inlineStr">
        <is>
          <t>Retail Shop</t>
        </is>
      </c>
      <c r="G12" s="3" t="inlineStr">
        <is>
          <t>Returning</t>
        </is>
      </c>
      <c r="H12" s="3" t="n">
        <v>1</v>
      </c>
      <c r="I12" s="8" t="n">
        <v>420</v>
      </c>
      <c r="J12" s="8" t="n">
        <v>252.42</v>
      </c>
      <c r="K12" s="9" t="n">
        <v>0</v>
      </c>
      <c r="L12" s="8" t="n">
        <v>3.68</v>
      </c>
      <c r="M12" s="8">
        <f>H12*I12*(1-K12)</f>
        <v/>
      </c>
      <c r="N12" s="8">
        <f>H12*J12</f>
        <v/>
      </c>
      <c r="O12" s="8">
        <f>M12-N12-L12</f>
        <v/>
      </c>
      <c r="P12" s="10">
        <f>IFERROR(O12/M12,0)</f>
        <v/>
      </c>
      <c r="Q12" s="3">
        <f>IF(H12&lt;=0,"Review: quantity &lt;= 0",IF(K12&gt;0.3,"Review: discount &gt; 30%",IF(G12="","Review: missing customer type","OK")))</f>
        <v/>
      </c>
    </row>
    <row r="13">
      <c r="A13" s="3" t="inlineStr">
        <is>
          <t>ORD-10012</t>
        </is>
      </c>
      <c r="B13" s="7" t="n">
        <v>45675</v>
      </c>
      <c r="C13" s="3" t="inlineStr">
        <is>
          <t>Accessories</t>
        </is>
      </c>
      <c r="D13" s="3" t="inlineStr">
        <is>
          <t>Belts</t>
        </is>
      </c>
      <c r="E13" s="3" t="inlineStr">
        <is>
          <t>Greater Accra</t>
        </is>
      </c>
      <c r="F13" s="3" t="inlineStr">
        <is>
          <t>Online</t>
        </is>
      </c>
      <c r="G13" s="3" t="inlineStr">
        <is>
          <t>Returning</t>
        </is>
      </c>
      <c r="H13" s="3" t="n">
        <v>4</v>
      </c>
      <c r="I13" s="8" t="n">
        <v>180</v>
      </c>
      <c r="J13" s="8" t="n">
        <v>77.34</v>
      </c>
      <c r="K13" s="9" t="n">
        <v>0</v>
      </c>
      <c r="L13" s="8" t="n">
        <v>30.41</v>
      </c>
      <c r="M13" s="8">
        <f>H13*I13*(1-K13)</f>
        <v/>
      </c>
      <c r="N13" s="8">
        <f>H13*J13</f>
        <v/>
      </c>
      <c r="O13" s="8">
        <f>M13-N13-L13</f>
        <v/>
      </c>
      <c r="P13" s="10">
        <f>IFERROR(O13/M13,0)</f>
        <v/>
      </c>
      <c r="Q13" s="3">
        <f>IF(H13&lt;=0,"Review: quantity &lt;= 0",IF(K13&gt;0.3,"Review: discount &gt; 30%",IF(G13="","Review: missing customer type","OK")))</f>
        <v/>
      </c>
    </row>
    <row r="14">
      <c r="A14" s="3" t="inlineStr">
        <is>
          <t>ORD-10013</t>
        </is>
      </c>
      <c r="B14" s="7" t="n">
        <v>45699</v>
      </c>
      <c r="C14" s="3" t="inlineStr">
        <is>
          <t>Clothing</t>
        </is>
      </c>
      <c r="D14" s="3" t="inlineStr">
        <is>
          <t>Dresses</t>
        </is>
      </c>
      <c r="E14" s="3" t="inlineStr">
        <is>
          <t>Greater Accra</t>
        </is>
      </c>
      <c r="F14" s="3" t="inlineStr">
        <is>
          <t>Online</t>
        </is>
      </c>
      <c r="G14" s="3" t="inlineStr">
        <is>
          <t>Returning</t>
        </is>
      </c>
      <c r="H14" s="3" t="n">
        <v>4</v>
      </c>
      <c r="I14" s="8" t="n">
        <v>300</v>
      </c>
      <c r="J14" s="8" t="n">
        <v>154.08</v>
      </c>
      <c r="K14" s="9" t="n">
        <v>0.05</v>
      </c>
      <c r="L14" s="8" t="n">
        <v>14.88</v>
      </c>
      <c r="M14" s="8">
        <f>H14*I14*(1-K14)</f>
        <v/>
      </c>
      <c r="N14" s="8">
        <f>H14*J14</f>
        <v/>
      </c>
      <c r="O14" s="8">
        <f>M14-N14-L14</f>
        <v/>
      </c>
      <c r="P14" s="10">
        <f>IFERROR(O14/M14,0)</f>
        <v/>
      </c>
      <c r="Q14" s="3">
        <f>IF(H14&lt;=0,"Review: quantity &lt;= 0",IF(K14&gt;0.3,"Review: discount &gt; 30%",IF(G14="","Review: missing customer type","OK")))</f>
        <v/>
      </c>
    </row>
    <row r="15">
      <c r="A15" s="3" t="inlineStr">
        <is>
          <t>ORD-10014</t>
        </is>
      </c>
      <c r="B15" s="7" t="n">
        <v>45842</v>
      </c>
      <c r="C15" s="3" t="inlineStr">
        <is>
          <t>Clothing</t>
        </is>
      </c>
      <c r="D15" s="3" t="inlineStr">
        <is>
          <t>Jackets</t>
        </is>
      </c>
      <c r="E15" s="3" t="inlineStr">
        <is>
          <t>Western</t>
        </is>
      </c>
      <c r="F15" s="3" t="inlineStr">
        <is>
          <t>Retail Shop</t>
        </is>
      </c>
      <c r="G15" s="3" t="inlineStr">
        <is>
          <t>New</t>
        </is>
      </c>
      <c r="H15" s="3" t="n">
        <v>5</v>
      </c>
      <c r="I15" s="8" t="n">
        <v>105</v>
      </c>
      <c r="J15" s="8" t="n">
        <v>60.36</v>
      </c>
      <c r="K15" s="9" t="n">
        <v>0</v>
      </c>
      <c r="L15" s="8" t="n">
        <v>8.42</v>
      </c>
      <c r="M15" s="8">
        <f>H15*I15*(1-K15)</f>
        <v/>
      </c>
      <c r="N15" s="8">
        <f>H15*J15</f>
        <v/>
      </c>
      <c r="O15" s="8">
        <f>M15-N15-L15</f>
        <v/>
      </c>
      <c r="P15" s="10">
        <f>IFERROR(O15/M15,0)</f>
        <v/>
      </c>
      <c r="Q15" s="3">
        <f>IF(H15&lt;=0,"Review: quantity &lt;= 0",IF(K15&gt;0.3,"Review: discount &gt; 30%",IF(G15="","Review: missing customer type","OK")))</f>
        <v/>
      </c>
    </row>
    <row r="16">
      <c r="A16" s="3" t="inlineStr">
        <is>
          <t>ORD-10015</t>
        </is>
      </c>
      <c r="B16" s="7" t="n">
        <v>45924</v>
      </c>
      <c r="C16" s="3" t="inlineStr">
        <is>
          <t>Clothing</t>
        </is>
      </c>
      <c r="D16" s="3" t="inlineStr">
        <is>
          <t>Dresses</t>
        </is>
      </c>
      <c r="E16" s="3" t="inlineStr">
        <is>
          <t>Greater Accra</t>
        </is>
      </c>
      <c r="F16" s="3" t="inlineStr">
        <is>
          <t>Phone/WhatsApp</t>
        </is>
      </c>
      <c r="G16" s="3" t="inlineStr">
        <is>
          <t>New</t>
        </is>
      </c>
      <c r="H16" s="3" t="n">
        <v>1</v>
      </c>
      <c r="I16" s="8" t="n">
        <v>140</v>
      </c>
      <c r="J16" s="8" t="n">
        <v>67.2</v>
      </c>
      <c r="K16" s="9" t="n">
        <v>0</v>
      </c>
      <c r="L16" s="8" t="n">
        <v>41.15</v>
      </c>
      <c r="M16" s="8">
        <f>H16*I16*(1-K16)</f>
        <v/>
      </c>
      <c r="N16" s="8">
        <f>H16*J16</f>
        <v/>
      </c>
      <c r="O16" s="8">
        <f>M16-N16-L16</f>
        <v/>
      </c>
      <c r="P16" s="10">
        <f>IFERROR(O16/M16,0)</f>
        <v/>
      </c>
      <c r="Q16" s="3">
        <f>IF(H16&lt;=0,"Review: quantity &lt;= 0",IF(K16&gt;0.3,"Review: discount &gt; 30%",IF(G16="","Review: missing customer type","OK")))</f>
        <v/>
      </c>
    </row>
    <row r="17">
      <c r="A17" s="3" t="inlineStr">
        <is>
          <t>ORD-10016</t>
        </is>
      </c>
      <c r="B17" s="7" t="n">
        <v>45789</v>
      </c>
      <c r="C17" s="3" t="inlineStr">
        <is>
          <t>Clothing</t>
        </is>
      </c>
      <c r="D17" s="3" t="inlineStr">
        <is>
          <t>Shirts</t>
        </is>
      </c>
      <c r="E17" s="3" t="inlineStr">
        <is>
          <t>Ashanti</t>
        </is>
      </c>
      <c r="F17" s="3" t="inlineStr">
        <is>
          <t>Online</t>
        </is>
      </c>
      <c r="G17" s="3" t="inlineStr">
        <is>
          <t>New</t>
        </is>
      </c>
      <c r="H17" s="3" t="n">
        <v>1</v>
      </c>
      <c r="I17" s="8" t="n">
        <v>160</v>
      </c>
      <c r="J17" s="8" t="n">
        <v>74.83</v>
      </c>
      <c r="K17" s="9" t="n">
        <v>0.15</v>
      </c>
      <c r="L17" s="8" t="n">
        <v>31.76</v>
      </c>
      <c r="M17" s="8">
        <f>H17*I17*(1-K17)</f>
        <v/>
      </c>
      <c r="N17" s="8">
        <f>H17*J17</f>
        <v/>
      </c>
      <c r="O17" s="8">
        <f>M17-N17-L17</f>
        <v/>
      </c>
      <c r="P17" s="10">
        <f>IFERROR(O17/M17,0)</f>
        <v/>
      </c>
      <c r="Q17" s="3">
        <f>IF(H17&lt;=0,"Review: quantity &lt;= 0",IF(K17&gt;0.3,"Review: discount &gt; 30%",IF(G17="","Review: missing customer type","OK")))</f>
        <v/>
      </c>
    </row>
    <row r="18">
      <c r="A18" s="3" t="inlineStr">
        <is>
          <t>ORD-10017</t>
        </is>
      </c>
      <c r="B18" s="7" t="n">
        <v>45977</v>
      </c>
      <c r="C18" s="3" t="inlineStr">
        <is>
          <t>Footwear</t>
        </is>
      </c>
      <c r="D18" s="3" t="inlineStr">
        <is>
          <t>Sandals</t>
        </is>
      </c>
      <c r="E18" s="3" t="inlineStr">
        <is>
          <t>Northern</t>
        </is>
      </c>
      <c r="F18" s="3" t="inlineStr">
        <is>
          <t>Retail Shop</t>
        </is>
      </c>
      <c r="G18" s="3" t="inlineStr">
        <is>
          <t>New</t>
        </is>
      </c>
      <c r="H18" s="3" t="n">
        <v>2</v>
      </c>
      <c r="I18" s="8" t="n">
        <v>380</v>
      </c>
      <c r="J18" s="8" t="n">
        <v>228.53</v>
      </c>
      <c r="K18" s="9" t="n">
        <v>0</v>
      </c>
      <c r="L18" s="8" t="n">
        <v>3.85</v>
      </c>
      <c r="M18" s="8">
        <f>H18*I18*(1-K18)</f>
        <v/>
      </c>
      <c r="N18" s="8">
        <f>H18*J18</f>
        <v/>
      </c>
      <c r="O18" s="8">
        <f>M18-N18-L18</f>
        <v/>
      </c>
      <c r="P18" s="10">
        <f>IFERROR(O18/M18,0)</f>
        <v/>
      </c>
      <c r="Q18" s="3">
        <f>IF(H18&lt;=0,"Review: quantity &lt;= 0",IF(K18&gt;0.3,"Review: discount &gt; 30%",IF(G18="","Review: missing customer type","OK")))</f>
        <v/>
      </c>
    </row>
    <row r="19">
      <c r="A19" s="3" t="inlineStr">
        <is>
          <t>ORD-10018</t>
        </is>
      </c>
      <c r="B19" s="7" t="n">
        <v>45920</v>
      </c>
      <c r="C19" s="3" t="inlineStr">
        <is>
          <t>Accessories</t>
        </is>
      </c>
      <c r="D19" s="3" t="inlineStr">
        <is>
          <t>Watches</t>
        </is>
      </c>
      <c r="E19" s="3" t="inlineStr">
        <is>
          <t>Central</t>
        </is>
      </c>
      <c r="F19" s="3" t="inlineStr">
        <is>
          <t>Online</t>
        </is>
      </c>
      <c r="G19" s="3" t="inlineStr">
        <is>
          <t>New</t>
        </is>
      </c>
      <c r="H19" s="3" t="n">
        <v>4</v>
      </c>
      <c r="I19" s="8" t="n">
        <v>185</v>
      </c>
      <c r="J19" s="8" t="n">
        <v>89.31999999999999</v>
      </c>
      <c r="K19" s="9" t="n">
        <v>0</v>
      </c>
      <c r="L19" s="8" t="n">
        <v>29.44</v>
      </c>
      <c r="M19" s="8">
        <f>H19*I19*(1-K19)</f>
        <v/>
      </c>
      <c r="N19" s="8">
        <f>H19*J19</f>
        <v/>
      </c>
      <c r="O19" s="8">
        <f>M19-N19-L19</f>
        <v/>
      </c>
      <c r="P19" s="10">
        <f>IFERROR(O19/M19,0)</f>
        <v/>
      </c>
      <c r="Q19" s="3">
        <f>IF(H19&lt;=0,"Review: quantity &lt;= 0",IF(K19&gt;0.3,"Review: discount &gt; 30%",IF(G19="","Review: missing customer type","OK")))</f>
        <v/>
      </c>
    </row>
    <row r="20">
      <c r="A20" s="3" t="inlineStr">
        <is>
          <t>ORD-10019</t>
        </is>
      </c>
      <c r="B20" s="7" t="n">
        <v>45824</v>
      </c>
      <c r="C20" s="3" t="inlineStr">
        <is>
          <t>Footwear</t>
        </is>
      </c>
      <c r="D20" s="3" t="inlineStr">
        <is>
          <t>Sandals</t>
        </is>
      </c>
      <c r="E20" s="3" t="inlineStr">
        <is>
          <t>Central</t>
        </is>
      </c>
      <c r="F20" s="3" t="inlineStr">
        <is>
          <t>Retail Shop</t>
        </is>
      </c>
      <c r="G20" s="3" t="inlineStr">
        <is>
          <t>Returning</t>
        </is>
      </c>
      <c r="H20" s="3" t="n">
        <v>3</v>
      </c>
      <c r="I20" s="8" t="n">
        <v>270</v>
      </c>
      <c r="J20" s="8" t="n">
        <v>170.84</v>
      </c>
      <c r="K20" s="9" t="n">
        <v>0.05</v>
      </c>
      <c r="L20" s="8" t="n">
        <v>2.64</v>
      </c>
      <c r="M20" s="8">
        <f>H20*I20*(1-K20)</f>
        <v/>
      </c>
      <c r="N20" s="8">
        <f>H20*J20</f>
        <v/>
      </c>
      <c r="O20" s="8">
        <f>M20-N20-L20</f>
        <v/>
      </c>
      <c r="P20" s="10">
        <f>IFERROR(O20/M20,0)</f>
        <v/>
      </c>
      <c r="Q20" s="3">
        <f>IF(H20&lt;=0,"Review: quantity &lt;= 0",IF(K20&gt;0.3,"Review: discount &gt; 30%",IF(G20="","Review: missing customer type","OK")))</f>
        <v/>
      </c>
    </row>
    <row r="21">
      <c r="A21" s="3" t="inlineStr">
        <is>
          <t>ORD-10020</t>
        </is>
      </c>
      <c r="B21" s="7" t="n">
        <v>45955</v>
      </c>
      <c r="C21" s="3" t="inlineStr">
        <is>
          <t>Footwear</t>
        </is>
      </c>
      <c r="D21" s="3" t="inlineStr">
        <is>
          <t>Formal Shoes</t>
        </is>
      </c>
      <c r="E21" s="3" t="inlineStr">
        <is>
          <t>Ashanti</t>
        </is>
      </c>
      <c r="F21" s="3" t="inlineStr">
        <is>
          <t>Phone/WhatsApp</t>
        </is>
      </c>
      <c r="G21" s="3" t="inlineStr">
        <is>
          <t>Returning</t>
        </is>
      </c>
      <c r="H21" s="3" t="n">
        <v>2</v>
      </c>
      <c r="I21" s="8" t="n">
        <v>290</v>
      </c>
      <c r="J21" s="8" t="n">
        <v>161.03</v>
      </c>
      <c r="K21" s="9" t="n">
        <v>0</v>
      </c>
      <c r="L21" s="8" t="n">
        <v>22.34</v>
      </c>
      <c r="M21" s="8">
        <f>H21*I21*(1-K21)</f>
        <v/>
      </c>
      <c r="N21" s="8">
        <f>H21*J21</f>
        <v/>
      </c>
      <c r="O21" s="8">
        <f>M21-N21-L21</f>
        <v/>
      </c>
      <c r="P21" s="10">
        <f>IFERROR(O21/M21,0)</f>
        <v/>
      </c>
      <c r="Q21" s="3">
        <f>IF(H21&lt;=0,"Review: quantity &lt;= 0",IF(K21&gt;0.3,"Review: discount &gt; 30%",IF(G21="","Review: missing customer type","OK")))</f>
        <v/>
      </c>
    </row>
    <row r="22">
      <c r="A22" s="3" t="inlineStr">
        <is>
          <t>ORD-10021</t>
        </is>
      </c>
      <c r="B22" s="7" t="n">
        <v>45843</v>
      </c>
      <c r="C22" s="3" t="inlineStr">
        <is>
          <t>Home &amp; Lifestyle</t>
        </is>
      </c>
      <c r="D22" s="3" t="inlineStr">
        <is>
          <t>Backpacks</t>
        </is>
      </c>
      <c r="E22" s="3" t="inlineStr">
        <is>
          <t>Greater Accra</t>
        </is>
      </c>
      <c r="F22" s="3" t="inlineStr">
        <is>
          <t>Retail Shop</t>
        </is>
      </c>
      <c r="G22" s="3" t="inlineStr">
        <is>
          <t>New</t>
        </is>
      </c>
      <c r="H22" s="3" t="n">
        <v>3</v>
      </c>
      <c r="I22" s="8" t="n">
        <v>170</v>
      </c>
      <c r="J22" s="8" t="n">
        <v>82.45</v>
      </c>
      <c r="K22" s="9" t="n">
        <v>0</v>
      </c>
      <c r="L22" s="8" t="n">
        <v>10.72</v>
      </c>
      <c r="M22" s="8">
        <f>H22*I22*(1-K22)</f>
        <v/>
      </c>
      <c r="N22" s="8">
        <f>H22*J22</f>
        <v/>
      </c>
      <c r="O22" s="8">
        <f>M22-N22-L22</f>
        <v/>
      </c>
      <c r="P22" s="10">
        <f>IFERROR(O22/M22,0)</f>
        <v/>
      </c>
      <c r="Q22" s="3">
        <f>IF(H22&lt;=0,"Review: quantity &lt;= 0",IF(K22&gt;0.3,"Review: discount &gt; 30%",IF(G22="","Review: missing customer type","OK")))</f>
        <v/>
      </c>
    </row>
    <row r="23">
      <c r="A23" s="3" t="inlineStr">
        <is>
          <t>ORD-10022</t>
        </is>
      </c>
      <c r="B23" s="7" t="n">
        <v>45688</v>
      </c>
      <c r="C23" s="3" t="inlineStr">
        <is>
          <t>Footwear</t>
        </is>
      </c>
      <c r="D23" s="3" t="inlineStr">
        <is>
          <t>Sneakers</t>
        </is>
      </c>
      <c r="E23" s="3" t="inlineStr">
        <is>
          <t>Ashanti</t>
        </is>
      </c>
      <c r="F23" s="3" t="inlineStr">
        <is>
          <t>Online</t>
        </is>
      </c>
      <c r="G23" s="3" t="inlineStr">
        <is>
          <t>Returning</t>
        </is>
      </c>
      <c r="H23" s="3" t="n">
        <v>2</v>
      </c>
      <c r="I23" s="8" t="n">
        <v>235</v>
      </c>
      <c r="J23" s="8" t="n">
        <v>123.06</v>
      </c>
      <c r="K23" s="9" t="n">
        <v>0.1</v>
      </c>
      <c r="L23" s="8" t="n">
        <v>12.79</v>
      </c>
      <c r="M23" s="8">
        <f>H23*I23*(1-K23)</f>
        <v/>
      </c>
      <c r="N23" s="8">
        <f>H23*J23</f>
        <v/>
      </c>
      <c r="O23" s="8">
        <f>M23-N23-L23</f>
        <v/>
      </c>
      <c r="P23" s="10">
        <f>IFERROR(O23/M23,0)</f>
        <v/>
      </c>
      <c r="Q23" s="3">
        <f>IF(H23&lt;=0,"Review: quantity &lt;= 0",IF(K23&gt;0.3,"Review: discount &gt; 30%",IF(G23="","Review: missing customer type","OK")))</f>
        <v/>
      </c>
    </row>
    <row r="24">
      <c r="A24" s="3" t="inlineStr">
        <is>
          <t>ORD-10023</t>
        </is>
      </c>
      <c r="B24" s="7" t="n">
        <v>45931</v>
      </c>
      <c r="C24" s="3" t="inlineStr">
        <is>
          <t>Footwear</t>
        </is>
      </c>
      <c r="D24" s="3" t="inlineStr">
        <is>
          <t>Boots</t>
        </is>
      </c>
      <c r="E24" s="3" t="inlineStr">
        <is>
          <t>Ashanti</t>
        </is>
      </c>
      <c r="F24" s="3" t="inlineStr">
        <is>
          <t>Online</t>
        </is>
      </c>
      <c r="G24" s="3" t="inlineStr">
        <is>
          <t>New</t>
        </is>
      </c>
      <c r="H24" s="3" t="n">
        <v>1</v>
      </c>
      <c r="I24" s="8" t="n">
        <v>220</v>
      </c>
      <c r="J24" s="8" t="n">
        <v>121.22</v>
      </c>
      <c r="K24" s="9" t="n">
        <v>0</v>
      </c>
      <c r="L24" s="8" t="n">
        <v>40.98</v>
      </c>
      <c r="M24" s="8">
        <f>H24*I24*(1-K24)</f>
        <v/>
      </c>
      <c r="N24" s="8">
        <f>H24*J24</f>
        <v/>
      </c>
      <c r="O24" s="8">
        <f>M24-N24-L24</f>
        <v/>
      </c>
      <c r="P24" s="10">
        <f>IFERROR(O24/M24,0)</f>
        <v/>
      </c>
      <c r="Q24" s="3">
        <f>IF(H24&lt;=0,"Review: quantity &lt;= 0",IF(K24&gt;0.3,"Review: discount &gt; 30%",IF(G24="","Review: missing customer type","OK")))</f>
        <v/>
      </c>
    </row>
    <row r="25">
      <c r="A25" s="3" t="inlineStr">
        <is>
          <t>ORD-10024</t>
        </is>
      </c>
      <c r="B25" s="7" t="n">
        <v>45895</v>
      </c>
      <c r="C25" s="3" t="inlineStr">
        <is>
          <t>Accessories</t>
        </is>
      </c>
      <c r="D25" s="3" t="inlineStr">
        <is>
          <t>Bags</t>
        </is>
      </c>
      <c r="E25" s="3" t="inlineStr">
        <is>
          <t>Greater Accra</t>
        </is>
      </c>
      <c r="F25" s="3" t="inlineStr">
        <is>
          <t>Phone/WhatsApp</t>
        </is>
      </c>
      <c r="G25" s="3" t="inlineStr">
        <is>
          <t>Returning</t>
        </is>
      </c>
      <c r="H25" s="3" t="n">
        <v>2</v>
      </c>
      <c r="I25" s="8" t="n">
        <v>95</v>
      </c>
      <c r="J25" s="8" t="n">
        <v>44.71</v>
      </c>
      <c r="K25" s="9" t="n">
        <v>0.1</v>
      </c>
      <c r="L25" s="8" t="n">
        <v>43.48</v>
      </c>
      <c r="M25" s="8">
        <f>H25*I25*(1-K25)</f>
        <v/>
      </c>
      <c r="N25" s="8">
        <f>H25*J25</f>
        <v/>
      </c>
      <c r="O25" s="8">
        <f>M25-N25-L25</f>
        <v/>
      </c>
      <c r="P25" s="10">
        <f>IFERROR(O25/M25,0)</f>
        <v/>
      </c>
      <c r="Q25" s="3">
        <f>IF(H25&lt;=0,"Review: quantity &lt;= 0",IF(K25&gt;0.3,"Review: discount &gt; 30%",IF(G25="","Review: missing customer type","OK")))</f>
        <v/>
      </c>
    </row>
    <row r="26">
      <c r="A26" s="3" t="inlineStr">
        <is>
          <t>ORD-10025</t>
        </is>
      </c>
      <c r="B26" s="7" t="n">
        <v>45887</v>
      </c>
      <c r="C26" s="3" t="inlineStr">
        <is>
          <t>Footwear</t>
        </is>
      </c>
      <c r="D26" s="3" t="inlineStr">
        <is>
          <t>Formal Shoes</t>
        </is>
      </c>
      <c r="E26" s="3" t="inlineStr">
        <is>
          <t>Ashanti</t>
        </is>
      </c>
      <c r="F26" s="3" t="inlineStr">
        <is>
          <t>Retail Shop</t>
        </is>
      </c>
      <c r="G26" s="3" t="inlineStr">
        <is>
          <t>Returning</t>
        </is>
      </c>
      <c r="H26" s="3" t="n">
        <v>10</v>
      </c>
      <c r="I26" s="8" t="n">
        <v>350</v>
      </c>
      <c r="J26" s="8" t="n">
        <v>220.89</v>
      </c>
      <c r="K26" s="9" t="n">
        <v>0.15</v>
      </c>
      <c r="L26" s="8" t="n">
        <v>3.07</v>
      </c>
      <c r="M26" s="8">
        <f>H26*I26*(1-K26)</f>
        <v/>
      </c>
      <c r="N26" s="8">
        <f>H26*J26</f>
        <v/>
      </c>
      <c r="O26" s="8">
        <f>M26-N26-L26</f>
        <v/>
      </c>
      <c r="P26" s="10">
        <f>IFERROR(O26/M26,0)</f>
        <v/>
      </c>
      <c r="Q26" s="3">
        <f>IF(H26&lt;=0,"Review: quantity &lt;= 0",IF(K26&gt;0.3,"Review: discount &gt; 30%",IF(G26="","Review: missing customer type","OK")))</f>
        <v/>
      </c>
    </row>
    <row r="27">
      <c r="A27" s="3" t="inlineStr">
        <is>
          <t>ORD-10026</t>
        </is>
      </c>
      <c r="B27" s="7" t="n">
        <v>45690</v>
      </c>
      <c r="C27" s="3" t="inlineStr">
        <is>
          <t>Home &amp; Lifestyle</t>
        </is>
      </c>
      <c r="D27" s="3" t="inlineStr">
        <is>
          <t>Travel Mugs</t>
        </is>
      </c>
      <c r="E27" s="3" t="inlineStr">
        <is>
          <t>Western</t>
        </is>
      </c>
      <c r="F27" s="3" t="inlineStr">
        <is>
          <t>Retail Shop</t>
        </is>
      </c>
      <c r="G27" s="3" t="inlineStr">
        <is>
          <t>Returning</t>
        </is>
      </c>
      <c r="H27" s="3" t="n">
        <v>1</v>
      </c>
      <c r="I27" s="8" t="n">
        <v>90</v>
      </c>
      <c r="J27" s="8" t="n">
        <v>44.35</v>
      </c>
      <c r="K27" s="9" t="n">
        <v>0</v>
      </c>
      <c r="L27" s="8" t="n">
        <v>2.51</v>
      </c>
      <c r="M27" s="8">
        <f>H27*I27*(1-K27)</f>
        <v/>
      </c>
      <c r="N27" s="8">
        <f>H27*J27</f>
        <v/>
      </c>
      <c r="O27" s="8">
        <f>M27-N27-L27</f>
        <v/>
      </c>
      <c r="P27" s="10">
        <f>IFERROR(O27/M27,0)</f>
        <v/>
      </c>
      <c r="Q27" s="3">
        <f>IF(H27&lt;=0,"Review: quantity &lt;= 0",IF(K27&gt;0.3,"Review: discount &gt; 30%",IF(G27="","Review: missing customer type","OK")))</f>
        <v/>
      </c>
    </row>
    <row r="28">
      <c r="A28" s="3" t="inlineStr">
        <is>
          <t>ORD-10027</t>
        </is>
      </c>
      <c r="B28" s="7" t="n">
        <v>45975</v>
      </c>
      <c r="C28" s="3" t="inlineStr">
        <is>
          <t>Footwear</t>
        </is>
      </c>
      <c r="D28" s="3" t="inlineStr">
        <is>
          <t>Sandals</t>
        </is>
      </c>
      <c r="E28" s="3" t="inlineStr">
        <is>
          <t>Northern</t>
        </is>
      </c>
      <c r="F28" s="3" t="inlineStr">
        <is>
          <t>Online</t>
        </is>
      </c>
      <c r="G28" s="3" t="inlineStr">
        <is>
          <t>New</t>
        </is>
      </c>
      <c r="H28" s="3" t="n">
        <v>1</v>
      </c>
      <c r="I28" s="8" t="n">
        <v>470</v>
      </c>
      <c r="J28" s="8" t="n">
        <v>262.75</v>
      </c>
      <c r="K28" s="9" t="n">
        <v>0</v>
      </c>
      <c r="L28" s="8" t="n">
        <v>41.07</v>
      </c>
      <c r="M28" s="8">
        <f>H28*I28*(1-K28)</f>
        <v/>
      </c>
      <c r="N28" s="8">
        <f>H28*J28</f>
        <v/>
      </c>
      <c r="O28" s="8">
        <f>M28-N28-L28</f>
        <v/>
      </c>
      <c r="P28" s="10">
        <f>IFERROR(O28/M28,0)</f>
        <v/>
      </c>
      <c r="Q28" s="3">
        <f>IF(H28&lt;=0,"Review: quantity &lt;= 0",IF(K28&gt;0.3,"Review: discount &gt; 30%",IF(G28="","Review: missing customer type","OK")))</f>
        <v/>
      </c>
    </row>
    <row r="29">
      <c r="A29" s="3" t="inlineStr">
        <is>
          <t>ORD-10028</t>
        </is>
      </c>
      <c r="B29" s="7" t="n">
        <v>45824</v>
      </c>
      <c r="C29" s="3" t="inlineStr">
        <is>
          <t>Clothing</t>
        </is>
      </c>
      <c r="D29" s="3" t="inlineStr">
        <is>
          <t>Jackets</t>
        </is>
      </c>
      <c r="E29" s="3" t="inlineStr">
        <is>
          <t>Greater Accra</t>
        </is>
      </c>
      <c r="F29" s="3" t="inlineStr">
        <is>
          <t>Online</t>
        </is>
      </c>
      <c r="G29" s="3" t="inlineStr">
        <is>
          <t>Returning</t>
        </is>
      </c>
      <c r="H29" s="3" t="n">
        <v>2</v>
      </c>
      <c r="I29" s="8" t="n">
        <v>245</v>
      </c>
      <c r="J29" s="8" t="n">
        <v>118.97</v>
      </c>
      <c r="K29" s="9" t="n">
        <v>0</v>
      </c>
      <c r="L29" s="8" t="n">
        <v>16.33</v>
      </c>
      <c r="M29" s="8">
        <f>H29*I29*(1-K29)</f>
        <v/>
      </c>
      <c r="N29" s="8">
        <f>H29*J29</f>
        <v/>
      </c>
      <c r="O29" s="8">
        <f>M29-N29-L29</f>
        <v/>
      </c>
      <c r="P29" s="10">
        <f>IFERROR(O29/M29,0)</f>
        <v/>
      </c>
      <c r="Q29" s="3">
        <f>IF(H29&lt;=0,"Review: quantity &lt;= 0",IF(K29&gt;0.3,"Review: discount &gt; 30%",IF(G29="","Review: missing customer type","OK")))</f>
        <v/>
      </c>
    </row>
    <row r="30">
      <c r="A30" s="3" t="inlineStr">
        <is>
          <t>ORD-10029</t>
        </is>
      </c>
      <c r="B30" s="7" t="n">
        <v>45660</v>
      </c>
      <c r="C30" s="3" t="inlineStr">
        <is>
          <t>Home &amp; Lifestyle</t>
        </is>
      </c>
      <c r="D30" s="3" t="inlineStr">
        <is>
          <t>Backpacks</t>
        </is>
      </c>
      <c r="E30" s="3" t="inlineStr">
        <is>
          <t>Greater Accra</t>
        </is>
      </c>
      <c r="F30" s="3" t="inlineStr">
        <is>
          <t>Phone/WhatsApp</t>
        </is>
      </c>
      <c r="G30" s="3" t="inlineStr">
        <is>
          <t>Returning</t>
        </is>
      </c>
      <c r="H30" s="3" t="n">
        <v>3</v>
      </c>
      <c r="I30" s="8" t="n">
        <v>130</v>
      </c>
      <c r="J30" s="8" t="n">
        <v>66</v>
      </c>
      <c r="K30" s="9" t="n">
        <v>0</v>
      </c>
      <c r="L30" s="8" t="n">
        <v>10.37</v>
      </c>
      <c r="M30" s="8">
        <f>H30*I30*(1-K30)</f>
        <v/>
      </c>
      <c r="N30" s="8">
        <f>H30*J30</f>
        <v/>
      </c>
      <c r="O30" s="8">
        <f>M30-N30-L30</f>
        <v/>
      </c>
      <c r="P30" s="10">
        <f>IFERROR(O30/M30,0)</f>
        <v/>
      </c>
      <c r="Q30" s="3">
        <f>IF(H30&lt;=0,"Review: quantity &lt;= 0",IF(K30&gt;0.3,"Review: discount &gt; 30%",IF(G30="","Review: missing customer type","OK")))</f>
        <v/>
      </c>
    </row>
    <row r="31">
      <c r="A31" s="3" t="inlineStr">
        <is>
          <t>ORD-10030</t>
        </is>
      </c>
      <c r="B31" s="7" t="n">
        <v>45702</v>
      </c>
      <c r="C31" s="3" t="inlineStr">
        <is>
          <t>Footwear</t>
        </is>
      </c>
      <c r="D31" s="3" t="inlineStr">
        <is>
          <t>Sneakers</t>
        </is>
      </c>
      <c r="E31" s="3" t="inlineStr">
        <is>
          <t>Northern</t>
        </is>
      </c>
      <c r="F31" s="3" t="inlineStr">
        <is>
          <t>Retail Shop</t>
        </is>
      </c>
      <c r="G31" s="3" t="inlineStr">
        <is>
          <t>Returning</t>
        </is>
      </c>
      <c r="H31" s="3" t="n">
        <v>3</v>
      </c>
      <c r="I31" s="8" t="n">
        <v>260</v>
      </c>
      <c r="J31" s="8" t="n">
        <v>156.08</v>
      </c>
      <c r="K31" s="9" t="n">
        <v>0.1</v>
      </c>
      <c r="L31" s="8" t="n">
        <v>3.44</v>
      </c>
      <c r="M31" s="8">
        <f>H31*I31*(1-K31)</f>
        <v/>
      </c>
      <c r="N31" s="8">
        <f>H31*J31</f>
        <v/>
      </c>
      <c r="O31" s="8">
        <f>M31-N31-L31</f>
        <v/>
      </c>
      <c r="P31" s="10">
        <f>IFERROR(O31/M31,0)</f>
        <v/>
      </c>
      <c r="Q31" s="3">
        <f>IF(H31&lt;=0,"Review: quantity &lt;= 0",IF(K31&gt;0.3,"Review: discount &gt; 30%",IF(G31="","Review: missing customer type","OK")))</f>
        <v/>
      </c>
    </row>
    <row r="32">
      <c r="A32" s="3" t="inlineStr">
        <is>
          <t>ORD-10031</t>
        </is>
      </c>
      <c r="B32" s="7" t="n">
        <v>45799</v>
      </c>
      <c r="C32" s="3" t="inlineStr">
        <is>
          <t>Clothing</t>
        </is>
      </c>
      <c r="D32" s="3" t="inlineStr">
        <is>
          <t>Jackets</t>
        </is>
      </c>
      <c r="E32" s="3" t="inlineStr">
        <is>
          <t>Ashanti</t>
        </is>
      </c>
      <c r="F32" s="3" t="inlineStr">
        <is>
          <t>Phone/WhatsApp</t>
        </is>
      </c>
      <c r="G32" s="3" t="inlineStr">
        <is>
          <t>Returning</t>
        </is>
      </c>
      <c r="H32" s="3" t="n">
        <v>1</v>
      </c>
      <c r="I32" s="8" t="n">
        <v>180</v>
      </c>
      <c r="J32" s="8" t="n">
        <v>82.76000000000001</v>
      </c>
      <c r="K32" s="9" t="n">
        <v>0.1</v>
      </c>
      <c r="L32" s="8" t="n">
        <v>35.45</v>
      </c>
      <c r="M32" s="8">
        <f>H32*I32*(1-K32)</f>
        <v/>
      </c>
      <c r="N32" s="8">
        <f>H32*J32</f>
        <v/>
      </c>
      <c r="O32" s="8">
        <f>M32-N32-L32</f>
        <v/>
      </c>
      <c r="P32" s="10">
        <f>IFERROR(O32/M32,0)</f>
        <v/>
      </c>
      <c r="Q32" s="3">
        <f>IF(H32&lt;=0,"Review: quantity &lt;= 0",IF(K32&gt;0.3,"Review: discount &gt; 30%",IF(G32="","Review: missing customer type","OK")))</f>
        <v/>
      </c>
    </row>
    <row r="33">
      <c r="A33" s="3" t="inlineStr">
        <is>
          <t>ORD-10032</t>
        </is>
      </c>
      <c r="B33" s="7" t="n">
        <v>45714</v>
      </c>
      <c r="C33" s="3" t="inlineStr">
        <is>
          <t>Home &amp; Lifestyle</t>
        </is>
      </c>
      <c r="D33" s="3" t="inlineStr">
        <is>
          <t>Small Home Goods</t>
        </is>
      </c>
      <c r="E33" s="3" t="inlineStr">
        <is>
          <t>Unknown</t>
        </is>
      </c>
      <c r="F33" s="3" t="inlineStr">
        <is>
          <t>Retail Shop</t>
        </is>
      </c>
      <c r="G33" s="3" t="inlineStr">
        <is>
          <t>Returning</t>
        </is>
      </c>
      <c r="H33" s="3" t="n">
        <v>1</v>
      </c>
      <c r="I33" s="8" t="n">
        <v>140</v>
      </c>
      <c r="J33" s="8" t="n">
        <v>82.92</v>
      </c>
      <c r="K33" s="9" t="n">
        <v>0.1</v>
      </c>
      <c r="L33" s="8" t="n">
        <v>3</v>
      </c>
      <c r="M33" s="8">
        <f>H33*I33*(1-K33)</f>
        <v/>
      </c>
      <c r="N33" s="8">
        <f>H33*J33</f>
        <v/>
      </c>
      <c r="O33" s="8">
        <f>M33-N33-L33</f>
        <v/>
      </c>
      <c r="P33" s="10">
        <f>IFERROR(O33/M33,0)</f>
        <v/>
      </c>
      <c r="Q33" s="3">
        <f>IF(H33&lt;=0,"Review: quantity &lt;= 0",IF(K33&gt;0.3,"Review: discount &gt; 30%",IF(G33="","Review: missing customer type","OK")))</f>
        <v/>
      </c>
    </row>
    <row r="34">
      <c r="A34" s="3" t="inlineStr">
        <is>
          <t>ORD-10033</t>
        </is>
      </c>
      <c r="B34" s="7" t="n">
        <v>45941</v>
      </c>
      <c r="C34" s="3" t="inlineStr">
        <is>
          <t>Clothing</t>
        </is>
      </c>
      <c r="D34" s="3" t="inlineStr">
        <is>
          <t>Trousers</t>
        </is>
      </c>
      <c r="E34" s="3" t="inlineStr">
        <is>
          <t>Greater Accra</t>
        </is>
      </c>
      <c r="F34" s="3" t="inlineStr">
        <is>
          <t>Retail Shop</t>
        </is>
      </c>
      <c r="G34" s="3" t="inlineStr">
        <is>
          <t>New</t>
        </is>
      </c>
      <c r="H34" s="3" t="n">
        <v>1</v>
      </c>
      <c r="I34" s="8" t="n">
        <v>135</v>
      </c>
      <c r="J34" s="8" t="n">
        <v>65.36</v>
      </c>
      <c r="K34" s="9" t="n">
        <v>0</v>
      </c>
      <c r="L34" s="8" t="n">
        <v>8.119999999999999</v>
      </c>
      <c r="M34" s="8">
        <f>H34*I34*(1-K34)</f>
        <v/>
      </c>
      <c r="N34" s="8">
        <f>H34*J34</f>
        <v/>
      </c>
      <c r="O34" s="8">
        <f>M34-N34-L34</f>
        <v/>
      </c>
      <c r="P34" s="10">
        <f>IFERROR(O34/M34,0)</f>
        <v/>
      </c>
      <c r="Q34" s="3">
        <f>IF(H34&lt;=0,"Review: quantity &lt;= 0",IF(K34&gt;0.3,"Review: discount &gt; 30%",IF(G34="","Review: missing customer type","OK")))</f>
        <v/>
      </c>
    </row>
    <row r="35">
      <c r="A35" s="3" t="inlineStr">
        <is>
          <t>ORD-10034</t>
        </is>
      </c>
      <c r="B35" s="7" t="n">
        <v>45892</v>
      </c>
      <c r="C35" s="3" t="inlineStr">
        <is>
          <t>Clothing</t>
        </is>
      </c>
      <c r="D35" s="3" t="inlineStr">
        <is>
          <t>Shirts</t>
        </is>
      </c>
      <c r="E35" s="3" t="inlineStr">
        <is>
          <t>Greater Accra</t>
        </is>
      </c>
      <c r="F35" s="3" t="inlineStr">
        <is>
          <t>Online</t>
        </is>
      </c>
      <c r="G35" s="3" t="inlineStr">
        <is>
          <t>New</t>
        </is>
      </c>
      <c r="H35" s="3" t="n">
        <v>1</v>
      </c>
      <c r="I35" s="8" t="n">
        <v>170</v>
      </c>
      <c r="J35" s="8" t="n">
        <v>91.26000000000001</v>
      </c>
      <c r="K35" s="9" t="n">
        <v>0.05</v>
      </c>
      <c r="L35" s="8" t="n">
        <v>14.27</v>
      </c>
      <c r="M35" s="8">
        <f>H35*I35*(1-K35)</f>
        <v/>
      </c>
      <c r="N35" s="8">
        <f>H35*J35</f>
        <v/>
      </c>
      <c r="O35" s="8">
        <f>M35-N35-L35</f>
        <v/>
      </c>
      <c r="P35" s="10">
        <f>IFERROR(O35/M35,0)</f>
        <v/>
      </c>
      <c r="Q35" s="3">
        <f>IF(H35&lt;=0,"Review: quantity &lt;= 0",IF(K35&gt;0.3,"Review: discount &gt; 30%",IF(G35="","Review: missing customer type","OK")))</f>
        <v/>
      </c>
    </row>
    <row r="36">
      <c r="A36" s="3" t="inlineStr">
        <is>
          <t>ORD-10035</t>
        </is>
      </c>
      <c r="B36" s="7" t="n">
        <v>45997</v>
      </c>
      <c r="C36" s="3" t="inlineStr">
        <is>
          <t>Footwear</t>
        </is>
      </c>
      <c r="D36" s="3" t="inlineStr">
        <is>
          <t>Boots</t>
        </is>
      </c>
      <c r="E36" s="3" t="inlineStr">
        <is>
          <t>Greater Accra</t>
        </is>
      </c>
      <c r="F36" s="3" t="inlineStr">
        <is>
          <t>Retail Shop</t>
        </is>
      </c>
      <c r="G36" s="3" t="inlineStr">
        <is>
          <t>New</t>
        </is>
      </c>
      <c r="H36" s="3" t="n">
        <v>1</v>
      </c>
      <c r="I36" s="8" t="n">
        <v>230</v>
      </c>
      <c r="J36" s="8" t="n">
        <v>144.68</v>
      </c>
      <c r="K36" s="9" t="n">
        <v>0.1</v>
      </c>
      <c r="L36" s="8" t="n">
        <v>3.79</v>
      </c>
      <c r="M36" s="8">
        <f>H36*I36*(1-K36)</f>
        <v/>
      </c>
      <c r="N36" s="8">
        <f>H36*J36</f>
        <v/>
      </c>
      <c r="O36" s="8">
        <f>M36-N36-L36</f>
        <v/>
      </c>
      <c r="P36" s="10">
        <f>IFERROR(O36/M36,0)</f>
        <v/>
      </c>
      <c r="Q36" s="3">
        <f>IF(H36&lt;=0,"Review: quantity &lt;= 0",IF(K36&gt;0.3,"Review: discount &gt; 30%",IF(G36="","Review: missing customer type","OK")))</f>
        <v/>
      </c>
    </row>
    <row r="37">
      <c r="A37" s="3" t="inlineStr">
        <is>
          <t>ORD-10036</t>
        </is>
      </c>
      <c r="B37" s="7" t="n">
        <v>45964</v>
      </c>
      <c r="C37" s="3" t="inlineStr">
        <is>
          <t>Footwear</t>
        </is>
      </c>
      <c r="D37" s="3" t="inlineStr">
        <is>
          <t>Boots</t>
        </is>
      </c>
      <c r="E37" s="3" t="inlineStr">
        <is>
          <t>Western</t>
        </is>
      </c>
      <c r="F37" s="3" t="inlineStr">
        <is>
          <t>Phone/WhatsApp</t>
        </is>
      </c>
      <c r="G37" s="3" t="inlineStr">
        <is>
          <t>New</t>
        </is>
      </c>
      <c r="H37" s="3" t="n">
        <v>8</v>
      </c>
      <c r="I37" s="8" t="n">
        <v>225</v>
      </c>
      <c r="J37" s="8" t="n">
        <v>117.98</v>
      </c>
      <c r="K37" s="9" t="n">
        <v>0.05</v>
      </c>
      <c r="L37" s="8" t="n">
        <v>28.51</v>
      </c>
      <c r="M37" s="8">
        <f>H37*I37*(1-K37)</f>
        <v/>
      </c>
      <c r="N37" s="8">
        <f>H37*J37</f>
        <v/>
      </c>
      <c r="O37" s="8">
        <f>M37-N37-L37</f>
        <v/>
      </c>
      <c r="P37" s="10">
        <f>IFERROR(O37/M37,0)</f>
        <v/>
      </c>
      <c r="Q37" s="3">
        <f>IF(H37&lt;=0,"Review: quantity &lt;= 0",IF(K37&gt;0.3,"Review: discount &gt; 30%",IF(G37="","Review: missing customer type","OK")))</f>
        <v/>
      </c>
    </row>
    <row r="38">
      <c r="A38" s="3" t="inlineStr">
        <is>
          <t>ORD-10037</t>
        </is>
      </c>
      <c r="B38" s="7" t="n">
        <v>45707</v>
      </c>
      <c r="C38" s="3" t="inlineStr">
        <is>
          <t>Home &amp; Lifestyle</t>
        </is>
      </c>
      <c r="D38" s="3" t="inlineStr">
        <is>
          <t>Wallets</t>
        </is>
      </c>
      <c r="E38" s="3" t="inlineStr">
        <is>
          <t>Central</t>
        </is>
      </c>
      <c r="F38" s="3" t="inlineStr">
        <is>
          <t>Online</t>
        </is>
      </c>
      <c r="G38" s="3" t="inlineStr">
        <is>
          <t>New</t>
        </is>
      </c>
      <c r="H38" s="3" t="n">
        <v>1</v>
      </c>
      <c r="I38" s="8" t="n">
        <v>105</v>
      </c>
      <c r="J38" s="8" t="n">
        <v>59.06</v>
      </c>
      <c r="K38" s="9" t="n">
        <v>0.2</v>
      </c>
      <c r="L38" s="8" t="n">
        <v>16.89</v>
      </c>
      <c r="M38" s="8">
        <f>H38*I38*(1-K38)</f>
        <v/>
      </c>
      <c r="N38" s="8">
        <f>H38*J38</f>
        <v/>
      </c>
      <c r="O38" s="8">
        <f>M38-N38-L38</f>
        <v/>
      </c>
      <c r="P38" s="10">
        <f>IFERROR(O38/M38,0)</f>
        <v/>
      </c>
      <c r="Q38" s="3">
        <f>IF(H38&lt;=0,"Review: quantity &lt;= 0",IF(K38&gt;0.3,"Review: discount &gt; 30%",IF(G38="","Review: missing customer type","OK")))</f>
        <v/>
      </c>
    </row>
    <row r="39">
      <c r="A39" s="3" t="inlineStr">
        <is>
          <t>ORD-10038</t>
        </is>
      </c>
      <c r="B39" s="7" t="n">
        <v>45718</v>
      </c>
      <c r="C39" s="3" t="inlineStr">
        <is>
          <t>Home &amp; Lifestyle</t>
        </is>
      </c>
      <c r="D39" s="3" t="inlineStr">
        <is>
          <t>Backpacks</t>
        </is>
      </c>
      <c r="E39" s="3" t="inlineStr">
        <is>
          <t>Ashanti</t>
        </is>
      </c>
      <c r="F39" s="3" t="inlineStr">
        <is>
          <t>Retail Shop</t>
        </is>
      </c>
      <c r="G39" s="3" t="inlineStr">
        <is>
          <t>New</t>
        </is>
      </c>
      <c r="H39" s="3" t="n">
        <v>2</v>
      </c>
      <c r="I39" s="8" t="n">
        <v>135</v>
      </c>
      <c r="J39" s="8" t="n">
        <v>72.5</v>
      </c>
      <c r="K39" s="9" t="n">
        <v>0.05</v>
      </c>
      <c r="L39" s="8" t="n">
        <v>0.04</v>
      </c>
      <c r="M39" s="8">
        <f>H39*I39*(1-K39)</f>
        <v/>
      </c>
      <c r="N39" s="8">
        <f>H39*J39</f>
        <v/>
      </c>
      <c r="O39" s="8">
        <f>M39-N39-L39</f>
        <v/>
      </c>
      <c r="P39" s="10">
        <f>IFERROR(O39/M39,0)</f>
        <v/>
      </c>
      <c r="Q39" s="3">
        <f>IF(H39&lt;=0,"Review: quantity &lt;= 0",IF(K39&gt;0.3,"Review: discount &gt; 30%",IF(G39="","Review: missing customer type","OK")))</f>
        <v/>
      </c>
    </row>
    <row r="40">
      <c r="A40" s="3" t="inlineStr">
        <is>
          <t>ORD-10039</t>
        </is>
      </c>
      <c r="B40" s="7" t="n">
        <v>45666</v>
      </c>
      <c r="C40" s="3" t="inlineStr">
        <is>
          <t>Clothing</t>
        </is>
      </c>
      <c r="D40" s="3" t="inlineStr">
        <is>
          <t>Jackets</t>
        </is>
      </c>
      <c r="E40" s="3" t="inlineStr">
        <is>
          <t>Greater Accra</t>
        </is>
      </c>
      <c r="F40" s="3" t="inlineStr">
        <is>
          <t>Retail Shop</t>
        </is>
      </c>
      <c r="G40" s="3" t="inlineStr">
        <is>
          <t>Returning</t>
        </is>
      </c>
      <c r="H40" s="3" t="n">
        <v>3</v>
      </c>
      <c r="I40" s="8" t="n">
        <v>130</v>
      </c>
      <c r="J40" s="8" t="n">
        <v>71.81</v>
      </c>
      <c r="K40" s="9" t="n">
        <v>0.05</v>
      </c>
      <c r="L40" s="8" t="n">
        <v>3.78</v>
      </c>
      <c r="M40" s="8">
        <f>H40*I40*(1-K40)</f>
        <v/>
      </c>
      <c r="N40" s="8">
        <f>H40*J40</f>
        <v/>
      </c>
      <c r="O40" s="8">
        <f>M40-N40-L40</f>
        <v/>
      </c>
      <c r="P40" s="10">
        <f>IFERROR(O40/M40,0)</f>
        <v/>
      </c>
      <c r="Q40" s="3">
        <f>IF(H40&lt;=0,"Review: quantity &lt;= 0",IF(K40&gt;0.3,"Review: discount &gt; 30%",IF(G40="","Review: missing customer type","OK")))</f>
        <v/>
      </c>
    </row>
    <row r="41">
      <c r="A41" s="3" t="inlineStr">
        <is>
          <t>ORD-10040</t>
        </is>
      </c>
      <c r="B41" s="7" t="n">
        <v>45941</v>
      </c>
      <c r="C41" s="3" t="inlineStr">
        <is>
          <t>Home &amp; Lifestyle</t>
        </is>
      </c>
      <c r="D41" s="3" t="inlineStr">
        <is>
          <t>Travel Mugs</t>
        </is>
      </c>
      <c r="E41" s="3" t="inlineStr">
        <is>
          <t>Ashanti</t>
        </is>
      </c>
      <c r="F41" s="3" t="inlineStr">
        <is>
          <t>Retail Shop</t>
        </is>
      </c>
      <c r="G41" s="3" t="inlineStr">
        <is>
          <t>Returning</t>
        </is>
      </c>
      <c r="H41" s="3" t="n">
        <v>1</v>
      </c>
      <c r="I41" s="8" t="n">
        <v>135</v>
      </c>
      <c r="J41" s="8" t="n">
        <v>77.90000000000001</v>
      </c>
      <c r="K41" s="9" t="n">
        <v>0</v>
      </c>
      <c r="L41" s="8" t="n">
        <v>9.699999999999999</v>
      </c>
      <c r="M41" s="8">
        <f>H41*I41*(1-K41)</f>
        <v/>
      </c>
      <c r="N41" s="8">
        <f>H41*J41</f>
        <v/>
      </c>
      <c r="O41" s="8">
        <f>M41-N41-L41</f>
        <v/>
      </c>
      <c r="P41" s="10">
        <f>IFERROR(O41/M41,0)</f>
        <v/>
      </c>
      <c r="Q41" s="3">
        <f>IF(H41&lt;=0,"Review: quantity &lt;= 0",IF(K41&gt;0.3,"Review: discount &gt; 30%",IF(G41="","Review: missing customer type","OK")))</f>
        <v/>
      </c>
    </row>
    <row r="42">
      <c r="A42" s="3" t="inlineStr">
        <is>
          <t>ORD-10041</t>
        </is>
      </c>
      <c r="B42" s="7" t="n">
        <v>45721</v>
      </c>
      <c r="C42" s="3" t="inlineStr">
        <is>
          <t>Clothing</t>
        </is>
      </c>
      <c r="D42" s="3" t="inlineStr">
        <is>
          <t>Trousers</t>
        </is>
      </c>
      <c r="E42" s="3" t="inlineStr">
        <is>
          <t>Greater Accra</t>
        </is>
      </c>
      <c r="F42" s="3" t="inlineStr">
        <is>
          <t>Online</t>
        </is>
      </c>
      <c r="G42" s="3" t="inlineStr">
        <is>
          <t>New</t>
        </is>
      </c>
      <c r="H42" s="3" t="n">
        <v>2</v>
      </c>
      <c r="I42" s="8" t="n">
        <v>160</v>
      </c>
      <c r="J42" s="8" t="n">
        <v>89.13</v>
      </c>
      <c r="K42" s="9" t="n">
        <v>0</v>
      </c>
      <c r="L42" s="8" t="n">
        <v>21.56</v>
      </c>
      <c r="M42" s="8">
        <f>H42*I42*(1-K42)</f>
        <v/>
      </c>
      <c r="N42" s="8">
        <f>H42*J42</f>
        <v/>
      </c>
      <c r="O42" s="8">
        <f>M42-N42-L42</f>
        <v/>
      </c>
      <c r="P42" s="10">
        <f>IFERROR(O42/M42,0)</f>
        <v/>
      </c>
      <c r="Q42" s="3">
        <f>IF(H42&lt;=0,"Review: quantity &lt;= 0",IF(K42&gt;0.3,"Review: discount &gt; 30%",IF(G42="","Review: missing customer type","OK")))</f>
        <v/>
      </c>
    </row>
    <row r="43">
      <c r="A43" s="3" t="inlineStr">
        <is>
          <t>ORD-10042</t>
        </is>
      </c>
      <c r="B43" s="7" t="n">
        <v>45684</v>
      </c>
      <c r="C43" s="3" t="inlineStr">
        <is>
          <t>Footwear</t>
        </is>
      </c>
      <c r="D43" s="3" t="inlineStr">
        <is>
          <t>Sandals</t>
        </is>
      </c>
      <c r="E43" s="3" t="inlineStr">
        <is>
          <t>Greater Accra</t>
        </is>
      </c>
      <c r="F43" s="3" t="inlineStr">
        <is>
          <t>Online</t>
        </is>
      </c>
      <c r="G43" s="3" t="inlineStr">
        <is>
          <t>Returning</t>
        </is>
      </c>
      <c r="H43" s="3" t="n">
        <v>2</v>
      </c>
      <c r="I43" s="8" t="n">
        <v>245</v>
      </c>
      <c r="J43" s="8" t="n">
        <v>154.54</v>
      </c>
      <c r="K43" s="9" t="n">
        <v>0</v>
      </c>
      <c r="L43" s="8" t="n">
        <v>21.15</v>
      </c>
      <c r="M43" s="8">
        <f>H43*I43*(1-K43)</f>
        <v/>
      </c>
      <c r="N43" s="8">
        <f>H43*J43</f>
        <v/>
      </c>
      <c r="O43" s="8">
        <f>M43-N43-L43</f>
        <v/>
      </c>
      <c r="P43" s="10">
        <f>IFERROR(O43/M43,0)</f>
        <v/>
      </c>
      <c r="Q43" s="3">
        <f>IF(H43&lt;=0,"Review: quantity &lt;= 0",IF(K43&gt;0.3,"Review: discount &gt; 30%",IF(G43="","Review: missing customer type","OK")))</f>
        <v/>
      </c>
    </row>
    <row r="44">
      <c r="A44" s="3" t="inlineStr">
        <is>
          <t>ORD-10043</t>
        </is>
      </c>
      <c r="B44" s="7" t="n">
        <v>45749</v>
      </c>
      <c r="C44" s="3" t="inlineStr">
        <is>
          <t>Home &amp; Lifestyle</t>
        </is>
      </c>
      <c r="D44" s="3" t="inlineStr">
        <is>
          <t>Backpacks</t>
        </is>
      </c>
      <c r="E44" s="3" t="inlineStr">
        <is>
          <t>Western</t>
        </is>
      </c>
      <c r="F44" s="3" t="inlineStr">
        <is>
          <t>Online</t>
        </is>
      </c>
      <c r="G44" s="3" t="inlineStr">
        <is>
          <t>Returning</t>
        </is>
      </c>
      <c r="H44" s="3" t="n">
        <v>4</v>
      </c>
      <c r="I44" s="8" t="n">
        <v>110</v>
      </c>
      <c r="J44" s="8" t="n">
        <v>56.75</v>
      </c>
      <c r="K44" s="9" t="n">
        <v>0</v>
      </c>
      <c r="L44" s="8" t="n">
        <v>36.5</v>
      </c>
      <c r="M44" s="8">
        <f>H44*I44*(1-K44)</f>
        <v/>
      </c>
      <c r="N44" s="8">
        <f>H44*J44</f>
        <v/>
      </c>
      <c r="O44" s="8">
        <f>M44-N44-L44</f>
        <v/>
      </c>
      <c r="P44" s="10">
        <f>IFERROR(O44/M44,0)</f>
        <v/>
      </c>
      <c r="Q44" s="3">
        <f>IF(H44&lt;=0,"Review: quantity &lt;= 0",IF(K44&gt;0.3,"Review: discount &gt; 30%",IF(G44="","Review: missing customer type","OK")))</f>
        <v/>
      </c>
    </row>
    <row r="45">
      <c r="A45" s="3" t="inlineStr">
        <is>
          <t>ORD-10044</t>
        </is>
      </c>
      <c r="B45" s="7" t="n">
        <v>45768</v>
      </c>
      <c r="C45" s="3" t="inlineStr">
        <is>
          <t>Accessories</t>
        </is>
      </c>
      <c r="D45" s="3" t="inlineStr">
        <is>
          <t>Belts</t>
        </is>
      </c>
      <c r="E45" s="3" t="inlineStr">
        <is>
          <t>Greater Accra</t>
        </is>
      </c>
      <c r="F45" s="3" t="inlineStr">
        <is>
          <t>Retail Shop</t>
        </is>
      </c>
      <c r="G45" s="3" t="inlineStr">
        <is>
          <t>Returning</t>
        </is>
      </c>
      <c r="H45" s="3" t="n">
        <v>1</v>
      </c>
      <c r="I45" s="8" t="n">
        <v>115</v>
      </c>
      <c r="J45" s="8" t="n">
        <v>57.81</v>
      </c>
      <c r="K45" s="9" t="n">
        <v>0</v>
      </c>
      <c r="L45" s="8" t="n">
        <v>11.3</v>
      </c>
      <c r="M45" s="8">
        <f>H45*I45*(1-K45)</f>
        <v/>
      </c>
      <c r="N45" s="8">
        <f>H45*J45</f>
        <v/>
      </c>
      <c r="O45" s="8">
        <f>M45-N45-L45</f>
        <v/>
      </c>
      <c r="P45" s="10">
        <f>IFERROR(O45/M45,0)</f>
        <v/>
      </c>
      <c r="Q45" s="3">
        <f>IF(H45&lt;=0,"Review: quantity &lt;= 0",IF(K45&gt;0.3,"Review: discount &gt; 30%",IF(G45="","Review: missing customer type","OK")))</f>
        <v/>
      </c>
    </row>
    <row r="46">
      <c r="A46" s="3" t="inlineStr">
        <is>
          <t>ORD-10045</t>
        </is>
      </c>
      <c r="B46" s="7" t="n">
        <v>45860</v>
      </c>
      <c r="C46" s="3" t="inlineStr">
        <is>
          <t>Clothing</t>
        </is>
      </c>
      <c r="D46" s="3" t="inlineStr">
        <is>
          <t>Shirts</t>
        </is>
      </c>
      <c r="E46" s="3" t="inlineStr">
        <is>
          <t>Central</t>
        </is>
      </c>
      <c r="F46" s="3" t="inlineStr">
        <is>
          <t>Online</t>
        </is>
      </c>
      <c r="G46" s="3" t="inlineStr">
        <is>
          <t>New</t>
        </is>
      </c>
      <c r="H46" s="3" t="n">
        <v>1</v>
      </c>
      <c r="I46" s="8" t="n">
        <v>205</v>
      </c>
      <c r="J46" s="8" t="n">
        <v>102.86</v>
      </c>
      <c r="K46" s="9" t="n">
        <v>0.05</v>
      </c>
      <c r="L46" s="8" t="n">
        <v>23.47</v>
      </c>
      <c r="M46" s="8">
        <f>H46*I46*(1-K46)</f>
        <v/>
      </c>
      <c r="N46" s="8">
        <f>H46*J46</f>
        <v/>
      </c>
      <c r="O46" s="8">
        <f>M46-N46-L46</f>
        <v/>
      </c>
      <c r="P46" s="10">
        <f>IFERROR(O46/M46,0)</f>
        <v/>
      </c>
      <c r="Q46" s="3">
        <f>IF(H46&lt;=0,"Review: quantity &lt;= 0",IF(K46&gt;0.3,"Review: discount &gt; 30%",IF(G46="","Review: missing customer type","OK")))</f>
        <v/>
      </c>
    </row>
    <row r="47">
      <c r="A47" s="3" t="inlineStr">
        <is>
          <t>ORD-10046</t>
        </is>
      </c>
      <c r="B47" s="7" t="n">
        <v>45660</v>
      </c>
      <c r="C47" s="3" t="inlineStr">
        <is>
          <t>Clothing</t>
        </is>
      </c>
      <c r="D47" s="3" t="inlineStr">
        <is>
          <t>Dresses</t>
        </is>
      </c>
      <c r="E47" s="3" t="inlineStr">
        <is>
          <t>Greater Accra</t>
        </is>
      </c>
      <c r="F47" s="3" t="inlineStr">
        <is>
          <t>Retail Shop</t>
        </is>
      </c>
      <c r="G47" s="3" t="inlineStr">
        <is>
          <t>Returning</t>
        </is>
      </c>
      <c r="H47" s="3" t="n">
        <v>4</v>
      </c>
      <c r="I47" s="8" t="n">
        <v>195</v>
      </c>
      <c r="J47" s="8" t="n">
        <v>97.75</v>
      </c>
      <c r="K47" s="9" t="n">
        <v>0</v>
      </c>
      <c r="L47" s="8" t="n">
        <v>8.98</v>
      </c>
      <c r="M47" s="8">
        <f>H47*I47*(1-K47)</f>
        <v/>
      </c>
      <c r="N47" s="8">
        <f>H47*J47</f>
        <v/>
      </c>
      <c r="O47" s="8">
        <f>M47-N47-L47</f>
        <v/>
      </c>
      <c r="P47" s="10">
        <f>IFERROR(O47/M47,0)</f>
        <v/>
      </c>
      <c r="Q47" s="3">
        <f>IF(H47&lt;=0,"Review: quantity &lt;= 0",IF(K47&gt;0.3,"Review: discount &gt; 30%",IF(G47="","Review: missing customer type","OK")))</f>
        <v/>
      </c>
    </row>
    <row r="48">
      <c r="A48" s="3" t="inlineStr">
        <is>
          <t>ORD-10047</t>
        </is>
      </c>
      <c r="B48" s="7" t="n">
        <v>45963</v>
      </c>
      <c r="C48" s="3" t="inlineStr">
        <is>
          <t>Clothing</t>
        </is>
      </c>
      <c r="D48" s="3" t="inlineStr">
        <is>
          <t>Dresses</t>
        </is>
      </c>
      <c r="E48" s="3" t="inlineStr">
        <is>
          <t>Ashanti</t>
        </is>
      </c>
      <c r="F48" s="3" t="inlineStr">
        <is>
          <t>Retail Shop</t>
        </is>
      </c>
      <c r="G48" s="3" t="inlineStr">
        <is>
          <t>Returning</t>
        </is>
      </c>
      <c r="H48" s="3" t="n">
        <v>3</v>
      </c>
      <c r="I48" s="8" t="n">
        <v>180</v>
      </c>
      <c r="J48" s="8" t="n">
        <v>86.52</v>
      </c>
      <c r="K48" s="9" t="n">
        <v>0</v>
      </c>
      <c r="L48" s="8" t="n">
        <v>4.06</v>
      </c>
      <c r="M48" s="8">
        <f>H48*I48*(1-K48)</f>
        <v/>
      </c>
      <c r="N48" s="8">
        <f>H48*J48</f>
        <v/>
      </c>
      <c r="O48" s="8">
        <f>M48-N48-L48</f>
        <v/>
      </c>
      <c r="P48" s="10">
        <f>IFERROR(O48/M48,0)</f>
        <v/>
      </c>
      <c r="Q48" s="3">
        <f>IF(H48&lt;=0,"Review: quantity &lt;= 0",IF(K48&gt;0.3,"Review: discount &gt; 30%",IF(G48="","Review: missing customer type","OK")))</f>
        <v/>
      </c>
    </row>
    <row r="49">
      <c r="A49" s="3" t="inlineStr">
        <is>
          <t>ORD-10048</t>
        </is>
      </c>
      <c r="B49" s="7" t="n">
        <v>45835</v>
      </c>
      <c r="C49" s="3" t="inlineStr">
        <is>
          <t>Footwear</t>
        </is>
      </c>
      <c r="D49" s="3" t="inlineStr">
        <is>
          <t>Boots</t>
        </is>
      </c>
      <c r="E49" s="3" t="inlineStr">
        <is>
          <t>Greater Accra</t>
        </is>
      </c>
      <c r="F49" s="3" t="inlineStr">
        <is>
          <t>Phone/WhatsApp</t>
        </is>
      </c>
      <c r="G49" s="3" t="inlineStr">
        <is>
          <t>Returning</t>
        </is>
      </c>
      <c r="H49" s="3" t="n">
        <v>4</v>
      </c>
      <c r="I49" s="8" t="n">
        <v>460</v>
      </c>
      <c r="J49" s="8" t="n">
        <v>234.69</v>
      </c>
      <c r="K49" s="9" t="n">
        <v>0.1</v>
      </c>
      <c r="L49" s="8" t="n">
        <v>24.67</v>
      </c>
      <c r="M49" s="8">
        <f>H49*I49*(1-K49)</f>
        <v/>
      </c>
      <c r="N49" s="8">
        <f>H49*J49</f>
        <v/>
      </c>
      <c r="O49" s="8">
        <f>M49-N49-L49</f>
        <v/>
      </c>
      <c r="P49" s="10">
        <f>IFERROR(O49/M49,0)</f>
        <v/>
      </c>
      <c r="Q49" s="3">
        <f>IF(H49&lt;=0,"Review: quantity &lt;= 0",IF(K49&gt;0.3,"Review: discount &gt; 30%",IF(G49="","Review: missing customer type","OK")))</f>
        <v/>
      </c>
    </row>
    <row r="50">
      <c r="A50" s="3" t="inlineStr">
        <is>
          <t>ORD-10049</t>
        </is>
      </c>
      <c r="B50" s="7" t="n">
        <v>45730</v>
      </c>
      <c r="C50" s="3" t="inlineStr">
        <is>
          <t>Clothing</t>
        </is>
      </c>
      <c r="D50" s="3" t="inlineStr">
        <is>
          <t>Trousers</t>
        </is>
      </c>
      <c r="E50" s="3" t="inlineStr">
        <is>
          <t>Greater Accra</t>
        </is>
      </c>
      <c r="F50" s="3" t="inlineStr">
        <is>
          <t>Phone/WhatsApp</t>
        </is>
      </c>
      <c r="G50" s="3" t="inlineStr">
        <is>
          <t>Returning</t>
        </is>
      </c>
      <c r="H50" s="3" t="n">
        <v>1</v>
      </c>
      <c r="I50" s="8" t="n">
        <v>155</v>
      </c>
      <c r="J50" s="8" t="n">
        <v>87.42</v>
      </c>
      <c r="K50" s="9" t="n">
        <v>0</v>
      </c>
      <c r="L50" s="8" t="n">
        <v>11.01</v>
      </c>
      <c r="M50" s="8">
        <f>H50*I50*(1-K50)</f>
        <v/>
      </c>
      <c r="N50" s="8">
        <f>H50*J50</f>
        <v/>
      </c>
      <c r="O50" s="8">
        <f>M50-N50-L50</f>
        <v/>
      </c>
      <c r="P50" s="10">
        <f>IFERROR(O50/M50,0)</f>
        <v/>
      </c>
      <c r="Q50" s="3">
        <f>IF(H50&lt;=0,"Review: quantity &lt;= 0",IF(K50&gt;0.3,"Review: discount &gt; 30%",IF(G50="","Review: missing customer type","OK")))</f>
        <v/>
      </c>
    </row>
    <row r="51">
      <c r="A51" s="3" t="inlineStr">
        <is>
          <t>ORD-10050</t>
        </is>
      </c>
      <c r="B51" s="7" t="n">
        <v>45850</v>
      </c>
      <c r="C51" s="3" t="inlineStr">
        <is>
          <t>Footwear</t>
        </is>
      </c>
      <c r="D51" s="3" t="inlineStr">
        <is>
          <t>Formal Shoes</t>
        </is>
      </c>
      <c r="E51" s="3" t="inlineStr">
        <is>
          <t>Greater Accra</t>
        </is>
      </c>
      <c r="F51" s="3" t="inlineStr">
        <is>
          <t>Retail Shop</t>
        </is>
      </c>
      <c r="G51" s="3" t="inlineStr">
        <is>
          <t>Returning</t>
        </is>
      </c>
      <c r="H51" s="3" t="n">
        <v>3</v>
      </c>
      <c r="I51" s="8" t="n">
        <v>375</v>
      </c>
      <c r="J51" s="8" t="n">
        <v>200.26</v>
      </c>
      <c r="K51" s="9" t="n">
        <v>0</v>
      </c>
      <c r="L51" s="8" t="n">
        <v>9.43</v>
      </c>
      <c r="M51" s="8">
        <f>H51*I51*(1-K51)</f>
        <v/>
      </c>
      <c r="N51" s="8">
        <f>H51*J51</f>
        <v/>
      </c>
      <c r="O51" s="8">
        <f>M51-N51-L51</f>
        <v/>
      </c>
      <c r="P51" s="10">
        <f>IFERROR(O51/M51,0)</f>
        <v/>
      </c>
      <c r="Q51" s="3">
        <f>IF(H51&lt;=0,"Review: quantity &lt;= 0",IF(K51&gt;0.3,"Review: discount &gt; 30%",IF(G51="","Review: missing customer type","OK")))</f>
        <v/>
      </c>
    </row>
    <row r="52">
      <c r="A52" s="3" t="inlineStr">
        <is>
          <t>ORD-10051</t>
        </is>
      </c>
      <c r="B52" s="7" t="n">
        <v>45934</v>
      </c>
      <c r="C52" s="3" t="inlineStr">
        <is>
          <t>Home &amp; Lifestyle</t>
        </is>
      </c>
      <c r="D52" s="3" t="inlineStr">
        <is>
          <t>Wallets</t>
        </is>
      </c>
      <c r="E52" s="3" t="inlineStr">
        <is>
          <t>Central</t>
        </is>
      </c>
      <c r="F52" s="3" t="inlineStr">
        <is>
          <t>Retail Shop</t>
        </is>
      </c>
      <c r="G52" s="3" t="inlineStr">
        <is>
          <t>Returning</t>
        </is>
      </c>
      <c r="H52" s="3" t="n">
        <v>1</v>
      </c>
      <c r="I52" s="8" t="n">
        <v>90</v>
      </c>
      <c r="J52" s="8" t="n">
        <v>50.38</v>
      </c>
      <c r="K52" s="9" t="n">
        <v>0.05</v>
      </c>
      <c r="L52" s="8" t="n">
        <v>11.91</v>
      </c>
      <c r="M52" s="8">
        <f>H52*I52*(1-K52)</f>
        <v/>
      </c>
      <c r="N52" s="8">
        <f>H52*J52</f>
        <v/>
      </c>
      <c r="O52" s="8">
        <f>M52-N52-L52</f>
        <v/>
      </c>
      <c r="P52" s="10">
        <f>IFERROR(O52/M52,0)</f>
        <v/>
      </c>
      <c r="Q52" s="3">
        <f>IF(H52&lt;=0,"Review: quantity &lt;= 0",IF(K52&gt;0.3,"Review: discount &gt; 30%",IF(G52="","Review: missing customer type","OK")))</f>
        <v/>
      </c>
    </row>
    <row r="53">
      <c r="A53" s="3" t="inlineStr">
        <is>
          <t>ORD-10052</t>
        </is>
      </c>
      <c r="B53" s="7" t="n">
        <v>45929</v>
      </c>
      <c r="C53" s="3" t="inlineStr">
        <is>
          <t>Clothing</t>
        </is>
      </c>
      <c r="D53" s="3" t="inlineStr">
        <is>
          <t>Trousers</t>
        </is>
      </c>
      <c r="E53" s="3" t="inlineStr">
        <is>
          <t>Greater Accra</t>
        </is>
      </c>
      <c r="F53" s="3" t="inlineStr">
        <is>
          <t>Retail Shop</t>
        </is>
      </c>
      <c r="G53" s="3" t="inlineStr">
        <is>
          <t>Returning</t>
        </is>
      </c>
      <c r="H53" s="3" t="n">
        <v>4</v>
      </c>
      <c r="I53" s="8" t="n">
        <v>205</v>
      </c>
      <c r="J53" s="8" t="n">
        <v>119.04</v>
      </c>
      <c r="K53" s="9" t="n">
        <v>0</v>
      </c>
      <c r="L53" s="8" t="n">
        <v>4.51</v>
      </c>
      <c r="M53" s="8">
        <f>H53*I53*(1-K53)</f>
        <v/>
      </c>
      <c r="N53" s="8">
        <f>H53*J53</f>
        <v/>
      </c>
      <c r="O53" s="8">
        <f>M53-N53-L53</f>
        <v/>
      </c>
      <c r="P53" s="10">
        <f>IFERROR(O53/M53,0)</f>
        <v/>
      </c>
      <c r="Q53" s="3">
        <f>IF(H53&lt;=0,"Review: quantity &lt;= 0",IF(K53&gt;0.3,"Review: discount &gt; 30%",IF(G53="","Review: missing customer type","OK")))</f>
        <v/>
      </c>
    </row>
    <row r="54">
      <c r="A54" s="3" t="inlineStr">
        <is>
          <t>ORD-10053</t>
        </is>
      </c>
      <c r="B54" s="7" t="n">
        <v>45886</v>
      </c>
      <c r="C54" s="3" t="inlineStr">
        <is>
          <t>Footwear</t>
        </is>
      </c>
      <c r="D54" s="3" t="inlineStr">
        <is>
          <t>Sandals</t>
        </is>
      </c>
      <c r="E54" s="3" t="inlineStr">
        <is>
          <t>Ashanti</t>
        </is>
      </c>
      <c r="F54" s="3" t="inlineStr">
        <is>
          <t>Retail Shop</t>
        </is>
      </c>
      <c r="G54" s="3" t="inlineStr">
        <is>
          <t>Returning</t>
        </is>
      </c>
      <c r="H54" s="3" t="n">
        <v>1</v>
      </c>
      <c r="I54" s="8" t="n">
        <v>405</v>
      </c>
      <c r="J54" s="8" t="n">
        <v>223.13</v>
      </c>
      <c r="K54" s="9" t="n">
        <v>0.05</v>
      </c>
      <c r="L54" s="8" t="n">
        <v>0.06</v>
      </c>
      <c r="M54" s="8">
        <f>H54*I54*(1-K54)</f>
        <v/>
      </c>
      <c r="N54" s="8">
        <f>H54*J54</f>
        <v/>
      </c>
      <c r="O54" s="8">
        <f>M54-N54-L54</f>
        <v/>
      </c>
      <c r="P54" s="10">
        <f>IFERROR(O54/M54,0)</f>
        <v/>
      </c>
      <c r="Q54" s="3">
        <f>IF(H54&lt;=0,"Review: quantity &lt;= 0",IF(K54&gt;0.3,"Review: discount &gt; 30%",IF(G54="","Review: missing customer type","OK")))</f>
        <v/>
      </c>
    </row>
    <row r="55">
      <c r="A55" s="3" t="inlineStr">
        <is>
          <t>ORD-10054</t>
        </is>
      </c>
      <c r="B55" s="7" t="n">
        <v>45694</v>
      </c>
      <c r="C55" s="3" t="inlineStr">
        <is>
          <t>Clothing</t>
        </is>
      </c>
      <c r="D55" s="3" t="inlineStr">
        <is>
          <t>Shirts</t>
        </is>
      </c>
      <c r="E55" s="3" t="inlineStr">
        <is>
          <t>Ashanti</t>
        </is>
      </c>
      <c r="F55" s="3" t="inlineStr">
        <is>
          <t>Retail Shop</t>
        </is>
      </c>
      <c r="G55" s="3" t="inlineStr">
        <is>
          <t>Returning</t>
        </is>
      </c>
      <c r="H55" s="3" t="n">
        <v>2</v>
      </c>
      <c r="I55" s="8" t="n">
        <v>185</v>
      </c>
      <c r="J55" s="8" t="n">
        <v>98.90000000000001</v>
      </c>
      <c r="K55" s="9" t="n">
        <v>0</v>
      </c>
      <c r="L55" s="8" t="n">
        <v>0.87</v>
      </c>
      <c r="M55" s="8">
        <f>H55*I55*(1-K55)</f>
        <v/>
      </c>
      <c r="N55" s="8">
        <f>H55*J55</f>
        <v/>
      </c>
      <c r="O55" s="8">
        <f>M55-N55-L55</f>
        <v/>
      </c>
      <c r="P55" s="10">
        <f>IFERROR(O55/M55,0)</f>
        <v/>
      </c>
      <c r="Q55" s="3">
        <f>IF(H55&lt;=0,"Review: quantity &lt;= 0",IF(K55&gt;0.3,"Review: discount &gt; 30%",IF(G55="","Review: missing customer type","OK")))</f>
        <v/>
      </c>
    </row>
    <row r="56">
      <c r="A56" s="3" t="inlineStr">
        <is>
          <t>ORD-10055</t>
        </is>
      </c>
      <c r="B56" s="7" t="n">
        <v>45685</v>
      </c>
      <c r="C56" s="3" t="inlineStr">
        <is>
          <t>Home &amp; Lifestyle</t>
        </is>
      </c>
      <c r="D56" s="3" t="inlineStr">
        <is>
          <t>Backpacks</t>
        </is>
      </c>
      <c r="E56" s="3" t="inlineStr">
        <is>
          <t>Western</t>
        </is>
      </c>
      <c r="F56" s="3" t="inlineStr">
        <is>
          <t>Phone/WhatsApp</t>
        </is>
      </c>
      <c r="G56" s="3" t="inlineStr">
        <is>
          <t>New</t>
        </is>
      </c>
      <c r="H56" s="3" t="n">
        <v>5</v>
      </c>
      <c r="I56" s="8" t="n">
        <v>140</v>
      </c>
      <c r="J56" s="8" t="n">
        <v>76.84999999999999</v>
      </c>
      <c r="K56" s="9" t="n">
        <v>0.1</v>
      </c>
      <c r="L56" s="8" t="n">
        <v>33.97</v>
      </c>
      <c r="M56" s="8">
        <f>H56*I56*(1-K56)</f>
        <v/>
      </c>
      <c r="N56" s="8">
        <f>H56*J56</f>
        <v/>
      </c>
      <c r="O56" s="8">
        <f>M56-N56-L56</f>
        <v/>
      </c>
      <c r="P56" s="10">
        <f>IFERROR(O56/M56,0)</f>
        <v/>
      </c>
      <c r="Q56" s="3">
        <f>IF(H56&lt;=0,"Review: quantity &lt;= 0",IF(K56&gt;0.3,"Review: discount &gt; 30%",IF(G56="","Review: missing customer type","OK")))</f>
        <v/>
      </c>
    </row>
    <row r="57">
      <c r="A57" s="3" t="inlineStr">
        <is>
          <t>ORD-10056</t>
        </is>
      </c>
      <c r="B57" s="7" t="n">
        <v>45837</v>
      </c>
      <c r="C57" s="3" t="inlineStr">
        <is>
          <t>Accessories</t>
        </is>
      </c>
      <c r="D57" s="3" t="inlineStr">
        <is>
          <t>Bags</t>
        </is>
      </c>
      <c r="E57" s="3" t="inlineStr">
        <is>
          <t>Western</t>
        </is>
      </c>
      <c r="F57" s="3" t="inlineStr">
        <is>
          <t>Online</t>
        </is>
      </c>
      <c r="G57" s="3" t="inlineStr">
        <is>
          <t>Returning</t>
        </is>
      </c>
      <c r="H57" s="3" t="n">
        <v>3</v>
      </c>
      <c r="I57" s="8" t="n">
        <v>115</v>
      </c>
      <c r="J57" s="8" t="n">
        <v>60.03</v>
      </c>
      <c r="K57" s="9" t="n">
        <v>0</v>
      </c>
      <c r="L57" s="8" t="n">
        <v>26.75</v>
      </c>
      <c r="M57" s="8">
        <f>H57*I57*(1-K57)</f>
        <v/>
      </c>
      <c r="N57" s="8">
        <f>H57*J57</f>
        <v/>
      </c>
      <c r="O57" s="8">
        <f>M57-N57-L57</f>
        <v/>
      </c>
      <c r="P57" s="10">
        <f>IFERROR(O57/M57,0)</f>
        <v/>
      </c>
      <c r="Q57" s="3">
        <f>IF(H57&lt;=0,"Review: quantity &lt;= 0",IF(K57&gt;0.3,"Review: discount &gt; 30%",IF(G57="","Review: missing customer type","OK")))</f>
        <v/>
      </c>
    </row>
    <row r="58">
      <c r="A58" s="3" t="inlineStr">
        <is>
          <t>ORD-10057</t>
        </is>
      </c>
      <c r="B58" s="7" t="n">
        <v>45997</v>
      </c>
      <c r="C58" s="3" t="inlineStr">
        <is>
          <t>Accessories</t>
        </is>
      </c>
      <c r="D58" s="3" t="inlineStr">
        <is>
          <t>Sunglasses</t>
        </is>
      </c>
      <c r="E58" s="3" t="inlineStr">
        <is>
          <t>Ashanti</t>
        </is>
      </c>
      <c r="F58" s="3" t="inlineStr">
        <is>
          <t>Online</t>
        </is>
      </c>
      <c r="G58" s="3" t="inlineStr">
        <is>
          <t>Returning</t>
        </is>
      </c>
      <c r="H58" s="3" t="n">
        <v>3</v>
      </c>
      <c r="I58" s="8" t="n">
        <v>120</v>
      </c>
      <c r="J58" s="8" t="n">
        <v>53.45</v>
      </c>
      <c r="K58" s="9" t="n">
        <v>0</v>
      </c>
      <c r="L58" s="8" t="n">
        <v>26.38</v>
      </c>
      <c r="M58" s="8">
        <f>H58*I58*(1-K58)</f>
        <v/>
      </c>
      <c r="N58" s="8">
        <f>H58*J58</f>
        <v/>
      </c>
      <c r="O58" s="8">
        <f>M58-N58-L58</f>
        <v/>
      </c>
      <c r="P58" s="10">
        <f>IFERROR(O58/M58,0)</f>
        <v/>
      </c>
      <c r="Q58" s="3">
        <f>IF(H58&lt;=0,"Review: quantity &lt;= 0",IF(K58&gt;0.3,"Review: discount &gt; 30%",IF(G58="","Review: missing customer type","OK")))</f>
        <v/>
      </c>
    </row>
    <row r="59">
      <c r="A59" s="3" t="inlineStr">
        <is>
          <t>ORD-10058</t>
        </is>
      </c>
      <c r="B59" s="7" t="n">
        <v>45799</v>
      </c>
      <c r="C59" s="3" t="inlineStr">
        <is>
          <t>Accessories</t>
        </is>
      </c>
      <c r="D59" s="3" t="inlineStr">
        <is>
          <t>Bags</t>
        </is>
      </c>
      <c r="E59" s="3" t="inlineStr">
        <is>
          <t>Ashanti</t>
        </is>
      </c>
      <c r="F59" s="3" t="inlineStr">
        <is>
          <t>Retail Shop</t>
        </is>
      </c>
      <c r="G59" s="3" t="inlineStr">
        <is>
          <t>Returning</t>
        </is>
      </c>
      <c r="H59" s="3" t="n">
        <v>2</v>
      </c>
      <c r="I59" s="8" t="n">
        <v>65</v>
      </c>
      <c r="J59" s="8" t="n">
        <v>29.19</v>
      </c>
      <c r="K59" s="9" t="n">
        <v>0.1</v>
      </c>
      <c r="L59" s="8" t="n">
        <v>1.52</v>
      </c>
      <c r="M59" s="8">
        <f>H59*I59*(1-K59)</f>
        <v/>
      </c>
      <c r="N59" s="8">
        <f>H59*J59</f>
        <v/>
      </c>
      <c r="O59" s="8">
        <f>M59-N59-L59</f>
        <v/>
      </c>
      <c r="P59" s="10">
        <f>IFERROR(O59/M59,0)</f>
        <v/>
      </c>
      <c r="Q59" s="3">
        <f>IF(H59&lt;=0,"Review: quantity &lt;= 0",IF(K59&gt;0.3,"Review: discount &gt; 30%",IF(G59="","Review: missing customer type","OK")))</f>
        <v/>
      </c>
    </row>
    <row r="60">
      <c r="A60" s="3" t="inlineStr">
        <is>
          <t>ORD-10059</t>
        </is>
      </c>
      <c r="B60" s="7" t="n">
        <v>45762</v>
      </c>
      <c r="C60" s="3" t="inlineStr">
        <is>
          <t>Clothing</t>
        </is>
      </c>
      <c r="D60" s="3" t="inlineStr">
        <is>
          <t>Shirts</t>
        </is>
      </c>
      <c r="E60" s="3" t="inlineStr">
        <is>
          <t>Greater Accra</t>
        </is>
      </c>
      <c r="F60" s="3" t="inlineStr">
        <is>
          <t>Retail Shop</t>
        </is>
      </c>
      <c r="G60" s="3" t="inlineStr">
        <is>
          <t>Returning</t>
        </is>
      </c>
      <c r="H60" s="3" t="n">
        <v>1</v>
      </c>
      <c r="I60" s="8" t="n">
        <v>125</v>
      </c>
      <c r="J60" s="8" t="n">
        <v>65.09999999999999</v>
      </c>
      <c r="K60" s="9" t="n">
        <v>0</v>
      </c>
      <c r="L60" s="8" t="n">
        <v>7.84</v>
      </c>
      <c r="M60" s="8">
        <f>H60*I60*(1-K60)</f>
        <v/>
      </c>
      <c r="N60" s="8">
        <f>H60*J60</f>
        <v/>
      </c>
      <c r="O60" s="8">
        <f>M60-N60-L60</f>
        <v/>
      </c>
      <c r="P60" s="10">
        <f>IFERROR(O60/M60,0)</f>
        <v/>
      </c>
      <c r="Q60" s="3">
        <f>IF(H60&lt;=0,"Review: quantity &lt;= 0",IF(K60&gt;0.3,"Review: discount &gt; 30%",IF(G60="","Review: missing customer type","OK")))</f>
        <v/>
      </c>
    </row>
    <row r="61">
      <c r="A61" s="3" t="inlineStr">
        <is>
          <t>ORD-10060</t>
        </is>
      </c>
      <c r="B61" s="7" t="n">
        <v>45679</v>
      </c>
      <c r="C61" s="3" t="inlineStr">
        <is>
          <t>Clothing</t>
        </is>
      </c>
      <c r="D61" s="3" t="inlineStr">
        <is>
          <t>Shirts</t>
        </is>
      </c>
      <c r="E61" s="3" t="inlineStr">
        <is>
          <t>Greater Accra</t>
        </is>
      </c>
      <c r="F61" s="3" t="inlineStr">
        <is>
          <t>Retail Shop</t>
        </is>
      </c>
      <c r="G61" s="3" t="inlineStr">
        <is>
          <t>Returning</t>
        </is>
      </c>
      <c r="H61" s="3" t="n">
        <v>2</v>
      </c>
      <c r="I61" s="8" t="n">
        <v>145</v>
      </c>
      <c r="J61" s="8" t="n">
        <v>70.7</v>
      </c>
      <c r="K61" s="9" t="n">
        <v>0.15</v>
      </c>
      <c r="L61" s="8" t="n">
        <v>0.29</v>
      </c>
      <c r="M61" s="8">
        <f>H61*I61*(1-K61)</f>
        <v/>
      </c>
      <c r="N61" s="8">
        <f>H61*J61</f>
        <v/>
      </c>
      <c r="O61" s="8">
        <f>M61-N61-L61</f>
        <v/>
      </c>
      <c r="P61" s="10">
        <f>IFERROR(O61/M61,0)</f>
        <v/>
      </c>
      <c r="Q61" s="3">
        <f>IF(H61&lt;=0,"Review: quantity &lt;= 0",IF(K61&gt;0.3,"Review: discount &gt; 30%",IF(G61="","Review: missing customer type","OK")))</f>
        <v/>
      </c>
    </row>
    <row r="62">
      <c r="A62" s="3" t="inlineStr">
        <is>
          <t>ORD-10061</t>
        </is>
      </c>
      <c r="B62" s="7" t="n">
        <v>45670</v>
      </c>
      <c r="C62" s="3" t="inlineStr">
        <is>
          <t>Footwear</t>
        </is>
      </c>
      <c r="D62" s="3" t="inlineStr">
        <is>
          <t>Boots</t>
        </is>
      </c>
      <c r="E62" s="3" t="inlineStr">
        <is>
          <t>Greater Accra</t>
        </is>
      </c>
      <c r="F62" s="3" t="inlineStr">
        <is>
          <t>Online</t>
        </is>
      </c>
      <c r="G62" s="3" t="inlineStr">
        <is>
          <t>Returning</t>
        </is>
      </c>
      <c r="H62" s="3" t="n">
        <v>3</v>
      </c>
      <c r="I62" s="8" t="n">
        <v>250</v>
      </c>
      <c r="J62" s="8" t="n">
        <v>148.23</v>
      </c>
      <c r="K62" s="9" t="n">
        <v>0.1</v>
      </c>
      <c r="L62" s="8" t="n">
        <v>30.09</v>
      </c>
      <c r="M62" s="8">
        <f>H62*I62*(1-K62)</f>
        <v/>
      </c>
      <c r="N62" s="8">
        <f>H62*J62</f>
        <v/>
      </c>
      <c r="O62" s="8">
        <f>M62-N62-L62</f>
        <v/>
      </c>
      <c r="P62" s="10">
        <f>IFERROR(O62/M62,0)</f>
        <v/>
      </c>
      <c r="Q62" s="3">
        <f>IF(H62&lt;=0,"Review: quantity &lt;= 0",IF(K62&gt;0.3,"Review: discount &gt; 30%",IF(G62="","Review: missing customer type","OK")))</f>
        <v/>
      </c>
    </row>
    <row r="63">
      <c r="A63" s="3" t="inlineStr">
        <is>
          <t>ORD-10062</t>
        </is>
      </c>
      <c r="B63" s="7" t="n">
        <v>45803</v>
      </c>
      <c r="C63" s="3" t="inlineStr">
        <is>
          <t>Accessories</t>
        </is>
      </c>
      <c r="D63" s="3" t="inlineStr">
        <is>
          <t>Watches</t>
        </is>
      </c>
      <c r="E63" s="3" t="inlineStr">
        <is>
          <t>Ashanti</t>
        </is>
      </c>
      <c r="F63" s="3" t="inlineStr">
        <is>
          <t>Online</t>
        </is>
      </c>
      <c r="G63" s="3" t="inlineStr">
        <is>
          <t>New</t>
        </is>
      </c>
      <c r="H63" s="3" t="n">
        <v>1</v>
      </c>
      <c r="I63" s="8" t="n">
        <v>120</v>
      </c>
      <c r="J63" s="8" t="n">
        <v>61.7</v>
      </c>
      <c r="K63" s="9" t="n">
        <v>0.1</v>
      </c>
      <c r="L63" s="8" t="n">
        <v>8.5</v>
      </c>
      <c r="M63" s="8">
        <f>H63*I63*(1-K63)</f>
        <v/>
      </c>
      <c r="N63" s="8">
        <f>H63*J63</f>
        <v/>
      </c>
      <c r="O63" s="8">
        <f>M63-N63-L63</f>
        <v/>
      </c>
      <c r="P63" s="10">
        <f>IFERROR(O63/M63,0)</f>
        <v/>
      </c>
      <c r="Q63" s="3">
        <f>IF(H63&lt;=0,"Review: quantity &lt;= 0",IF(K63&gt;0.3,"Review: discount &gt; 30%",IF(G63="","Review: missing customer type","OK")))</f>
        <v/>
      </c>
    </row>
    <row r="64">
      <c r="A64" s="3" t="inlineStr">
        <is>
          <t>ORD-10063</t>
        </is>
      </c>
      <c r="B64" s="7" t="n">
        <v>45939</v>
      </c>
      <c r="C64" s="3" t="inlineStr">
        <is>
          <t>Footwear</t>
        </is>
      </c>
      <c r="D64" s="3" t="inlineStr">
        <is>
          <t>Formal Shoes</t>
        </is>
      </c>
      <c r="E64" s="3" t="inlineStr">
        <is>
          <t>Greater Accra</t>
        </is>
      </c>
      <c r="F64" s="3" t="inlineStr">
        <is>
          <t>Retail Shop</t>
        </is>
      </c>
      <c r="G64" s="3" t="inlineStr">
        <is>
          <t>Returning</t>
        </is>
      </c>
      <c r="H64" s="3" t="n">
        <v>4</v>
      </c>
      <c r="I64" s="8" t="n">
        <v>195</v>
      </c>
      <c r="J64" s="8" t="n">
        <v>105.45</v>
      </c>
      <c r="K64" s="9" t="n">
        <v>0</v>
      </c>
      <c r="L64" s="8" t="n">
        <v>11.96</v>
      </c>
      <c r="M64" s="8">
        <f>H64*I64*(1-K64)</f>
        <v/>
      </c>
      <c r="N64" s="8">
        <f>H64*J64</f>
        <v/>
      </c>
      <c r="O64" s="8">
        <f>M64-N64-L64</f>
        <v/>
      </c>
      <c r="P64" s="10">
        <f>IFERROR(O64/M64,0)</f>
        <v/>
      </c>
      <c r="Q64" s="3">
        <f>IF(H64&lt;=0,"Review: quantity &lt;= 0",IF(K64&gt;0.3,"Review: discount &gt; 30%",IF(G64="","Review: missing customer type","OK")))</f>
        <v/>
      </c>
    </row>
    <row r="65">
      <c r="A65" s="3" t="inlineStr">
        <is>
          <t>ORD-10064</t>
        </is>
      </c>
      <c r="B65" s="7" t="n">
        <v>46021</v>
      </c>
      <c r="C65" s="3" t="inlineStr">
        <is>
          <t>Clothing</t>
        </is>
      </c>
      <c r="D65" s="3" t="inlineStr">
        <is>
          <t>Dresses</t>
        </is>
      </c>
      <c r="E65" s="3" t="inlineStr">
        <is>
          <t>Greater Accra</t>
        </is>
      </c>
      <c r="F65" s="3" t="inlineStr">
        <is>
          <t>Retail Shop</t>
        </is>
      </c>
      <c r="G65" s="3" t="inlineStr">
        <is>
          <t>New</t>
        </is>
      </c>
      <c r="H65" s="3" t="n">
        <v>1</v>
      </c>
      <c r="I65" s="8" t="n">
        <v>135</v>
      </c>
      <c r="J65" s="8" t="n">
        <v>65.22</v>
      </c>
      <c r="K65" s="9" t="n">
        <v>0.2</v>
      </c>
      <c r="L65" s="8" t="n">
        <v>11.69</v>
      </c>
      <c r="M65" s="8">
        <f>H65*I65*(1-K65)</f>
        <v/>
      </c>
      <c r="N65" s="8">
        <f>H65*J65</f>
        <v/>
      </c>
      <c r="O65" s="8">
        <f>M65-N65-L65</f>
        <v/>
      </c>
      <c r="P65" s="10">
        <f>IFERROR(O65/M65,0)</f>
        <v/>
      </c>
      <c r="Q65" s="3">
        <f>IF(H65&lt;=0,"Review: quantity &lt;= 0",IF(K65&gt;0.3,"Review: discount &gt; 30%",IF(G65="","Review: missing customer type","OK")))</f>
        <v/>
      </c>
    </row>
    <row r="66">
      <c r="A66" s="3" t="inlineStr">
        <is>
          <t>ORD-10065</t>
        </is>
      </c>
      <c r="B66" s="7" t="n">
        <v>45870</v>
      </c>
      <c r="C66" s="3" t="inlineStr">
        <is>
          <t>Footwear</t>
        </is>
      </c>
      <c r="D66" s="3" t="inlineStr">
        <is>
          <t>Formal Shoes</t>
        </is>
      </c>
      <c r="E66" s="3" t="inlineStr">
        <is>
          <t>Greater Accra</t>
        </is>
      </c>
      <c r="F66" s="3" t="inlineStr">
        <is>
          <t>Online</t>
        </is>
      </c>
      <c r="G66" s="3" t="inlineStr">
        <is>
          <t>New</t>
        </is>
      </c>
      <c r="H66" s="3" t="n">
        <v>1</v>
      </c>
      <c r="I66" s="8" t="n">
        <v>325</v>
      </c>
      <c r="J66" s="8" t="n">
        <v>197.95</v>
      </c>
      <c r="K66" s="9" t="n">
        <v>0.05</v>
      </c>
      <c r="L66" s="8" t="n">
        <v>27.06</v>
      </c>
      <c r="M66" s="8">
        <f>H66*I66*(1-K66)</f>
        <v/>
      </c>
      <c r="N66" s="8">
        <f>H66*J66</f>
        <v/>
      </c>
      <c r="O66" s="8">
        <f>M66-N66-L66</f>
        <v/>
      </c>
      <c r="P66" s="10">
        <f>IFERROR(O66/M66,0)</f>
        <v/>
      </c>
      <c r="Q66" s="3">
        <f>IF(H66&lt;=0,"Review: quantity &lt;= 0",IF(K66&gt;0.3,"Review: discount &gt; 30%",IF(G66="","Review: missing customer type","OK")))</f>
        <v/>
      </c>
    </row>
    <row r="67">
      <c r="A67" s="3" t="inlineStr">
        <is>
          <t>ORD-10066</t>
        </is>
      </c>
      <c r="B67" s="7" t="n">
        <v>45747</v>
      </c>
      <c r="C67" s="3" t="inlineStr">
        <is>
          <t>Clothing</t>
        </is>
      </c>
      <c r="D67" s="3" t="inlineStr">
        <is>
          <t>Trousers</t>
        </is>
      </c>
      <c r="E67" s="3" t="inlineStr">
        <is>
          <t>Greater Accra</t>
        </is>
      </c>
      <c r="F67" s="3" t="inlineStr">
        <is>
          <t>Phone/WhatsApp</t>
        </is>
      </c>
      <c r="G67" s="3" t="inlineStr">
        <is>
          <t>Returning</t>
        </is>
      </c>
      <c r="H67" s="3" t="n">
        <v>2</v>
      </c>
      <c r="I67" s="8" t="n">
        <v>125</v>
      </c>
      <c r="J67" s="8" t="n">
        <v>67.73</v>
      </c>
      <c r="K67" s="9" t="n">
        <v>0</v>
      </c>
      <c r="L67" s="8" t="n">
        <v>25.82</v>
      </c>
      <c r="M67" s="8">
        <f>H67*I67*(1-K67)</f>
        <v/>
      </c>
      <c r="N67" s="8">
        <f>H67*J67</f>
        <v/>
      </c>
      <c r="O67" s="8">
        <f>M67-N67-L67</f>
        <v/>
      </c>
      <c r="P67" s="10">
        <f>IFERROR(O67/M67,0)</f>
        <v/>
      </c>
      <c r="Q67" s="3">
        <f>IF(H67&lt;=0,"Review: quantity &lt;= 0",IF(K67&gt;0.3,"Review: discount &gt; 30%",IF(G67="","Review: missing customer type","OK")))</f>
        <v/>
      </c>
    </row>
    <row r="68">
      <c r="A68" s="3" t="inlineStr">
        <is>
          <t>ORD-10067</t>
        </is>
      </c>
      <c r="B68" s="7" t="n">
        <v>45789</v>
      </c>
      <c r="C68" s="3" t="inlineStr">
        <is>
          <t>Home &amp; Lifestyle</t>
        </is>
      </c>
      <c r="D68" s="3" t="inlineStr">
        <is>
          <t>Backpacks</t>
        </is>
      </c>
      <c r="E68" s="3" t="inlineStr">
        <is>
          <t>Western</t>
        </is>
      </c>
      <c r="F68" s="3" t="inlineStr">
        <is>
          <t>Online</t>
        </is>
      </c>
      <c r="G68" s="3" t="inlineStr">
        <is>
          <t>Returning</t>
        </is>
      </c>
      <c r="H68" s="3" t="n">
        <v>4</v>
      </c>
      <c r="I68" s="8" t="n">
        <v>105</v>
      </c>
      <c r="J68" s="8" t="n">
        <v>58.15</v>
      </c>
      <c r="K68" s="9" t="n">
        <v>0.15</v>
      </c>
      <c r="L68" s="8" t="n">
        <v>14.84</v>
      </c>
      <c r="M68" s="8">
        <f>H68*I68*(1-K68)</f>
        <v/>
      </c>
      <c r="N68" s="8">
        <f>H68*J68</f>
        <v/>
      </c>
      <c r="O68" s="8">
        <f>M68-N68-L68</f>
        <v/>
      </c>
      <c r="P68" s="10">
        <f>IFERROR(O68/M68,0)</f>
        <v/>
      </c>
      <c r="Q68" s="3">
        <f>IF(H68&lt;=0,"Review: quantity &lt;= 0",IF(K68&gt;0.3,"Review: discount &gt; 30%",IF(G68="","Review: missing customer type","OK")))</f>
        <v/>
      </c>
    </row>
    <row r="69">
      <c r="A69" s="3" t="inlineStr">
        <is>
          <t>ORD-10068</t>
        </is>
      </c>
      <c r="B69" s="7" t="n">
        <v>45732</v>
      </c>
      <c r="C69" s="3" t="inlineStr">
        <is>
          <t>Clothing</t>
        </is>
      </c>
      <c r="D69" s="3" t="inlineStr">
        <is>
          <t>Dresses</t>
        </is>
      </c>
      <c r="E69" s="3" t="inlineStr">
        <is>
          <t>Ashanti</t>
        </is>
      </c>
      <c r="F69" s="3" t="inlineStr">
        <is>
          <t>Online</t>
        </is>
      </c>
      <c r="G69" s="3" t="inlineStr">
        <is>
          <t>Returning</t>
        </is>
      </c>
      <c r="H69" s="3" t="n">
        <v>1</v>
      </c>
      <c r="I69" s="8" t="n">
        <v>200</v>
      </c>
      <c r="J69" s="8" t="n">
        <v>94.58</v>
      </c>
      <c r="K69" s="9" t="n">
        <v>0.1</v>
      </c>
      <c r="L69" s="8" t="n">
        <v>33.01</v>
      </c>
      <c r="M69" s="8">
        <f>H69*I69*(1-K69)</f>
        <v/>
      </c>
      <c r="N69" s="8">
        <f>H69*J69</f>
        <v/>
      </c>
      <c r="O69" s="8">
        <f>M69-N69-L69</f>
        <v/>
      </c>
      <c r="P69" s="10">
        <f>IFERROR(O69/M69,0)</f>
        <v/>
      </c>
      <c r="Q69" s="3">
        <f>IF(H69&lt;=0,"Review: quantity &lt;= 0",IF(K69&gt;0.3,"Review: discount &gt; 30%",IF(G69="","Review: missing customer type","OK")))</f>
        <v/>
      </c>
    </row>
    <row r="70">
      <c r="A70" s="3" t="inlineStr">
        <is>
          <t>ORD-10069</t>
        </is>
      </c>
      <c r="B70" s="7" t="n">
        <v>45975</v>
      </c>
      <c r="C70" s="3" t="inlineStr">
        <is>
          <t>Footwear</t>
        </is>
      </c>
      <c r="D70" s="3" t="inlineStr">
        <is>
          <t>Boots</t>
        </is>
      </c>
      <c r="E70" s="3" t="inlineStr">
        <is>
          <t>Greater Accra</t>
        </is>
      </c>
      <c r="F70" s="3" t="inlineStr">
        <is>
          <t>Retail Shop</t>
        </is>
      </c>
      <c r="G70" s="3" t="inlineStr">
        <is>
          <t>Returning</t>
        </is>
      </c>
      <c r="H70" s="3" t="n">
        <v>5</v>
      </c>
      <c r="I70" s="8" t="n">
        <v>235</v>
      </c>
      <c r="J70" s="8" t="n">
        <v>124.85</v>
      </c>
      <c r="K70" s="9" t="n">
        <v>0.05</v>
      </c>
      <c r="L70" s="8" t="n">
        <v>1.95</v>
      </c>
      <c r="M70" s="8">
        <f>H70*I70*(1-K70)</f>
        <v/>
      </c>
      <c r="N70" s="8">
        <f>H70*J70</f>
        <v/>
      </c>
      <c r="O70" s="8">
        <f>M70-N70-L70</f>
        <v/>
      </c>
      <c r="P70" s="10">
        <f>IFERROR(O70/M70,0)</f>
        <v/>
      </c>
      <c r="Q70" s="3">
        <f>IF(H70&lt;=0,"Review: quantity &lt;= 0",IF(K70&gt;0.3,"Review: discount &gt; 30%",IF(G70="","Review: missing customer type","OK")))</f>
        <v/>
      </c>
    </row>
    <row r="71">
      <c r="A71" s="3" t="inlineStr">
        <is>
          <t>ORD-10070</t>
        </is>
      </c>
      <c r="B71" s="7" t="n">
        <v>46013</v>
      </c>
      <c r="C71" s="3" t="inlineStr">
        <is>
          <t>Home &amp; Lifestyle</t>
        </is>
      </c>
      <c r="D71" s="3" t="inlineStr">
        <is>
          <t>Backpacks</t>
        </is>
      </c>
      <c r="E71" s="3" t="inlineStr">
        <is>
          <t>Western</t>
        </is>
      </c>
      <c r="F71" s="3" t="inlineStr">
        <is>
          <t>Online</t>
        </is>
      </c>
      <c r="G71" s="3" t="inlineStr">
        <is>
          <t>Returning</t>
        </is>
      </c>
      <c r="H71" s="3" t="n">
        <v>2</v>
      </c>
      <c r="I71" s="8" t="n">
        <v>90</v>
      </c>
      <c r="J71" s="8" t="n">
        <v>48.31</v>
      </c>
      <c r="K71" s="9" t="n">
        <v>0</v>
      </c>
      <c r="L71" s="8" t="n">
        <v>24.69</v>
      </c>
      <c r="M71" s="8">
        <f>H71*I71*(1-K71)</f>
        <v/>
      </c>
      <c r="N71" s="8">
        <f>H71*J71</f>
        <v/>
      </c>
      <c r="O71" s="8">
        <f>M71-N71-L71</f>
        <v/>
      </c>
      <c r="P71" s="10">
        <f>IFERROR(O71/M71,0)</f>
        <v/>
      </c>
      <c r="Q71" s="3">
        <f>IF(H71&lt;=0,"Review: quantity &lt;= 0",IF(K71&gt;0.3,"Review: discount &gt; 30%",IF(G71="","Review: missing customer type","OK")))</f>
        <v/>
      </c>
    </row>
    <row r="72">
      <c r="A72" s="3" t="inlineStr">
        <is>
          <t>ORD-10071</t>
        </is>
      </c>
      <c r="B72" s="7" t="n">
        <v>45973</v>
      </c>
      <c r="C72" s="3" t="inlineStr">
        <is>
          <t>Clothing</t>
        </is>
      </c>
      <c r="D72" s="3" t="inlineStr">
        <is>
          <t>Dresses</t>
        </is>
      </c>
      <c r="E72" s="3" t="inlineStr">
        <is>
          <t>Ashanti</t>
        </is>
      </c>
      <c r="F72" s="3" t="inlineStr">
        <is>
          <t>Phone/WhatsApp</t>
        </is>
      </c>
      <c r="G72" s="3" t="inlineStr">
        <is>
          <t>Returning</t>
        </is>
      </c>
      <c r="H72" s="3" t="n">
        <v>1</v>
      </c>
      <c r="I72" s="8" t="n">
        <v>145</v>
      </c>
      <c r="J72" s="8" t="n">
        <v>67.20999999999999</v>
      </c>
      <c r="K72" s="9" t="n">
        <v>0.1</v>
      </c>
      <c r="L72" s="8" t="n">
        <v>34.65</v>
      </c>
      <c r="M72" s="8">
        <f>H72*I72*(1-K72)</f>
        <v/>
      </c>
      <c r="N72" s="8">
        <f>H72*J72</f>
        <v/>
      </c>
      <c r="O72" s="8">
        <f>M72-N72-L72</f>
        <v/>
      </c>
      <c r="P72" s="10">
        <f>IFERROR(O72/M72,0)</f>
        <v/>
      </c>
      <c r="Q72" s="3">
        <f>IF(H72&lt;=0,"Review: quantity &lt;= 0",IF(K72&gt;0.3,"Review: discount &gt; 30%",IF(G72="","Review: missing customer type","OK")))</f>
        <v/>
      </c>
    </row>
    <row r="73">
      <c r="A73" s="3" t="inlineStr">
        <is>
          <t>ORD-10072</t>
        </is>
      </c>
      <c r="B73" s="7" t="n">
        <v>45947</v>
      </c>
      <c r="C73" s="3" t="inlineStr">
        <is>
          <t>Clothing</t>
        </is>
      </c>
      <c r="D73" s="3" t="inlineStr">
        <is>
          <t>Shirts</t>
        </is>
      </c>
      <c r="E73" s="3" t="inlineStr">
        <is>
          <t>Greater Accra</t>
        </is>
      </c>
      <c r="F73" s="3" t="inlineStr">
        <is>
          <t>Retail Shop</t>
        </is>
      </c>
      <c r="G73" s="3" t="inlineStr">
        <is>
          <t>New</t>
        </is>
      </c>
      <c r="H73" s="3" t="n">
        <v>4</v>
      </c>
      <c r="I73" s="8" t="n">
        <v>155</v>
      </c>
      <c r="J73" s="8" t="n">
        <v>71.09</v>
      </c>
      <c r="K73" s="9" t="n">
        <v>0</v>
      </c>
      <c r="L73" s="8" t="n">
        <v>6.87</v>
      </c>
      <c r="M73" s="8">
        <f>H73*I73*(1-K73)</f>
        <v/>
      </c>
      <c r="N73" s="8">
        <f>H73*J73</f>
        <v/>
      </c>
      <c r="O73" s="8">
        <f>M73-N73-L73</f>
        <v/>
      </c>
      <c r="P73" s="10">
        <f>IFERROR(O73/M73,0)</f>
        <v/>
      </c>
      <c r="Q73" s="3">
        <f>IF(H73&lt;=0,"Review: quantity &lt;= 0",IF(K73&gt;0.3,"Review: discount &gt; 30%",IF(G73="","Review: missing customer type","OK")))</f>
        <v/>
      </c>
    </row>
    <row r="74">
      <c r="A74" s="3" t="inlineStr">
        <is>
          <t>ORD-10073</t>
        </is>
      </c>
      <c r="B74" s="7" t="n">
        <v>45961</v>
      </c>
      <c r="C74" s="3" t="inlineStr">
        <is>
          <t>Accessories</t>
        </is>
      </c>
      <c r="D74" s="3" t="inlineStr">
        <is>
          <t>Watches</t>
        </is>
      </c>
      <c r="E74" s="3" t="inlineStr">
        <is>
          <t>Greater Accra</t>
        </is>
      </c>
      <c r="F74" s="3" t="inlineStr">
        <is>
          <t>Online</t>
        </is>
      </c>
      <c r="G74" s="3" t="inlineStr">
        <is>
          <t>New</t>
        </is>
      </c>
      <c r="H74" s="3" t="n">
        <v>2</v>
      </c>
      <c r="I74" s="8" t="n">
        <v>130</v>
      </c>
      <c r="J74" s="8" t="n">
        <v>61.14</v>
      </c>
      <c r="K74" s="9" t="n">
        <v>0</v>
      </c>
      <c r="L74" s="8" t="n">
        <v>17.19</v>
      </c>
      <c r="M74" s="8">
        <f>H74*I74*(1-K74)</f>
        <v/>
      </c>
      <c r="N74" s="8">
        <f>H74*J74</f>
        <v/>
      </c>
      <c r="O74" s="8">
        <f>M74-N74-L74</f>
        <v/>
      </c>
      <c r="P74" s="10">
        <f>IFERROR(O74/M74,0)</f>
        <v/>
      </c>
      <c r="Q74" s="3">
        <f>IF(H74&lt;=0,"Review: quantity &lt;= 0",IF(K74&gt;0.3,"Review: discount &gt; 30%",IF(G74="","Review: missing customer type","OK")))</f>
        <v/>
      </c>
    </row>
    <row r="75">
      <c r="A75" s="3" t="inlineStr">
        <is>
          <t>ORD-10074</t>
        </is>
      </c>
      <c r="B75" s="7" t="n">
        <v>45799</v>
      </c>
      <c r="C75" s="3" t="inlineStr">
        <is>
          <t>Footwear</t>
        </is>
      </c>
      <c r="D75" s="3" t="inlineStr">
        <is>
          <t>Boots</t>
        </is>
      </c>
      <c r="E75" s="3" t="inlineStr">
        <is>
          <t>Northern</t>
        </is>
      </c>
      <c r="F75" s="3" t="inlineStr">
        <is>
          <t>Phone/WhatsApp</t>
        </is>
      </c>
      <c r="G75" s="3" t="inlineStr">
        <is>
          <t>Returning</t>
        </is>
      </c>
      <c r="H75" s="3" t="n">
        <v>10</v>
      </c>
      <c r="I75" s="8" t="n">
        <v>605</v>
      </c>
      <c r="J75" s="8" t="n">
        <v>329.79</v>
      </c>
      <c r="K75" s="9" t="n">
        <v>0.15</v>
      </c>
      <c r="L75" s="8" t="n">
        <v>11.96</v>
      </c>
      <c r="M75" s="8">
        <f>H75*I75*(1-K75)</f>
        <v/>
      </c>
      <c r="N75" s="8">
        <f>H75*J75</f>
        <v/>
      </c>
      <c r="O75" s="8">
        <f>M75-N75-L75</f>
        <v/>
      </c>
      <c r="P75" s="10">
        <f>IFERROR(O75/M75,0)</f>
        <v/>
      </c>
      <c r="Q75" s="3">
        <f>IF(H75&lt;=0,"Review: quantity &lt;= 0",IF(K75&gt;0.3,"Review: discount &gt; 30%",IF(G75="","Review: missing customer type","OK")))</f>
        <v/>
      </c>
    </row>
    <row r="76">
      <c r="A76" s="3" t="inlineStr">
        <is>
          <t>ORD-10075</t>
        </is>
      </c>
      <c r="B76" s="7" t="n">
        <v>45920</v>
      </c>
      <c r="C76" s="3" t="inlineStr">
        <is>
          <t>Footwear</t>
        </is>
      </c>
      <c r="D76" s="3" t="inlineStr">
        <is>
          <t>Formal Shoes</t>
        </is>
      </c>
      <c r="E76" s="3" t="inlineStr">
        <is>
          <t>Greater Accra</t>
        </is>
      </c>
      <c r="F76" s="3" t="inlineStr">
        <is>
          <t>Retail Shop</t>
        </is>
      </c>
      <c r="G76" s="3" t="inlineStr">
        <is>
          <t>New</t>
        </is>
      </c>
      <c r="H76" s="3" t="n">
        <v>4</v>
      </c>
      <c r="I76" s="8" t="n">
        <v>495</v>
      </c>
      <c r="J76" s="8" t="n">
        <v>268.8</v>
      </c>
      <c r="K76" s="9" t="n">
        <v>0.05</v>
      </c>
      <c r="L76" s="8" t="n">
        <v>3.04</v>
      </c>
      <c r="M76" s="8">
        <f>H76*I76*(1-K76)</f>
        <v/>
      </c>
      <c r="N76" s="8">
        <f>H76*J76</f>
        <v/>
      </c>
      <c r="O76" s="8">
        <f>M76-N76-L76</f>
        <v/>
      </c>
      <c r="P76" s="10">
        <f>IFERROR(O76/M76,0)</f>
        <v/>
      </c>
      <c r="Q76" s="3">
        <f>IF(H76&lt;=0,"Review: quantity &lt;= 0",IF(K76&gt;0.3,"Review: discount &gt; 30%",IF(G76="","Review: missing customer type","OK")))</f>
        <v/>
      </c>
    </row>
    <row r="77">
      <c r="A77" s="3" t="inlineStr">
        <is>
          <t>ORD-10076</t>
        </is>
      </c>
      <c r="B77" s="7" t="n">
        <v>45703</v>
      </c>
      <c r="C77" s="3" t="inlineStr">
        <is>
          <t>Accessories</t>
        </is>
      </c>
      <c r="D77" s="3" t="inlineStr">
        <is>
          <t>Belts</t>
        </is>
      </c>
      <c r="E77" s="3" t="inlineStr">
        <is>
          <t>Central</t>
        </is>
      </c>
      <c r="F77" s="3" t="inlineStr">
        <is>
          <t>Retail Shop</t>
        </is>
      </c>
      <c r="G77" s="3" t="inlineStr">
        <is>
          <t>New</t>
        </is>
      </c>
      <c r="H77" s="3" t="n">
        <v>1</v>
      </c>
      <c r="I77" s="8" t="n">
        <v>115</v>
      </c>
      <c r="J77" s="8" t="n">
        <v>57.16</v>
      </c>
      <c r="K77" s="9" t="n">
        <v>0</v>
      </c>
      <c r="L77" s="8" t="n">
        <v>1.22</v>
      </c>
      <c r="M77" s="8">
        <f>H77*I77*(1-K77)</f>
        <v/>
      </c>
      <c r="N77" s="8">
        <f>H77*J77</f>
        <v/>
      </c>
      <c r="O77" s="8">
        <f>M77-N77-L77</f>
        <v/>
      </c>
      <c r="P77" s="10">
        <f>IFERROR(O77/M77,0)</f>
        <v/>
      </c>
      <c r="Q77" s="3">
        <f>IF(H77&lt;=0,"Review: quantity &lt;= 0",IF(K77&gt;0.3,"Review: discount &gt; 30%",IF(G77="","Review: missing customer type","OK")))</f>
        <v/>
      </c>
    </row>
    <row r="78">
      <c r="A78" s="3" t="inlineStr">
        <is>
          <t>ORD-10077</t>
        </is>
      </c>
      <c r="B78" s="7" t="n">
        <v>45911</v>
      </c>
      <c r="C78" s="3" t="inlineStr">
        <is>
          <t>Footwear</t>
        </is>
      </c>
      <c r="D78" s="3" t="inlineStr">
        <is>
          <t>Sneakers</t>
        </is>
      </c>
      <c r="E78" s="3" t="inlineStr">
        <is>
          <t>Ashanti</t>
        </is>
      </c>
      <c r="F78" s="3" t="inlineStr">
        <is>
          <t>Retail Shop</t>
        </is>
      </c>
      <c r="G78" s="3" t="inlineStr">
        <is>
          <t>Returning</t>
        </is>
      </c>
      <c r="H78" s="3" t="n">
        <v>5</v>
      </c>
      <c r="I78" s="8" t="n">
        <v>265</v>
      </c>
      <c r="J78" s="8" t="n">
        <v>139.15</v>
      </c>
      <c r="K78" s="9" t="n">
        <v>0</v>
      </c>
      <c r="L78" s="8" t="n">
        <v>2.28</v>
      </c>
      <c r="M78" s="8">
        <f>H78*I78*(1-K78)</f>
        <v/>
      </c>
      <c r="N78" s="8">
        <f>H78*J78</f>
        <v/>
      </c>
      <c r="O78" s="8">
        <f>M78-N78-L78</f>
        <v/>
      </c>
      <c r="P78" s="10">
        <f>IFERROR(O78/M78,0)</f>
        <v/>
      </c>
      <c r="Q78" s="3">
        <f>IF(H78&lt;=0,"Review: quantity &lt;= 0",IF(K78&gt;0.3,"Review: discount &gt; 30%",IF(G78="","Review: missing customer type","OK")))</f>
        <v/>
      </c>
    </row>
    <row r="79">
      <c r="A79" s="3" t="inlineStr">
        <is>
          <t>ORD-10078</t>
        </is>
      </c>
      <c r="B79" s="7" t="n">
        <v>45768</v>
      </c>
      <c r="C79" s="3" t="inlineStr">
        <is>
          <t>Footwear</t>
        </is>
      </c>
      <c r="D79" s="3" t="inlineStr">
        <is>
          <t>Sneakers</t>
        </is>
      </c>
      <c r="E79" s="3" t="inlineStr">
        <is>
          <t>Ashanti</t>
        </is>
      </c>
      <c r="F79" s="3" t="inlineStr">
        <is>
          <t>Retail Shop</t>
        </is>
      </c>
      <c r="G79" s="3" t="inlineStr">
        <is>
          <t>New</t>
        </is>
      </c>
      <c r="H79" s="3" t="n">
        <v>3</v>
      </c>
      <c r="I79" s="8" t="n">
        <v>600</v>
      </c>
      <c r="J79" s="8" t="n">
        <v>315.9</v>
      </c>
      <c r="K79" s="9" t="n">
        <v>0.1</v>
      </c>
      <c r="L79" s="8" t="n">
        <v>1.96</v>
      </c>
      <c r="M79" s="8">
        <f>H79*I79*(1-K79)</f>
        <v/>
      </c>
      <c r="N79" s="8">
        <f>H79*J79</f>
        <v/>
      </c>
      <c r="O79" s="8">
        <f>M79-N79-L79</f>
        <v/>
      </c>
      <c r="P79" s="10">
        <f>IFERROR(O79/M79,0)</f>
        <v/>
      </c>
      <c r="Q79" s="3">
        <f>IF(H79&lt;=0,"Review: quantity &lt;= 0",IF(K79&gt;0.3,"Review: discount &gt; 30%",IF(G79="","Review: missing customer type","OK")))</f>
        <v/>
      </c>
    </row>
    <row r="80">
      <c r="A80" s="3" t="inlineStr">
        <is>
          <t>ORD-10079</t>
        </is>
      </c>
      <c r="B80" s="7" t="n">
        <v>45979</v>
      </c>
      <c r="C80" s="3" t="inlineStr">
        <is>
          <t>Clothing</t>
        </is>
      </c>
      <c r="D80" s="3" t="inlineStr">
        <is>
          <t>Dresses</t>
        </is>
      </c>
      <c r="E80" s="3" t="inlineStr">
        <is>
          <t>Ashanti</t>
        </is>
      </c>
      <c r="F80" s="3" t="inlineStr">
        <is>
          <t>Online</t>
        </is>
      </c>
      <c r="G80" s="3" t="inlineStr">
        <is>
          <t>Returning</t>
        </is>
      </c>
      <c r="H80" s="3" t="n">
        <v>3</v>
      </c>
      <c r="I80" s="8" t="n">
        <v>140</v>
      </c>
      <c r="J80" s="8" t="n">
        <v>68.81</v>
      </c>
      <c r="K80" s="9" t="n">
        <v>0.1</v>
      </c>
      <c r="L80" s="8" t="n">
        <v>14.8</v>
      </c>
      <c r="M80" s="8">
        <f>H80*I80*(1-K80)</f>
        <v/>
      </c>
      <c r="N80" s="8">
        <f>H80*J80</f>
        <v/>
      </c>
      <c r="O80" s="8">
        <f>M80-N80-L80</f>
        <v/>
      </c>
      <c r="P80" s="10">
        <f>IFERROR(O80/M80,0)</f>
        <v/>
      </c>
      <c r="Q80" s="3">
        <f>IF(H80&lt;=0,"Review: quantity &lt;= 0",IF(K80&gt;0.3,"Review: discount &gt; 30%",IF(G80="","Review: missing customer type","OK")))</f>
        <v/>
      </c>
    </row>
    <row r="81">
      <c r="A81" s="3" t="inlineStr">
        <is>
          <t>ORD-10080</t>
        </is>
      </c>
      <c r="B81" s="7" t="n">
        <v>45701</v>
      </c>
      <c r="C81" s="3" t="inlineStr">
        <is>
          <t>Footwear</t>
        </is>
      </c>
      <c r="D81" s="3" t="inlineStr">
        <is>
          <t>Boots</t>
        </is>
      </c>
      <c r="E81" s="3" t="inlineStr">
        <is>
          <t>Greater Accra</t>
        </is>
      </c>
      <c r="F81" s="3" t="inlineStr">
        <is>
          <t>Retail Shop</t>
        </is>
      </c>
      <c r="G81" s="3" t="inlineStr">
        <is>
          <t>Returning</t>
        </is>
      </c>
      <c r="H81" s="3" t="n">
        <v>10</v>
      </c>
      <c r="I81" s="8" t="n">
        <v>290</v>
      </c>
      <c r="J81" s="8" t="n">
        <v>180.76</v>
      </c>
      <c r="K81" s="9" t="n">
        <v>0.15</v>
      </c>
      <c r="L81" s="8" t="n">
        <v>11.19</v>
      </c>
      <c r="M81" s="8">
        <f>H81*I81*(1-K81)</f>
        <v/>
      </c>
      <c r="N81" s="8">
        <f>H81*J81</f>
        <v/>
      </c>
      <c r="O81" s="8">
        <f>M81-N81-L81</f>
        <v/>
      </c>
      <c r="P81" s="10">
        <f>IFERROR(O81/M81,0)</f>
        <v/>
      </c>
      <c r="Q81" s="3">
        <f>IF(H81&lt;=0,"Review: quantity &lt;= 0",IF(K81&gt;0.3,"Review: discount &gt; 30%",IF(G81="","Review: missing customer type","OK")))</f>
        <v/>
      </c>
    </row>
    <row r="82">
      <c r="A82" s="3" t="inlineStr">
        <is>
          <t>ORD-10081</t>
        </is>
      </c>
      <c r="B82" s="7" t="n">
        <v>45949</v>
      </c>
      <c r="C82" s="3" t="inlineStr">
        <is>
          <t>Clothing</t>
        </is>
      </c>
      <c r="D82" s="3" t="inlineStr">
        <is>
          <t>Jackets</t>
        </is>
      </c>
      <c r="E82" s="3" t="inlineStr">
        <is>
          <t>Ashanti</t>
        </is>
      </c>
      <c r="F82" s="3" t="inlineStr">
        <is>
          <t>Online</t>
        </is>
      </c>
      <c r="G82" s="3" t="inlineStr">
        <is>
          <t>Returning</t>
        </is>
      </c>
      <c r="H82" s="3" t="n">
        <v>1</v>
      </c>
      <c r="I82" s="8" t="n">
        <v>165</v>
      </c>
      <c r="J82" s="8" t="n">
        <v>87.02</v>
      </c>
      <c r="K82" s="9" t="n">
        <v>0.05</v>
      </c>
      <c r="L82" s="8" t="n">
        <v>14.4</v>
      </c>
      <c r="M82" s="8">
        <f>H82*I82*(1-K82)</f>
        <v/>
      </c>
      <c r="N82" s="8">
        <f>H82*J82</f>
        <v/>
      </c>
      <c r="O82" s="8">
        <f>M82-N82-L82</f>
        <v/>
      </c>
      <c r="P82" s="10">
        <f>IFERROR(O82/M82,0)</f>
        <v/>
      </c>
      <c r="Q82" s="3">
        <f>IF(H82&lt;=0,"Review: quantity &lt;= 0",IF(K82&gt;0.3,"Review: discount &gt; 30%",IF(G82="","Review: missing customer type","OK")))</f>
        <v/>
      </c>
    </row>
    <row r="83">
      <c r="A83" s="3" t="inlineStr">
        <is>
          <t>ORD-10082</t>
        </is>
      </c>
      <c r="B83" s="7" t="n">
        <v>45976</v>
      </c>
      <c r="C83" s="3" t="inlineStr">
        <is>
          <t>Footwear</t>
        </is>
      </c>
      <c r="D83" s="3" t="inlineStr">
        <is>
          <t>Boots</t>
        </is>
      </c>
      <c r="E83" s="3" t="inlineStr">
        <is>
          <t>Western</t>
        </is>
      </c>
      <c r="F83" s="3" t="inlineStr">
        <is>
          <t>Phone/WhatsApp</t>
        </is>
      </c>
      <c r="G83" s="3" t="inlineStr">
        <is>
          <t>Returning</t>
        </is>
      </c>
      <c r="H83" s="3" t="n">
        <v>5</v>
      </c>
      <c r="I83" s="8" t="n">
        <v>230</v>
      </c>
      <c r="J83" s="8" t="n">
        <v>120.12</v>
      </c>
      <c r="K83" s="9" t="n">
        <v>0.05</v>
      </c>
      <c r="L83" s="8" t="n">
        <v>32.14</v>
      </c>
      <c r="M83" s="8">
        <f>H83*I83*(1-K83)</f>
        <v/>
      </c>
      <c r="N83" s="8">
        <f>H83*J83</f>
        <v/>
      </c>
      <c r="O83" s="8">
        <f>M83-N83-L83</f>
        <v/>
      </c>
      <c r="P83" s="10">
        <f>IFERROR(O83/M83,0)</f>
        <v/>
      </c>
      <c r="Q83" s="3">
        <f>IF(H83&lt;=0,"Review: quantity &lt;= 0",IF(K83&gt;0.3,"Review: discount &gt; 30%",IF(G83="","Review: missing customer type","OK")))</f>
        <v/>
      </c>
    </row>
    <row r="84">
      <c r="A84" s="3" t="inlineStr">
        <is>
          <t>ORD-10083</t>
        </is>
      </c>
      <c r="B84" s="7" t="n">
        <v>45928</v>
      </c>
      <c r="C84" s="3" t="inlineStr">
        <is>
          <t>Clothing</t>
        </is>
      </c>
      <c r="D84" s="3" t="inlineStr">
        <is>
          <t>Trousers</t>
        </is>
      </c>
      <c r="E84" s="3" t="inlineStr">
        <is>
          <t>Ashanti</t>
        </is>
      </c>
      <c r="F84" s="3" t="inlineStr">
        <is>
          <t>Phone/WhatsApp</t>
        </is>
      </c>
      <c r="G84" s="3" t="inlineStr">
        <is>
          <t>New</t>
        </is>
      </c>
      <c r="H84" s="3" t="n">
        <v>1</v>
      </c>
      <c r="I84" s="8" t="n">
        <v>185</v>
      </c>
      <c r="J84" s="8" t="n">
        <v>104.79</v>
      </c>
      <c r="K84" s="9" t="n">
        <v>0.05</v>
      </c>
      <c r="L84" s="8" t="n">
        <v>35.29</v>
      </c>
      <c r="M84" s="8">
        <f>H84*I84*(1-K84)</f>
        <v/>
      </c>
      <c r="N84" s="8">
        <f>H84*J84</f>
        <v/>
      </c>
      <c r="O84" s="8">
        <f>M84-N84-L84</f>
        <v/>
      </c>
      <c r="P84" s="10">
        <f>IFERROR(O84/M84,0)</f>
        <v/>
      </c>
      <c r="Q84" s="3">
        <f>IF(H84&lt;=0,"Review: quantity &lt;= 0",IF(K84&gt;0.3,"Review: discount &gt; 30%",IF(G84="","Review: missing customer type","OK")))</f>
        <v/>
      </c>
    </row>
    <row r="85">
      <c r="A85" s="3" t="inlineStr">
        <is>
          <t>ORD-10084</t>
        </is>
      </c>
      <c r="B85" s="7" t="n">
        <v>45682</v>
      </c>
      <c r="C85" s="3" t="inlineStr">
        <is>
          <t>Footwear</t>
        </is>
      </c>
      <c r="D85" s="3" t="inlineStr">
        <is>
          <t>Sneakers</t>
        </is>
      </c>
      <c r="E85" s="3" t="inlineStr">
        <is>
          <t>Ashanti</t>
        </is>
      </c>
      <c r="F85" s="3" t="inlineStr">
        <is>
          <t>Online</t>
        </is>
      </c>
      <c r="G85" s="3" t="inlineStr">
        <is>
          <t>Returning</t>
        </is>
      </c>
      <c r="H85" s="3" t="n">
        <v>1</v>
      </c>
      <c r="I85" s="8" t="n">
        <v>375</v>
      </c>
      <c r="J85" s="8" t="n">
        <v>195.3</v>
      </c>
      <c r="K85" s="9" t="n">
        <v>0</v>
      </c>
      <c r="L85" s="8" t="n">
        <v>30.61</v>
      </c>
      <c r="M85" s="8">
        <f>H85*I85*(1-K85)</f>
        <v/>
      </c>
      <c r="N85" s="8">
        <f>H85*J85</f>
        <v/>
      </c>
      <c r="O85" s="8">
        <f>M85-N85-L85</f>
        <v/>
      </c>
      <c r="P85" s="10">
        <f>IFERROR(O85/M85,0)</f>
        <v/>
      </c>
      <c r="Q85" s="3">
        <f>IF(H85&lt;=0,"Review: quantity &lt;= 0",IF(K85&gt;0.3,"Review: discount &gt; 30%",IF(G85="","Review: missing customer type","OK")))</f>
        <v/>
      </c>
    </row>
    <row r="86">
      <c r="A86" s="3" t="inlineStr">
        <is>
          <t>ORD-10085</t>
        </is>
      </c>
      <c r="B86" s="7" t="n">
        <v>45853</v>
      </c>
      <c r="C86" s="3" t="inlineStr">
        <is>
          <t>Footwear</t>
        </is>
      </c>
      <c r="D86" s="3" t="inlineStr">
        <is>
          <t>Sneakers</t>
        </is>
      </c>
      <c r="E86" s="3" t="inlineStr">
        <is>
          <t>Central</t>
        </is>
      </c>
      <c r="F86" s="3" t="inlineStr">
        <is>
          <t>Retail Shop</t>
        </is>
      </c>
      <c r="G86" s="3" t="inlineStr">
        <is>
          <t>Returning</t>
        </is>
      </c>
      <c r="H86" s="3" t="n">
        <v>1</v>
      </c>
      <c r="I86" s="8" t="n">
        <v>355</v>
      </c>
      <c r="J86" s="8" t="n">
        <v>178.43</v>
      </c>
      <c r="K86" s="9" t="n">
        <v>0</v>
      </c>
      <c r="L86" s="8" t="n">
        <v>4.9</v>
      </c>
      <c r="M86" s="8">
        <f>H86*I86*(1-K86)</f>
        <v/>
      </c>
      <c r="N86" s="8">
        <f>H86*J86</f>
        <v/>
      </c>
      <c r="O86" s="8">
        <f>M86-N86-L86</f>
        <v/>
      </c>
      <c r="P86" s="10">
        <f>IFERROR(O86/M86,0)</f>
        <v/>
      </c>
      <c r="Q86" s="3">
        <f>IF(H86&lt;=0,"Review: quantity &lt;= 0",IF(K86&gt;0.3,"Review: discount &gt; 30%",IF(G86="","Review: missing customer type","OK")))</f>
        <v/>
      </c>
    </row>
    <row r="87">
      <c r="A87" s="3" t="inlineStr">
        <is>
          <t>ORD-10086</t>
        </is>
      </c>
      <c r="B87" s="7" t="n">
        <v>45668</v>
      </c>
      <c r="C87" s="3" t="inlineStr">
        <is>
          <t>Home &amp; Lifestyle</t>
        </is>
      </c>
      <c r="D87" s="3" t="inlineStr">
        <is>
          <t>Wallets</t>
        </is>
      </c>
      <c r="E87" s="3" t="inlineStr">
        <is>
          <t>Western</t>
        </is>
      </c>
      <c r="F87" s="3" t="inlineStr">
        <is>
          <t>Online</t>
        </is>
      </c>
      <c r="G87" s="3" t="inlineStr">
        <is>
          <t>Returning</t>
        </is>
      </c>
      <c r="H87" s="3" t="n">
        <v>1</v>
      </c>
      <c r="I87" s="8" t="n">
        <v>235</v>
      </c>
      <c r="J87" s="8" t="n">
        <v>124.97</v>
      </c>
      <c r="K87" s="9" t="n">
        <v>0</v>
      </c>
      <c r="L87" s="8" t="n">
        <v>40.35</v>
      </c>
      <c r="M87" s="8">
        <f>H87*I87*(1-K87)</f>
        <v/>
      </c>
      <c r="N87" s="8">
        <f>H87*J87</f>
        <v/>
      </c>
      <c r="O87" s="8">
        <f>M87-N87-L87</f>
        <v/>
      </c>
      <c r="P87" s="10">
        <f>IFERROR(O87/M87,0)</f>
        <v/>
      </c>
      <c r="Q87" s="3">
        <f>IF(H87&lt;=0,"Review: quantity &lt;= 0",IF(K87&gt;0.3,"Review: discount &gt; 30%",IF(G87="","Review: missing customer type","OK")))</f>
        <v/>
      </c>
    </row>
    <row r="88">
      <c r="A88" s="3" t="inlineStr">
        <is>
          <t>ORD-10087</t>
        </is>
      </c>
      <c r="B88" s="7" t="n">
        <v>45842</v>
      </c>
      <c r="C88" s="3" t="inlineStr">
        <is>
          <t>Footwear</t>
        </is>
      </c>
      <c r="D88" s="3" t="inlineStr">
        <is>
          <t>Formal Shoes</t>
        </is>
      </c>
      <c r="E88" s="3" t="inlineStr">
        <is>
          <t>Greater Accra</t>
        </is>
      </c>
      <c r="F88" s="3" t="inlineStr">
        <is>
          <t>Retail Shop</t>
        </is>
      </c>
      <c r="G88" s="3" t="inlineStr">
        <is>
          <t>New</t>
        </is>
      </c>
      <c r="H88" s="3" t="n">
        <v>1</v>
      </c>
      <c r="I88" s="8" t="n">
        <v>255</v>
      </c>
      <c r="J88" s="8" t="n">
        <v>130.37</v>
      </c>
      <c r="K88" s="9" t="n">
        <v>0</v>
      </c>
      <c r="L88" s="8" t="n">
        <v>1.51</v>
      </c>
      <c r="M88" s="8">
        <f>H88*I88*(1-K88)</f>
        <v/>
      </c>
      <c r="N88" s="8">
        <f>H88*J88</f>
        <v/>
      </c>
      <c r="O88" s="8">
        <f>M88-N88-L88</f>
        <v/>
      </c>
      <c r="P88" s="10">
        <f>IFERROR(O88/M88,0)</f>
        <v/>
      </c>
      <c r="Q88" s="3">
        <f>IF(H88&lt;=0,"Review: quantity &lt;= 0",IF(K88&gt;0.3,"Review: discount &gt; 30%",IF(G88="","Review: missing customer type","OK")))</f>
        <v/>
      </c>
    </row>
    <row r="89">
      <c r="A89" s="3" t="inlineStr">
        <is>
          <t>ORD-10088</t>
        </is>
      </c>
      <c r="B89" s="7" t="n">
        <v>45836</v>
      </c>
      <c r="C89" s="3" t="inlineStr">
        <is>
          <t>Home &amp; Lifestyle</t>
        </is>
      </c>
      <c r="D89" s="3" t="inlineStr">
        <is>
          <t>Small Home Goods</t>
        </is>
      </c>
      <c r="E89" s="3" t="inlineStr">
        <is>
          <t>Central</t>
        </is>
      </c>
      <c r="F89" s="3" t="inlineStr">
        <is>
          <t>Retail Shop</t>
        </is>
      </c>
      <c r="G89" s="3" t="inlineStr">
        <is>
          <t>New</t>
        </is>
      </c>
      <c r="H89" s="3" t="n">
        <v>1</v>
      </c>
      <c r="I89" s="8" t="n">
        <v>100</v>
      </c>
      <c r="J89" s="8" t="n">
        <v>51.95</v>
      </c>
      <c r="K89" s="9" t="n">
        <v>0.05</v>
      </c>
      <c r="L89" s="8" t="n">
        <v>6.43</v>
      </c>
      <c r="M89" s="8">
        <f>H89*I89*(1-K89)</f>
        <v/>
      </c>
      <c r="N89" s="8">
        <f>H89*J89</f>
        <v/>
      </c>
      <c r="O89" s="8">
        <f>M89-N89-L89</f>
        <v/>
      </c>
      <c r="P89" s="10">
        <f>IFERROR(O89/M89,0)</f>
        <v/>
      </c>
      <c r="Q89" s="3">
        <f>IF(H89&lt;=0,"Review: quantity &lt;= 0",IF(K89&gt;0.3,"Review: discount &gt; 30%",IF(G89="","Review: missing customer type","OK")))</f>
        <v/>
      </c>
    </row>
    <row r="90">
      <c r="A90" s="3" t="inlineStr">
        <is>
          <t>ORD-10089</t>
        </is>
      </c>
      <c r="B90" s="7" t="n">
        <v>45787</v>
      </c>
      <c r="C90" s="3" t="inlineStr">
        <is>
          <t>Accessories</t>
        </is>
      </c>
      <c r="D90" s="3" t="inlineStr">
        <is>
          <t>Watches</t>
        </is>
      </c>
      <c r="E90" s="3" t="inlineStr">
        <is>
          <t>Greater Accra</t>
        </is>
      </c>
      <c r="F90" s="3" t="inlineStr">
        <is>
          <t>Retail Shop</t>
        </is>
      </c>
      <c r="G90" s="3" t="inlineStr">
        <is>
          <t>New</t>
        </is>
      </c>
      <c r="H90" s="3" t="n">
        <v>1</v>
      </c>
      <c r="I90" s="8" t="n">
        <v>155</v>
      </c>
      <c r="J90" s="8" t="n">
        <v>78.73999999999999</v>
      </c>
      <c r="K90" s="9" t="n">
        <v>0.1</v>
      </c>
      <c r="L90" s="8" t="n">
        <v>2.6</v>
      </c>
      <c r="M90" s="8">
        <f>H90*I90*(1-K90)</f>
        <v/>
      </c>
      <c r="N90" s="8">
        <f>H90*J90</f>
        <v/>
      </c>
      <c r="O90" s="8">
        <f>M90-N90-L90</f>
        <v/>
      </c>
      <c r="P90" s="10">
        <f>IFERROR(O90/M90,0)</f>
        <v/>
      </c>
      <c r="Q90" s="3">
        <f>IF(H90&lt;=0,"Review: quantity &lt;= 0",IF(K90&gt;0.3,"Review: discount &gt; 30%",IF(G90="","Review: missing customer type","OK")))</f>
        <v/>
      </c>
    </row>
    <row r="91">
      <c r="A91" s="3" t="inlineStr">
        <is>
          <t>ORD-10090</t>
        </is>
      </c>
      <c r="B91" s="7" t="n">
        <v>45882</v>
      </c>
      <c r="C91" s="3" t="inlineStr">
        <is>
          <t>Footwear</t>
        </is>
      </c>
      <c r="D91" s="3" t="inlineStr">
        <is>
          <t>Formal Shoes</t>
        </is>
      </c>
      <c r="E91" s="3" t="inlineStr">
        <is>
          <t>Northern</t>
        </is>
      </c>
      <c r="F91" s="3" t="inlineStr">
        <is>
          <t>Retail Shop</t>
        </is>
      </c>
      <c r="G91" s="3" t="inlineStr">
        <is>
          <t>Returning</t>
        </is>
      </c>
      <c r="H91" s="3" t="n">
        <v>5</v>
      </c>
      <c r="I91" s="8" t="n">
        <v>360</v>
      </c>
      <c r="J91" s="8" t="n">
        <v>221.79</v>
      </c>
      <c r="K91" s="9" t="n">
        <v>0</v>
      </c>
      <c r="L91" s="8" t="n">
        <v>4.15</v>
      </c>
      <c r="M91" s="8">
        <f>H91*I91*(1-K91)</f>
        <v/>
      </c>
      <c r="N91" s="8">
        <f>H91*J91</f>
        <v/>
      </c>
      <c r="O91" s="8">
        <f>M91-N91-L91</f>
        <v/>
      </c>
      <c r="P91" s="10">
        <f>IFERROR(O91/M91,0)</f>
        <v/>
      </c>
      <c r="Q91" s="3">
        <f>IF(H91&lt;=0,"Review: quantity &lt;= 0",IF(K91&gt;0.3,"Review: discount &gt; 30%",IF(G91="","Review: missing customer type","OK")))</f>
        <v/>
      </c>
    </row>
    <row r="92">
      <c r="A92" s="3" t="inlineStr">
        <is>
          <t>ORD-10091</t>
        </is>
      </c>
      <c r="B92" s="7" t="n">
        <v>45698</v>
      </c>
      <c r="C92" s="3" t="inlineStr">
        <is>
          <t>Accessories</t>
        </is>
      </c>
      <c r="D92" s="3" t="inlineStr">
        <is>
          <t>Belts</t>
        </is>
      </c>
      <c r="E92" s="3" t="inlineStr">
        <is>
          <t>Greater Accra</t>
        </is>
      </c>
      <c r="F92" s="3" t="inlineStr">
        <is>
          <t>Retail Shop</t>
        </is>
      </c>
      <c r="G92" s="3" t="inlineStr">
        <is>
          <t>Returning</t>
        </is>
      </c>
      <c r="H92" s="3" t="n">
        <v>3</v>
      </c>
      <c r="I92" s="8" t="n">
        <v>75</v>
      </c>
      <c r="J92" s="8" t="n">
        <v>34.69</v>
      </c>
      <c r="K92" s="9" t="n">
        <v>0</v>
      </c>
      <c r="L92" s="8" t="n">
        <v>3.18</v>
      </c>
      <c r="M92" s="8">
        <f>H92*I92*(1-K92)</f>
        <v/>
      </c>
      <c r="N92" s="8">
        <f>H92*J92</f>
        <v/>
      </c>
      <c r="O92" s="8">
        <f>M92-N92-L92</f>
        <v/>
      </c>
      <c r="P92" s="10">
        <f>IFERROR(O92/M92,0)</f>
        <v/>
      </c>
      <c r="Q92" s="3">
        <f>IF(H92&lt;=0,"Review: quantity &lt;= 0",IF(K92&gt;0.3,"Review: discount &gt; 30%",IF(G92="","Review: missing customer type","OK")))</f>
        <v/>
      </c>
    </row>
    <row r="93">
      <c r="A93" s="3" t="inlineStr">
        <is>
          <t>ORD-10092</t>
        </is>
      </c>
      <c r="B93" s="7" t="n">
        <v>45852</v>
      </c>
      <c r="C93" s="3" t="inlineStr">
        <is>
          <t>Footwear</t>
        </is>
      </c>
      <c r="D93" s="3" t="inlineStr">
        <is>
          <t>Boots</t>
        </is>
      </c>
      <c r="E93" s="3" t="inlineStr">
        <is>
          <t>Ashanti</t>
        </is>
      </c>
      <c r="F93" s="3" t="inlineStr">
        <is>
          <t>Retail Shop</t>
        </is>
      </c>
      <c r="G93" s="3" t="inlineStr">
        <is>
          <t>Returning</t>
        </is>
      </c>
      <c r="H93" s="3" t="n">
        <v>2</v>
      </c>
      <c r="I93" s="8" t="n">
        <v>435</v>
      </c>
      <c r="J93" s="8" t="n">
        <v>227.45</v>
      </c>
      <c r="K93" s="9" t="n">
        <v>0.05</v>
      </c>
      <c r="L93" s="8" t="n">
        <v>4.2</v>
      </c>
      <c r="M93" s="8">
        <f>H93*I93*(1-K93)</f>
        <v/>
      </c>
      <c r="N93" s="8">
        <f>H93*J93</f>
        <v/>
      </c>
      <c r="O93" s="8">
        <f>M93-N93-L93</f>
        <v/>
      </c>
      <c r="P93" s="10">
        <f>IFERROR(O93/M93,0)</f>
        <v/>
      </c>
      <c r="Q93" s="3">
        <f>IF(H93&lt;=0,"Review: quantity &lt;= 0",IF(K93&gt;0.3,"Review: discount &gt; 30%",IF(G93="","Review: missing customer type","OK")))</f>
        <v/>
      </c>
    </row>
    <row r="94">
      <c r="A94" s="3" t="inlineStr">
        <is>
          <t>ORD-10093</t>
        </is>
      </c>
      <c r="B94" s="7" t="n">
        <v>45899</v>
      </c>
      <c r="C94" s="3" t="inlineStr">
        <is>
          <t>Home &amp; Lifestyle</t>
        </is>
      </c>
      <c r="D94" s="3" t="inlineStr">
        <is>
          <t>Backpacks</t>
        </is>
      </c>
      <c r="E94" s="3" t="inlineStr">
        <is>
          <t>Greater Accra</t>
        </is>
      </c>
      <c r="F94" s="3" t="inlineStr">
        <is>
          <t>Retail Shop</t>
        </is>
      </c>
      <c r="G94" s="3" t="inlineStr">
        <is>
          <t>Returning</t>
        </is>
      </c>
      <c r="H94" s="3" t="n">
        <v>3</v>
      </c>
      <c r="I94" s="8" t="n">
        <v>165</v>
      </c>
      <c r="J94" s="8" t="n">
        <v>92.14</v>
      </c>
      <c r="K94" s="9" t="n">
        <v>0.1</v>
      </c>
      <c r="L94" s="8" t="n">
        <v>10.76</v>
      </c>
      <c r="M94" s="8">
        <f>H94*I94*(1-K94)</f>
        <v/>
      </c>
      <c r="N94" s="8">
        <f>H94*J94</f>
        <v/>
      </c>
      <c r="O94" s="8">
        <f>M94-N94-L94</f>
        <v/>
      </c>
      <c r="P94" s="10">
        <f>IFERROR(O94/M94,0)</f>
        <v/>
      </c>
      <c r="Q94" s="3">
        <f>IF(H94&lt;=0,"Review: quantity &lt;= 0",IF(K94&gt;0.3,"Review: discount &gt; 30%",IF(G94="","Review: missing customer type","OK")))</f>
        <v/>
      </c>
    </row>
    <row r="95">
      <c r="A95" s="3" t="inlineStr">
        <is>
          <t>ORD-10094</t>
        </is>
      </c>
      <c r="B95" s="7" t="n">
        <v>45966</v>
      </c>
      <c r="C95" s="3" t="inlineStr">
        <is>
          <t>Accessories</t>
        </is>
      </c>
      <c r="D95" s="3" t="inlineStr">
        <is>
          <t>Sunglasses</t>
        </is>
      </c>
      <c r="E95" s="3" t="inlineStr">
        <is>
          <t>Greater Accra</t>
        </is>
      </c>
      <c r="F95" s="3" t="inlineStr">
        <is>
          <t>Retail Shop</t>
        </is>
      </c>
      <c r="G95" s="3" t="inlineStr">
        <is>
          <t>Returning</t>
        </is>
      </c>
      <c r="H95" s="3" t="n">
        <v>1</v>
      </c>
      <c r="I95" s="8" t="n">
        <v>145</v>
      </c>
      <c r="J95" s="8" t="n">
        <v>73.38</v>
      </c>
      <c r="K95" s="9" t="n">
        <v>0</v>
      </c>
      <c r="L95" s="8" t="n">
        <v>0.86</v>
      </c>
      <c r="M95" s="8">
        <f>H95*I95*(1-K95)</f>
        <v/>
      </c>
      <c r="N95" s="8">
        <f>H95*J95</f>
        <v/>
      </c>
      <c r="O95" s="8">
        <f>M95-N95-L95</f>
        <v/>
      </c>
      <c r="P95" s="10">
        <f>IFERROR(O95/M95,0)</f>
        <v/>
      </c>
      <c r="Q95" s="3">
        <f>IF(H95&lt;=0,"Review: quantity &lt;= 0",IF(K95&gt;0.3,"Review: discount &gt; 30%",IF(G95="","Review: missing customer type","OK")))</f>
        <v/>
      </c>
    </row>
    <row r="96">
      <c r="A96" s="3" t="inlineStr">
        <is>
          <t>ORD-10095</t>
        </is>
      </c>
      <c r="B96" s="7" t="n">
        <v>45764</v>
      </c>
      <c r="C96" s="3" t="inlineStr">
        <is>
          <t>Footwear</t>
        </is>
      </c>
      <c r="D96" s="3" t="inlineStr">
        <is>
          <t>Sandals</t>
        </is>
      </c>
      <c r="E96" s="3" t="inlineStr">
        <is>
          <t>Greater Accra</t>
        </is>
      </c>
      <c r="F96" s="3" t="inlineStr">
        <is>
          <t>Retail Shop</t>
        </is>
      </c>
      <c r="G96" s="3" t="inlineStr">
        <is>
          <t>Returning</t>
        </is>
      </c>
      <c r="H96" s="3" t="n">
        <v>1</v>
      </c>
      <c r="I96" s="8" t="n">
        <v>205</v>
      </c>
      <c r="J96" s="8" t="n">
        <v>112.73</v>
      </c>
      <c r="K96" s="9" t="n">
        <v>0.05</v>
      </c>
      <c r="L96" s="8" t="n">
        <v>9.710000000000001</v>
      </c>
      <c r="M96" s="8">
        <f>H96*I96*(1-K96)</f>
        <v/>
      </c>
      <c r="N96" s="8">
        <f>H96*J96</f>
        <v/>
      </c>
      <c r="O96" s="8">
        <f>M96-N96-L96</f>
        <v/>
      </c>
      <c r="P96" s="10">
        <f>IFERROR(O96/M96,0)</f>
        <v/>
      </c>
      <c r="Q96" s="3">
        <f>IF(H96&lt;=0,"Review: quantity &lt;= 0",IF(K96&gt;0.3,"Review: discount &gt; 30%",IF(G96="","Review: missing customer type","OK")))</f>
        <v/>
      </c>
    </row>
    <row r="97">
      <c r="A97" s="3" t="inlineStr">
        <is>
          <t>ORD-10096</t>
        </is>
      </c>
      <c r="B97" s="7" t="n">
        <v>45886</v>
      </c>
      <c r="C97" s="3" t="inlineStr">
        <is>
          <t>Clothing</t>
        </is>
      </c>
      <c r="D97" s="3" t="inlineStr">
        <is>
          <t>Shirts</t>
        </is>
      </c>
      <c r="E97" s="3" t="inlineStr">
        <is>
          <t>Greater Accra</t>
        </is>
      </c>
      <c r="F97" s="3" t="inlineStr">
        <is>
          <t>Retail Shop</t>
        </is>
      </c>
      <c r="G97" s="3" t="inlineStr">
        <is>
          <t>New</t>
        </is>
      </c>
      <c r="H97" s="3" t="n">
        <v>4</v>
      </c>
      <c r="I97" s="8" t="n">
        <v>240</v>
      </c>
      <c r="J97" s="8" t="n">
        <v>126.37</v>
      </c>
      <c r="K97" s="9" t="n">
        <v>0</v>
      </c>
      <c r="L97" s="8" t="n">
        <v>1.51</v>
      </c>
      <c r="M97" s="8">
        <f>H97*I97*(1-K97)</f>
        <v/>
      </c>
      <c r="N97" s="8">
        <f>H97*J97</f>
        <v/>
      </c>
      <c r="O97" s="8">
        <f>M97-N97-L97</f>
        <v/>
      </c>
      <c r="P97" s="10">
        <f>IFERROR(O97/M97,0)</f>
        <v/>
      </c>
      <c r="Q97" s="3">
        <f>IF(H97&lt;=0,"Review: quantity &lt;= 0",IF(K97&gt;0.3,"Review: discount &gt; 30%",IF(G97="","Review: missing customer type","OK")))</f>
        <v/>
      </c>
    </row>
    <row r="98">
      <c r="A98" s="3" t="inlineStr">
        <is>
          <t>ORD-10097</t>
        </is>
      </c>
      <c r="B98" s="7" t="n">
        <v>45961</v>
      </c>
      <c r="C98" s="3" t="inlineStr">
        <is>
          <t>Home &amp; Lifestyle</t>
        </is>
      </c>
      <c r="D98" s="3" t="inlineStr">
        <is>
          <t>Backpacks</t>
        </is>
      </c>
      <c r="E98" s="3" t="inlineStr">
        <is>
          <t>Central</t>
        </is>
      </c>
      <c r="F98" s="3" t="inlineStr">
        <is>
          <t>Retail Shop</t>
        </is>
      </c>
      <c r="G98" s="3" t="inlineStr">
        <is>
          <t>Returning</t>
        </is>
      </c>
      <c r="H98" s="3" t="n">
        <v>5</v>
      </c>
      <c r="I98" s="8" t="n">
        <v>90</v>
      </c>
      <c r="J98" s="8" t="n">
        <v>51.19</v>
      </c>
      <c r="K98" s="9" t="n">
        <v>0.05</v>
      </c>
      <c r="L98" s="8" t="n">
        <v>8.6</v>
      </c>
      <c r="M98" s="8">
        <f>H98*I98*(1-K98)</f>
        <v/>
      </c>
      <c r="N98" s="8">
        <f>H98*J98</f>
        <v/>
      </c>
      <c r="O98" s="8">
        <f>M98-N98-L98</f>
        <v/>
      </c>
      <c r="P98" s="10">
        <f>IFERROR(O98/M98,0)</f>
        <v/>
      </c>
      <c r="Q98" s="3">
        <f>IF(H98&lt;=0,"Review: quantity &lt;= 0",IF(K98&gt;0.3,"Review: discount &gt; 30%",IF(G98="","Review: missing customer type","OK")))</f>
        <v/>
      </c>
    </row>
    <row r="99">
      <c r="A99" s="3" t="inlineStr">
        <is>
          <t>ORD-10098</t>
        </is>
      </c>
      <c r="B99" s="7" t="n">
        <v>45853</v>
      </c>
      <c r="C99" s="3" t="inlineStr">
        <is>
          <t>Footwear</t>
        </is>
      </c>
      <c r="D99" s="3" t="inlineStr">
        <is>
          <t>Sandals</t>
        </is>
      </c>
      <c r="E99" s="3" t="inlineStr">
        <is>
          <t>Central</t>
        </is>
      </c>
      <c r="F99" s="3" t="inlineStr">
        <is>
          <t>Retail Shop</t>
        </is>
      </c>
      <c r="G99" s="3" t="inlineStr">
        <is>
          <t>Returning</t>
        </is>
      </c>
      <c r="H99" s="3" t="n">
        <v>2</v>
      </c>
      <c r="I99" s="8" t="n">
        <v>345</v>
      </c>
      <c r="J99" s="8" t="n">
        <v>217.41</v>
      </c>
      <c r="K99" s="9" t="n">
        <v>0.05</v>
      </c>
      <c r="L99" s="8" t="n">
        <v>8.82</v>
      </c>
      <c r="M99" s="8">
        <f>H99*I99*(1-K99)</f>
        <v/>
      </c>
      <c r="N99" s="8">
        <f>H99*J99</f>
        <v/>
      </c>
      <c r="O99" s="8">
        <f>M99-N99-L99</f>
        <v/>
      </c>
      <c r="P99" s="10">
        <f>IFERROR(O99/M99,0)</f>
        <v/>
      </c>
      <c r="Q99" s="3">
        <f>IF(H99&lt;=0,"Review: quantity &lt;= 0",IF(K99&gt;0.3,"Review: discount &gt; 30%",IF(G99="","Review: missing customer type","OK")))</f>
        <v/>
      </c>
    </row>
    <row r="100">
      <c r="A100" s="3" t="inlineStr">
        <is>
          <t>ORD-10099</t>
        </is>
      </c>
      <c r="B100" s="7" t="n">
        <v>45904</v>
      </c>
      <c r="C100" s="3" t="inlineStr">
        <is>
          <t>Accessories</t>
        </is>
      </c>
      <c r="D100" s="3" t="inlineStr">
        <is>
          <t>Belts</t>
        </is>
      </c>
      <c r="E100" s="3" t="inlineStr">
        <is>
          <t>Greater Accra</t>
        </is>
      </c>
      <c r="F100" s="3" t="inlineStr">
        <is>
          <t>Online</t>
        </is>
      </c>
      <c r="G100" s="3" t="inlineStr">
        <is>
          <t>Returning</t>
        </is>
      </c>
      <c r="H100" s="3" t="n">
        <v>2</v>
      </c>
      <c r="I100" s="8" t="n">
        <v>130</v>
      </c>
      <c r="J100" s="8" t="n">
        <v>69.28</v>
      </c>
      <c r="K100" s="9" t="n">
        <v>0.2</v>
      </c>
      <c r="L100" s="8" t="n">
        <v>37.74</v>
      </c>
      <c r="M100" s="8">
        <f>H100*I100*(1-K100)</f>
        <v/>
      </c>
      <c r="N100" s="8">
        <f>H100*J100</f>
        <v/>
      </c>
      <c r="O100" s="8">
        <f>M100-N100-L100</f>
        <v/>
      </c>
      <c r="P100" s="10">
        <f>IFERROR(O100/M100,0)</f>
        <v/>
      </c>
      <c r="Q100" s="3">
        <f>IF(H100&lt;=0,"Review: quantity &lt;= 0",IF(K100&gt;0.3,"Review: discount &gt; 30%",IF(G100="","Review: missing customer type","OK")))</f>
        <v/>
      </c>
    </row>
    <row r="101">
      <c r="A101" s="3" t="inlineStr">
        <is>
          <t>ORD-10100</t>
        </is>
      </c>
      <c r="B101" s="7" t="n">
        <v>45724</v>
      </c>
      <c r="C101" s="3" t="inlineStr">
        <is>
          <t>Clothing</t>
        </is>
      </c>
      <c r="D101" s="3" t="inlineStr">
        <is>
          <t>Trousers</t>
        </is>
      </c>
      <c r="E101" s="3" t="inlineStr">
        <is>
          <t>Ashanti</t>
        </is>
      </c>
      <c r="F101" s="3" t="inlineStr">
        <is>
          <t>Phone/WhatsApp</t>
        </is>
      </c>
      <c r="G101" s="3" t="inlineStr">
        <is>
          <t>New</t>
        </is>
      </c>
      <c r="H101" s="3" t="n">
        <v>2</v>
      </c>
      <c r="I101" s="8" t="n">
        <v>165</v>
      </c>
      <c r="J101" s="8" t="n">
        <v>83.68000000000001</v>
      </c>
      <c r="K101" s="9" t="n">
        <v>0.05</v>
      </c>
      <c r="L101" s="8" t="n">
        <v>36.76</v>
      </c>
      <c r="M101" s="8">
        <f>H101*I101*(1-K101)</f>
        <v/>
      </c>
      <c r="N101" s="8">
        <f>H101*J101</f>
        <v/>
      </c>
      <c r="O101" s="8">
        <f>M101-N101-L101</f>
        <v/>
      </c>
      <c r="P101" s="10">
        <f>IFERROR(O101/M101,0)</f>
        <v/>
      </c>
      <c r="Q101" s="3">
        <f>IF(H101&lt;=0,"Review: quantity &lt;= 0",IF(K101&gt;0.3,"Review: discount &gt; 30%",IF(G101="","Review: missing customer type","OK")))</f>
        <v/>
      </c>
    </row>
    <row r="102">
      <c r="A102" s="3" t="inlineStr">
        <is>
          <t>ORD-10101</t>
        </is>
      </c>
      <c r="B102" s="7" t="n">
        <v>45906</v>
      </c>
      <c r="C102" s="3" t="inlineStr">
        <is>
          <t>Clothing</t>
        </is>
      </c>
      <c r="D102" s="3" t="inlineStr">
        <is>
          <t>Jackets</t>
        </is>
      </c>
      <c r="E102" s="3" t="inlineStr">
        <is>
          <t>Ashanti</t>
        </is>
      </c>
      <c r="F102" s="3" t="inlineStr">
        <is>
          <t>Retail Shop</t>
        </is>
      </c>
      <c r="G102" s="3" t="inlineStr">
        <is>
          <t>Returning</t>
        </is>
      </c>
      <c r="H102" s="3" t="n">
        <v>3</v>
      </c>
      <c r="I102" s="8" t="n">
        <v>75</v>
      </c>
      <c r="J102" s="8" t="n">
        <v>38.48</v>
      </c>
      <c r="K102" s="9" t="n">
        <v>0.1</v>
      </c>
      <c r="L102" s="8" t="n">
        <v>1.41</v>
      </c>
      <c r="M102" s="8">
        <f>H102*I102*(1-K102)</f>
        <v/>
      </c>
      <c r="N102" s="8">
        <f>H102*J102</f>
        <v/>
      </c>
      <c r="O102" s="8">
        <f>M102-N102-L102</f>
        <v/>
      </c>
      <c r="P102" s="10">
        <f>IFERROR(O102/M102,0)</f>
        <v/>
      </c>
      <c r="Q102" s="3">
        <f>IF(H102&lt;=0,"Review: quantity &lt;= 0",IF(K102&gt;0.3,"Review: discount &gt; 30%",IF(G102="","Review: missing customer type","OK")))</f>
        <v/>
      </c>
    </row>
    <row r="103">
      <c r="A103" s="3" t="inlineStr">
        <is>
          <t>ORD-10102</t>
        </is>
      </c>
      <c r="B103" s="7" t="n">
        <v>45864</v>
      </c>
      <c r="C103" s="3" t="inlineStr">
        <is>
          <t>Footwear</t>
        </is>
      </c>
      <c r="D103" s="3" t="inlineStr">
        <is>
          <t>Sandals</t>
        </is>
      </c>
      <c r="E103" s="3" t="inlineStr">
        <is>
          <t>Northern</t>
        </is>
      </c>
      <c r="F103" s="3" t="inlineStr">
        <is>
          <t>Phone/WhatsApp</t>
        </is>
      </c>
      <c r="G103" s="3" t="inlineStr">
        <is>
          <t>Returning</t>
        </is>
      </c>
      <c r="H103" s="3" t="n">
        <v>2</v>
      </c>
      <c r="I103" s="8" t="n">
        <v>475</v>
      </c>
      <c r="J103" s="8" t="n">
        <v>294.87</v>
      </c>
      <c r="K103" s="9" t="n">
        <v>0.05</v>
      </c>
      <c r="L103" s="8" t="n">
        <v>29</v>
      </c>
      <c r="M103" s="8">
        <f>H103*I103*(1-K103)</f>
        <v/>
      </c>
      <c r="N103" s="8">
        <f>H103*J103</f>
        <v/>
      </c>
      <c r="O103" s="8">
        <f>M103-N103-L103</f>
        <v/>
      </c>
      <c r="P103" s="10">
        <f>IFERROR(O103/M103,0)</f>
        <v/>
      </c>
      <c r="Q103" s="3">
        <f>IF(H103&lt;=0,"Review: quantity &lt;= 0",IF(K103&gt;0.3,"Review: discount &gt; 30%",IF(G103="","Review: missing customer type","OK")))</f>
        <v/>
      </c>
    </row>
    <row r="104">
      <c r="A104" s="3" t="inlineStr">
        <is>
          <t>ORD-10103</t>
        </is>
      </c>
      <c r="B104" s="7" t="n">
        <v>45937</v>
      </c>
      <c r="C104" s="3" t="inlineStr">
        <is>
          <t>Accessories</t>
        </is>
      </c>
      <c r="D104" s="3" t="inlineStr">
        <is>
          <t>Bags</t>
        </is>
      </c>
      <c r="E104" s="3" t="inlineStr">
        <is>
          <t>Greater Accra</t>
        </is>
      </c>
      <c r="F104" s="3" t="inlineStr">
        <is>
          <t>Retail Shop</t>
        </is>
      </c>
      <c r="G104" s="3" t="inlineStr">
        <is>
          <t>Returning</t>
        </is>
      </c>
      <c r="H104" s="3" t="n">
        <v>2</v>
      </c>
      <c r="I104" s="8" t="n">
        <v>90</v>
      </c>
      <c r="J104" s="8" t="n">
        <v>42.85</v>
      </c>
      <c r="K104" s="9" t="n">
        <v>0</v>
      </c>
      <c r="L104" s="8" t="n">
        <v>6.93</v>
      </c>
      <c r="M104" s="8">
        <f>H104*I104*(1-K104)</f>
        <v/>
      </c>
      <c r="N104" s="8">
        <f>H104*J104</f>
        <v/>
      </c>
      <c r="O104" s="8">
        <f>M104-N104-L104</f>
        <v/>
      </c>
      <c r="P104" s="10">
        <f>IFERROR(O104/M104,0)</f>
        <v/>
      </c>
      <c r="Q104" s="3">
        <f>IF(H104&lt;=0,"Review: quantity &lt;= 0",IF(K104&gt;0.3,"Review: discount &gt; 30%",IF(G104="","Review: missing customer type","OK")))</f>
        <v/>
      </c>
    </row>
    <row r="105">
      <c r="A105" s="3" t="inlineStr">
        <is>
          <t>ORD-10104</t>
        </is>
      </c>
      <c r="B105" s="7" t="n">
        <v>45935</v>
      </c>
      <c r="C105" s="3" t="inlineStr">
        <is>
          <t>Accessories</t>
        </is>
      </c>
      <c r="D105" s="3" t="inlineStr">
        <is>
          <t>Bags</t>
        </is>
      </c>
      <c r="E105" s="3" t="inlineStr">
        <is>
          <t>Ashanti</t>
        </is>
      </c>
      <c r="F105" s="3" t="inlineStr">
        <is>
          <t>Online</t>
        </is>
      </c>
      <c r="G105" s="3" t="inlineStr">
        <is>
          <t>New</t>
        </is>
      </c>
      <c r="H105" s="3" t="n">
        <v>1</v>
      </c>
      <c r="I105" s="8" t="n">
        <v>150</v>
      </c>
      <c r="J105" s="8" t="n">
        <v>76.70999999999999</v>
      </c>
      <c r="K105" s="9" t="n">
        <v>0</v>
      </c>
      <c r="L105" s="8" t="n">
        <v>9.56</v>
      </c>
      <c r="M105" s="8">
        <f>H105*I105*(1-K105)</f>
        <v/>
      </c>
      <c r="N105" s="8">
        <f>H105*J105</f>
        <v/>
      </c>
      <c r="O105" s="8">
        <f>M105-N105-L105</f>
        <v/>
      </c>
      <c r="P105" s="10">
        <f>IFERROR(O105/M105,0)</f>
        <v/>
      </c>
      <c r="Q105" s="3">
        <f>IF(H105&lt;=0,"Review: quantity &lt;= 0",IF(K105&gt;0.3,"Review: discount &gt; 30%",IF(G105="","Review: missing customer type","OK")))</f>
        <v/>
      </c>
    </row>
    <row r="106">
      <c r="A106" s="3" t="inlineStr">
        <is>
          <t>ORD-10105</t>
        </is>
      </c>
      <c r="B106" s="7" t="n">
        <v>45975</v>
      </c>
      <c r="C106" s="3" t="inlineStr">
        <is>
          <t>Home &amp; Lifestyle</t>
        </is>
      </c>
      <c r="D106" s="3" t="inlineStr">
        <is>
          <t>Backpacks</t>
        </is>
      </c>
      <c r="E106" s="3" t="inlineStr">
        <is>
          <t>Greater Accra</t>
        </is>
      </c>
      <c r="F106" s="3" t="inlineStr">
        <is>
          <t>Retail Shop</t>
        </is>
      </c>
      <c r="G106" s="3" t="inlineStr">
        <is>
          <t>New</t>
        </is>
      </c>
      <c r="H106" s="3" t="n">
        <v>1</v>
      </c>
      <c r="I106" s="8" t="n">
        <v>140</v>
      </c>
      <c r="J106" s="8" t="n">
        <v>82.41</v>
      </c>
      <c r="K106" s="9" t="n">
        <v>0.05</v>
      </c>
      <c r="L106" s="8" t="n">
        <v>4.21</v>
      </c>
      <c r="M106" s="8">
        <f>H106*I106*(1-K106)</f>
        <v/>
      </c>
      <c r="N106" s="8">
        <f>H106*J106</f>
        <v/>
      </c>
      <c r="O106" s="8">
        <f>M106-N106-L106</f>
        <v/>
      </c>
      <c r="P106" s="10">
        <f>IFERROR(O106/M106,0)</f>
        <v/>
      </c>
      <c r="Q106" s="3">
        <f>IF(H106&lt;=0,"Review: quantity &lt;= 0",IF(K106&gt;0.3,"Review: discount &gt; 30%",IF(G106="","Review: missing customer type","OK")))</f>
        <v/>
      </c>
    </row>
    <row r="107">
      <c r="A107" s="3" t="inlineStr">
        <is>
          <t>ORD-10106</t>
        </is>
      </c>
      <c r="B107" s="7" t="n">
        <v>45821</v>
      </c>
      <c r="C107" s="3" t="inlineStr">
        <is>
          <t>Footwear</t>
        </is>
      </c>
      <c r="D107" s="3" t="inlineStr">
        <is>
          <t>Formal Shoes</t>
        </is>
      </c>
      <c r="E107" s="3" t="inlineStr">
        <is>
          <t>Western</t>
        </is>
      </c>
      <c r="F107" s="3" t="inlineStr">
        <is>
          <t>Online</t>
        </is>
      </c>
      <c r="G107" s="3" t="inlineStr">
        <is>
          <t>Returning</t>
        </is>
      </c>
      <c r="H107" s="3" t="n">
        <v>3</v>
      </c>
      <c r="I107" s="8" t="n">
        <v>215</v>
      </c>
      <c r="J107" s="8" t="n">
        <v>112.77</v>
      </c>
      <c r="K107" s="9" t="n">
        <v>0</v>
      </c>
      <c r="L107" s="8" t="n">
        <v>14.82</v>
      </c>
      <c r="M107" s="8">
        <f>H107*I107*(1-K107)</f>
        <v/>
      </c>
      <c r="N107" s="8">
        <f>H107*J107</f>
        <v/>
      </c>
      <c r="O107" s="8">
        <f>M107-N107-L107</f>
        <v/>
      </c>
      <c r="P107" s="10">
        <f>IFERROR(O107/M107,0)</f>
        <v/>
      </c>
      <c r="Q107" s="3">
        <f>IF(H107&lt;=0,"Review: quantity &lt;= 0",IF(K107&gt;0.3,"Review: discount &gt; 30%",IF(G107="","Review: missing customer type","OK")))</f>
        <v/>
      </c>
    </row>
    <row r="108">
      <c r="A108" s="3" t="inlineStr">
        <is>
          <t>ORD-10107</t>
        </is>
      </c>
      <c r="B108" s="7" t="n">
        <v>45773</v>
      </c>
      <c r="C108" s="3" t="inlineStr">
        <is>
          <t>Clothing</t>
        </is>
      </c>
      <c r="D108" s="3" t="inlineStr">
        <is>
          <t>Jackets</t>
        </is>
      </c>
      <c r="E108" s="3" t="inlineStr">
        <is>
          <t>Northern</t>
        </is>
      </c>
      <c r="F108" s="3" t="inlineStr">
        <is>
          <t>Online</t>
        </is>
      </c>
      <c r="G108" s="3" t="inlineStr">
        <is>
          <t>Returning</t>
        </is>
      </c>
      <c r="H108" s="3" t="n">
        <v>1</v>
      </c>
      <c r="I108" s="8" t="n">
        <v>105</v>
      </c>
      <c r="J108" s="8" t="n">
        <v>51.39</v>
      </c>
      <c r="K108" s="9" t="n">
        <v>0.05</v>
      </c>
      <c r="L108" s="8" t="n">
        <v>21.87</v>
      </c>
      <c r="M108" s="8">
        <f>H108*I108*(1-K108)</f>
        <v/>
      </c>
      <c r="N108" s="8">
        <f>H108*J108</f>
        <v/>
      </c>
      <c r="O108" s="8">
        <f>M108-N108-L108</f>
        <v/>
      </c>
      <c r="P108" s="10">
        <f>IFERROR(O108/M108,0)</f>
        <v/>
      </c>
      <c r="Q108" s="3">
        <f>IF(H108&lt;=0,"Review: quantity &lt;= 0",IF(K108&gt;0.3,"Review: discount &gt; 30%",IF(G108="","Review: missing customer type","OK")))</f>
        <v/>
      </c>
    </row>
    <row r="109">
      <c r="A109" s="3" t="inlineStr">
        <is>
          <t>ORD-10108</t>
        </is>
      </c>
      <c r="B109" s="7" t="n">
        <v>45747</v>
      </c>
      <c r="C109" s="3" t="inlineStr">
        <is>
          <t>Home &amp; Lifestyle</t>
        </is>
      </c>
      <c r="D109" s="3" t="inlineStr">
        <is>
          <t>Backpacks</t>
        </is>
      </c>
      <c r="E109" s="3" t="inlineStr">
        <is>
          <t>Greater Accra</t>
        </is>
      </c>
      <c r="F109" s="3" t="inlineStr">
        <is>
          <t>Retail Shop</t>
        </is>
      </c>
      <c r="G109" s="3" t="inlineStr">
        <is>
          <t>Returning</t>
        </is>
      </c>
      <c r="H109" s="3" t="n">
        <v>2</v>
      </c>
      <c r="I109" s="8" t="n">
        <v>105</v>
      </c>
      <c r="J109" s="8" t="n">
        <v>60.48</v>
      </c>
      <c r="K109" s="9" t="n">
        <v>0</v>
      </c>
      <c r="L109" s="8" t="n">
        <v>9.58</v>
      </c>
      <c r="M109" s="8">
        <f>H109*I109*(1-K109)</f>
        <v/>
      </c>
      <c r="N109" s="8">
        <f>H109*J109</f>
        <v/>
      </c>
      <c r="O109" s="8">
        <f>M109-N109-L109</f>
        <v/>
      </c>
      <c r="P109" s="10">
        <f>IFERROR(O109/M109,0)</f>
        <v/>
      </c>
      <c r="Q109" s="3">
        <f>IF(H109&lt;=0,"Review: quantity &lt;= 0",IF(K109&gt;0.3,"Review: discount &gt; 30%",IF(G109="","Review: missing customer type","OK")))</f>
        <v/>
      </c>
    </row>
    <row r="110">
      <c r="A110" s="3" t="inlineStr">
        <is>
          <t>ORD-10109</t>
        </is>
      </c>
      <c r="B110" s="7" t="n">
        <v>45969</v>
      </c>
      <c r="C110" s="3" t="inlineStr">
        <is>
          <t>Clothing</t>
        </is>
      </c>
      <c r="D110" s="3" t="inlineStr">
        <is>
          <t>Shirts</t>
        </is>
      </c>
      <c r="E110" s="3" t="inlineStr">
        <is>
          <t>Northern</t>
        </is>
      </c>
      <c r="F110" s="3" t="inlineStr">
        <is>
          <t>Phone/WhatsApp</t>
        </is>
      </c>
      <c r="G110" s="3" t="inlineStr">
        <is>
          <t>Returning</t>
        </is>
      </c>
      <c r="H110" s="3" t="n">
        <v>0</v>
      </c>
      <c r="I110" s="8" t="n">
        <v>150</v>
      </c>
      <c r="J110" s="8" t="n">
        <v>83.58</v>
      </c>
      <c r="K110" s="9" t="n">
        <v>0</v>
      </c>
      <c r="L110" s="8" t="n">
        <v>34.26</v>
      </c>
      <c r="M110" s="8">
        <f>H110*I110*(1-K110)</f>
        <v/>
      </c>
      <c r="N110" s="8">
        <f>H110*J110</f>
        <v/>
      </c>
      <c r="O110" s="8">
        <f>M110-N110-L110</f>
        <v/>
      </c>
      <c r="P110" s="10">
        <f>IFERROR(O110/M110,0)</f>
        <v/>
      </c>
      <c r="Q110" s="3">
        <f>IF(H110&lt;=0,"Review: quantity &lt;= 0",IF(K110&gt;0.3,"Review: discount &gt; 30%",IF(G110="","Review: missing customer type","OK")))</f>
        <v/>
      </c>
    </row>
    <row r="111">
      <c r="A111" s="3" t="inlineStr">
        <is>
          <t>ORD-10110</t>
        </is>
      </c>
      <c r="B111" s="7" t="n">
        <v>45842</v>
      </c>
      <c r="C111" s="3" t="inlineStr">
        <is>
          <t>Footwear</t>
        </is>
      </c>
      <c r="D111" s="3" t="inlineStr">
        <is>
          <t>Sandals</t>
        </is>
      </c>
      <c r="E111" s="3" t="inlineStr">
        <is>
          <t>Greater Accra</t>
        </is>
      </c>
      <c r="F111" s="3" t="inlineStr">
        <is>
          <t>Retail Shop</t>
        </is>
      </c>
      <c r="G111" s="3" t="inlineStr">
        <is>
          <t>Returning</t>
        </is>
      </c>
      <c r="H111" s="3" t="n">
        <v>2</v>
      </c>
      <c r="I111" s="8" t="n">
        <v>140</v>
      </c>
      <c r="J111" s="8" t="n">
        <v>72.23</v>
      </c>
      <c r="K111" s="9" t="n">
        <v>0</v>
      </c>
      <c r="L111" s="8" t="n">
        <v>8.02</v>
      </c>
      <c r="M111" s="8">
        <f>H111*I111*(1-K111)</f>
        <v/>
      </c>
      <c r="N111" s="8">
        <f>H111*J111</f>
        <v/>
      </c>
      <c r="O111" s="8">
        <f>M111-N111-L111</f>
        <v/>
      </c>
      <c r="P111" s="10">
        <f>IFERROR(O111/M111,0)</f>
        <v/>
      </c>
      <c r="Q111" s="3">
        <f>IF(H111&lt;=0,"Review: quantity &lt;= 0",IF(K111&gt;0.3,"Review: discount &gt; 30%",IF(G111="","Review: missing customer type","OK")))</f>
        <v/>
      </c>
    </row>
    <row r="112">
      <c r="A112" s="3" t="inlineStr">
        <is>
          <t>ORD-10111</t>
        </is>
      </c>
      <c r="B112" s="7" t="n">
        <v>45902</v>
      </c>
      <c r="C112" s="3" t="inlineStr">
        <is>
          <t>Footwear</t>
        </is>
      </c>
      <c r="D112" s="3" t="inlineStr">
        <is>
          <t>Sneakers</t>
        </is>
      </c>
      <c r="E112" s="3" t="inlineStr">
        <is>
          <t>Ashanti</t>
        </is>
      </c>
      <c r="F112" s="3" t="inlineStr">
        <is>
          <t>Retail Shop</t>
        </is>
      </c>
      <c r="G112" s="3" t="inlineStr">
        <is>
          <t>New</t>
        </is>
      </c>
      <c r="H112" s="3" t="n">
        <v>1</v>
      </c>
      <c r="I112" s="8" t="n">
        <v>415</v>
      </c>
      <c r="J112" s="8" t="n">
        <v>259.4</v>
      </c>
      <c r="K112" s="9" t="n">
        <v>0.15</v>
      </c>
      <c r="L112" s="8" t="n">
        <v>9.41</v>
      </c>
      <c r="M112" s="8">
        <f>H112*I112*(1-K112)</f>
        <v/>
      </c>
      <c r="N112" s="8">
        <f>H112*J112</f>
        <v/>
      </c>
      <c r="O112" s="8">
        <f>M112-N112-L112</f>
        <v/>
      </c>
      <c r="P112" s="10">
        <f>IFERROR(O112/M112,0)</f>
        <v/>
      </c>
      <c r="Q112" s="3">
        <f>IF(H112&lt;=0,"Review: quantity &lt;= 0",IF(K112&gt;0.3,"Review: discount &gt; 30%",IF(G112="","Review: missing customer type","OK")))</f>
        <v/>
      </c>
    </row>
    <row r="113">
      <c r="A113" s="3" t="inlineStr">
        <is>
          <t>ORD-10112</t>
        </is>
      </c>
      <c r="B113" s="7" t="n">
        <v>45844</v>
      </c>
      <c r="C113" s="3" t="inlineStr">
        <is>
          <t>Footwear</t>
        </is>
      </c>
      <c r="D113" s="3" t="inlineStr">
        <is>
          <t>Formal Shoes</t>
        </is>
      </c>
      <c r="E113" s="3" t="inlineStr">
        <is>
          <t>Western</t>
        </is>
      </c>
      <c r="F113" s="3" t="inlineStr">
        <is>
          <t>Phone/WhatsApp</t>
        </is>
      </c>
      <c r="G113" s="3" t="inlineStr">
        <is>
          <t>Returning</t>
        </is>
      </c>
      <c r="H113" s="3" t="n">
        <v>3</v>
      </c>
      <c r="I113" s="8" t="n">
        <v>215</v>
      </c>
      <c r="J113" s="8" t="n">
        <v>134.38</v>
      </c>
      <c r="K113" s="9" t="n">
        <v>0</v>
      </c>
      <c r="L113" s="8" t="n">
        <v>13.49</v>
      </c>
      <c r="M113" s="8">
        <f>H113*I113*(1-K113)</f>
        <v/>
      </c>
      <c r="N113" s="8">
        <f>H113*J113</f>
        <v/>
      </c>
      <c r="O113" s="8">
        <f>M113-N113-L113</f>
        <v/>
      </c>
      <c r="P113" s="10">
        <f>IFERROR(O113/M113,0)</f>
        <v/>
      </c>
      <c r="Q113" s="3">
        <f>IF(H113&lt;=0,"Review: quantity &lt;= 0",IF(K113&gt;0.3,"Review: discount &gt; 30%",IF(G113="","Review: missing customer type","OK")))</f>
        <v/>
      </c>
    </row>
    <row r="114">
      <c r="A114" s="3" t="inlineStr">
        <is>
          <t>ORD-10113</t>
        </is>
      </c>
      <c r="B114" s="7" t="n">
        <v>45980</v>
      </c>
      <c r="C114" s="3" t="inlineStr">
        <is>
          <t>Home &amp; Lifestyle</t>
        </is>
      </c>
      <c r="D114" s="3" t="inlineStr">
        <is>
          <t>Small Home Goods</t>
        </is>
      </c>
      <c r="E114" s="3" t="inlineStr">
        <is>
          <t>Western</t>
        </is>
      </c>
      <c r="F114" s="3" t="inlineStr">
        <is>
          <t>Retail Shop</t>
        </is>
      </c>
      <c r="G114" s="3" t="inlineStr">
        <is>
          <t>New</t>
        </is>
      </c>
      <c r="H114" s="3" t="n">
        <v>4</v>
      </c>
      <c r="I114" s="8" t="n">
        <v>190</v>
      </c>
      <c r="J114" s="8" t="n">
        <v>101.77</v>
      </c>
      <c r="K114" s="9" t="n">
        <v>0.05</v>
      </c>
      <c r="L114" s="8" t="n">
        <v>6.66</v>
      </c>
      <c r="M114" s="8">
        <f>H114*I114*(1-K114)</f>
        <v/>
      </c>
      <c r="N114" s="8">
        <f>H114*J114</f>
        <v/>
      </c>
      <c r="O114" s="8">
        <f>M114-N114-L114</f>
        <v/>
      </c>
      <c r="P114" s="10">
        <f>IFERROR(O114/M114,0)</f>
        <v/>
      </c>
      <c r="Q114" s="3">
        <f>IF(H114&lt;=0,"Review: quantity &lt;= 0",IF(K114&gt;0.3,"Review: discount &gt; 30%",IF(G114="","Review: missing customer type","OK")))</f>
        <v/>
      </c>
    </row>
    <row r="115">
      <c r="A115" s="3" t="inlineStr">
        <is>
          <t>ORD-10114</t>
        </is>
      </c>
      <c r="B115" s="7" t="n">
        <v>45820</v>
      </c>
      <c r="C115" s="3" t="inlineStr">
        <is>
          <t>Clothing</t>
        </is>
      </c>
      <c r="D115" s="3" t="inlineStr">
        <is>
          <t>Dresses</t>
        </is>
      </c>
      <c r="E115" s="3" t="inlineStr">
        <is>
          <t>Western</t>
        </is>
      </c>
      <c r="F115" s="3" t="inlineStr">
        <is>
          <t>Phone/WhatsApp</t>
        </is>
      </c>
      <c r="G115" s="3" t="inlineStr">
        <is>
          <t>New</t>
        </is>
      </c>
      <c r="H115" s="3" t="n">
        <v>2</v>
      </c>
      <c r="I115" s="8" t="n">
        <v>80</v>
      </c>
      <c r="J115" s="8" t="n">
        <v>40.99</v>
      </c>
      <c r="K115" s="9" t="n">
        <v>0</v>
      </c>
      <c r="L115" s="8" t="n">
        <v>33.45</v>
      </c>
      <c r="M115" s="8">
        <f>H115*I115*(1-K115)</f>
        <v/>
      </c>
      <c r="N115" s="8">
        <f>H115*J115</f>
        <v/>
      </c>
      <c r="O115" s="8">
        <f>M115-N115-L115</f>
        <v/>
      </c>
      <c r="P115" s="10">
        <f>IFERROR(O115/M115,0)</f>
        <v/>
      </c>
      <c r="Q115" s="3">
        <f>IF(H115&lt;=0,"Review: quantity &lt;= 0",IF(K115&gt;0.3,"Review: discount &gt; 30%",IF(G115="","Review: missing customer type","OK")))</f>
        <v/>
      </c>
    </row>
    <row r="116">
      <c r="A116" s="3" t="inlineStr">
        <is>
          <t>ORD-10115</t>
        </is>
      </c>
      <c r="B116" s="7" t="n">
        <v>45724</v>
      </c>
      <c r="C116" s="3" t="inlineStr">
        <is>
          <t>Footwear</t>
        </is>
      </c>
      <c r="D116" s="3" t="inlineStr">
        <is>
          <t>Sneakers</t>
        </is>
      </c>
      <c r="E116" s="3" t="inlineStr">
        <is>
          <t>Greater Accra</t>
        </is>
      </c>
      <c r="F116" s="3" t="inlineStr">
        <is>
          <t>Retail Shop</t>
        </is>
      </c>
      <c r="G116" s="3" t="inlineStr">
        <is>
          <t>Returning</t>
        </is>
      </c>
      <c r="H116" s="3" t="n">
        <v>1</v>
      </c>
      <c r="I116" s="8" t="n">
        <v>400</v>
      </c>
      <c r="J116" s="8" t="n">
        <v>238.6</v>
      </c>
      <c r="K116" s="9" t="n">
        <v>0.05</v>
      </c>
      <c r="L116" s="8" t="n">
        <v>11.28</v>
      </c>
      <c r="M116" s="8">
        <f>H116*I116*(1-K116)</f>
        <v/>
      </c>
      <c r="N116" s="8">
        <f>H116*J116</f>
        <v/>
      </c>
      <c r="O116" s="8">
        <f>M116-N116-L116</f>
        <v/>
      </c>
      <c r="P116" s="10">
        <f>IFERROR(O116/M116,0)</f>
        <v/>
      </c>
      <c r="Q116" s="3">
        <f>IF(H116&lt;=0,"Review: quantity &lt;= 0",IF(K116&gt;0.3,"Review: discount &gt; 30%",IF(G116="","Review: missing customer type","OK")))</f>
        <v/>
      </c>
    </row>
    <row r="117">
      <c r="A117" s="3" t="inlineStr">
        <is>
          <t>ORD-10116</t>
        </is>
      </c>
      <c r="B117" s="7" t="n">
        <v>45993</v>
      </c>
      <c r="C117" s="3" t="inlineStr">
        <is>
          <t>Accessories</t>
        </is>
      </c>
      <c r="D117" s="3" t="inlineStr">
        <is>
          <t>Bags</t>
        </is>
      </c>
      <c r="E117" s="3" t="inlineStr">
        <is>
          <t>Greater Accra</t>
        </is>
      </c>
      <c r="F117" s="3" t="inlineStr">
        <is>
          <t>Retail Shop</t>
        </is>
      </c>
      <c r="G117" s="3" t="inlineStr">
        <is>
          <t>New</t>
        </is>
      </c>
      <c r="H117" s="3" t="n">
        <v>1</v>
      </c>
      <c r="I117" s="8" t="n">
        <v>95</v>
      </c>
      <c r="J117" s="8" t="n">
        <v>48.29</v>
      </c>
      <c r="K117" s="9" t="n">
        <v>0</v>
      </c>
      <c r="L117" s="8" t="n">
        <v>2.29</v>
      </c>
      <c r="M117" s="8">
        <f>H117*I117*(1-K117)</f>
        <v/>
      </c>
      <c r="N117" s="8">
        <f>H117*J117</f>
        <v/>
      </c>
      <c r="O117" s="8">
        <f>M117-N117-L117</f>
        <v/>
      </c>
      <c r="P117" s="10">
        <f>IFERROR(O117/M117,0)</f>
        <v/>
      </c>
      <c r="Q117" s="3">
        <f>IF(H117&lt;=0,"Review: quantity &lt;= 0",IF(K117&gt;0.3,"Review: discount &gt; 30%",IF(G117="","Review: missing customer type","OK")))</f>
        <v/>
      </c>
    </row>
    <row r="118">
      <c r="A118" s="3" t="inlineStr">
        <is>
          <t>ORD-10117</t>
        </is>
      </c>
      <c r="B118" s="7" t="n">
        <v>45939</v>
      </c>
      <c r="C118" s="3" t="inlineStr">
        <is>
          <t>Accessories</t>
        </is>
      </c>
      <c r="D118" s="3" t="inlineStr">
        <is>
          <t>Sunglasses</t>
        </is>
      </c>
      <c r="E118" s="3" t="inlineStr">
        <is>
          <t>Western</t>
        </is>
      </c>
      <c r="F118" s="3" t="inlineStr">
        <is>
          <t>Retail Shop</t>
        </is>
      </c>
      <c r="G118" s="3" t="inlineStr">
        <is>
          <t>Returning</t>
        </is>
      </c>
      <c r="H118" s="3" t="n">
        <v>2</v>
      </c>
      <c r="I118" s="8" t="n">
        <v>80</v>
      </c>
      <c r="J118" s="8" t="n">
        <v>40.78</v>
      </c>
      <c r="K118" s="9" t="n">
        <v>0.2</v>
      </c>
      <c r="L118" s="8" t="n">
        <v>11.12</v>
      </c>
      <c r="M118" s="8">
        <f>H118*I118*(1-K118)</f>
        <v/>
      </c>
      <c r="N118" s="8">
        <f>H118*J118</f>
        <v/>
      </c>
      <c r="O118" s="8">
        <f>M118-N118-L118</f>
        <v/>
      </c>
      <c r="P118" s="10">
        <f>IFERROR(O118/M118,0)</f>
        <v/>
      </c>
      <c r="Q118" s="3">
        <f>IF(H118&lt;=0,"Review: quantity &lt;= 0",IF(K118&gt;0.3,"Review: discount &gt; 30%",IF(G118="","Review: missing customer type","OK")))</f>
        <v/>
      </c>
    </row>
    <row r="119">
      <c r="A119" s="3" t="inlineStr">
        <is>
          <t>ORD-10118</t>
        </is>
      </c>
      <c r="B119" s="7" t="n">
        <v>45911</v>
      </c>
      <c r="C119" s="3" t="inlineStr">
        <is>
          <t>Footwear</t>
        </is>
      </c>
      <c r="D119" s="3" t="inlineStr">
        <is>
          <t>Boots</t>
        </is>
      </c>
      <c r="E119" s="3" t="inlineStr">
        <is>
          <t>Greater Accra</t>
        </is>
      </c>
      <c r="F119" s="3" t="inlineStr">
        <is>
          <t>Online</t>
        </is>
      </c>
      <c r="G119" s="3" t="inlineStr">
        <is>
          <t>Returning</t>
        </is>
      </c>
      <c r="H119" s="3" t="n">
        <v>1</v>
      </c>
      <c r="I119" s="8" t="n">
        <v>190</v>
      </c>
      <c r="J119" s="8" t="n">
        <v>98.73</v>
      </c>
      <c r="K119" s="9" t="n">
        <v>0.1</v>
      </c>
      <c r="L119" s="8" t="n">
        <v>9.130000000000001</v>
      </c>
      <c r="M119" s="8">
        <f>H119*I119*(1-K119)</f>
        <v/>
      </c>
      <c r="N119" s="8">
        <f>H119*J119</f>
        <v/>
      </c>
      <c r="O119" s="8">
        <f>M119-N119-L119</f>
        <v/>
      </c>
      <c r="P119" s="10">
        <f>IFERROR(O119/M119,0)</f>
        <v/>
      </c>
      <c r="Q119" s="3">
        <f>IF(H119&lt;=0,"Review: quantity &lt;= 0",IF(K119&gt;0.3,"Review: discount &gt; 30%",IF(G119="","Review: missing customer type","OK")))</f>
        <v/>
      </c>
    </row>
    <row r="120">
      <c r="A120" s="3" t="inlineStr">
        <is>
          <t>ORD-10119</t>
        </is>
      </c>
      <c r="B120" s="7" t="n">
        <v>45891</v>
      </c>
      <c r="C120" s="3" t="inlineStr">
        <is>
          <t>Clothing</t>
        </is>
      </c>
      <c r="D120" s="3" t="inlineStr">
        <is>
          <t>Dresses</t>
        </is>
      </c>
      <c r="E120" s="3" t="inlineStr">
        <is>
          <t>Central</t>
        </is>
      </c>
      <c r="F120" s="3" t="inlineStr">
        <is>
          <t>Phone/WhatsApp</t>
        </is>
      </c>
      <c r="G120" s="3" t="inlineStr">
        <is>
          <t>Returning</t>
        </is>
      </c>
      <c r="H120" s="3" t="n">
        <v>3</v>
      </c>
      <c r="I120" s="8" t="n">
        <v>135</v>
      </c>
      <c r="J120" s="8" t="n">
        <v>75.04000000000001</v>
      </c>
      <c r="K120" s="9" t="n">
        <v>0.05</v>
      </c>
      <c r="L120" s="8" t="n">
        <v>40.34</v>
      </c>
      <c r="M120" s="8">
        <f>H120*I120*(1-K120)</f>
        <v/>
      </c>
      <c r="N120" s="8">
        <f>H120*J120</f>
        <v/>
      </c>
      <c r="O120" s="8">
        <f>M120-N120-L120</f>
        <v/>
      </c>
      <c r="P120" s="10">
        <f>IFERROR(O120/M120,0)</f>
        <v/>
      </c>
      <c r="Q120" s="3">
        <f>IF(H120&lt;=0,"Review: quantity &lt;= 0",IF(K120&gt;0.3,"Review: discount &gt; 30%",IF(G120="","Review: missing customer type","OK")))</f>
        <v/>
      </c>
    </row>
    <row r="121">
      <c r="A121" s="3" t="inlineStr">
        <is>
          <t>ORD-10120</t>
        </is>
      </c>
      <c r="B121" s="7" t="n">
        <v>46021</v>
      </c>
      <c r="C121" s="3" t="inlineStr">
        <is>
          <t>Clothing</t>
        </is>
      </c>
      <c r="D121" s="3" t="inlineStr">
        <is>
          <t>Trousers</t>
        </is>
      </c>
      <c r="E121" s="3" t="inlineStr">
        <is>
          <t>Ashanti</t>
        </is>
      </c>
      <c r="F121" s="3" t="inlineStr">
        <is>
          <t>Phone/WhatsApp</t>
        </is>
      </c>
      <c r="G121" s="3" t="inlineStr">
        <is>
          <t>New</t>
        </is>
      </c>
      <c r="H121" s="3" t="n">
        <v>1</v>
      </c>
      <c r="I121" s="8" t="n">
        <v>235</v>
      </c>
      <c r="J121" s="8" t="n">
        <v>125.88</v>
      </c>
      <c r="K121" s="9" t="n">
        <v>0.1</v>
      </c>
      <c r="L121" s="8" t="n">
        <v>10.11</v>
      </c>
      <c r="M121" s="8">
        <f>H121*I121*(1-K121)</f>
        <v/>
      </c>
      <c r="N121" s="8">
        <f>H121*J121</f>
        <v/>
      </c>
      <c r="O121" s="8">
        <f>M121-N121-L121</f>
        <v/>
      </c>
      <c r="P121" s="10">
        <f>IFERROR(O121/M121,0)</f>
        <v/>
      </c>
      <c r="Q121" s="3">
        <f>IF(H121&lt;=0,"Review: quantity &lt;= 0",IF(K121&gt;0.3,"Review: discount &gt; 30%",IF(G121="","Review: missing customer type","OK")))</f>
        <v/>
      </c>
    </row>
    <row r="122">
      <c r="A122" s="3" t="inlineStr">
        <is>
          <t>ORD-10121</t>
        </is>
      </c>
      <c r="B122" s="7" t="n">
        <v>45663</v>
      </c>
      <c r="C122" s="3" t="inlineStr">
        <is>
          <t>Clothing</t>
        </is>
      </c>
      <c r="D122" s="3" t="inlineStr">
        <is>
          <t>Trousers</t>
        </is>
      </c>
      <c r="E122" s="3" t="inlineStr">
        <is>
          <t>Greater Accra</t>
        </is>
      </c>
      <c r="F122" s="3" t="inlineStr">
        <is>
          <t>Phone/WhatsApp</t>
        </is>
      </c>
      <c r="G122" s="3" t="inlineStr">
        <is>
          <t>Returning</t>
        </is>
      </c>
      <c r="H122" s="3" t="n">
        <v>1</v>
      </c>
      <c r="I122" s="8" t="n">
        <v>205</v>
      </c>
      <c r="J122" s="8" t="n">
        <v>102.17</v>
      </c>
      <c r="K122" s="9" t="n">
        <v>0</v>
      </c>
      <c r="L122" s="8" t="n">
        <v>22.96</v>
      </c>
      <c r="M122" s="8">
        <f>H122*I122*(1-K122)</f>
        <v/>
      </c>
      <c r="N122" s="8">
        <f>H122*J122</f>
        <v/>
      </c>
      <c r="O122" s="8">
        <f>M122-N122-L122</f>
        <v/>
      </c>
      <c r="P122" s="10">
        <f>IFERROR(O122/M122,0)</f>
        <v/>
      </c>
      <c r="Q122" s="3">
        <f>IF(H122&lt;=0,"Review: quantity &lt;= 0",IF(K122&gt;0.3,"Review: discount &gt; 30%",IF(G122="","Review: missing customer type","OK")))</f>
        <v/>
      </c>
    </row>
    <row r="123">
      <c r="A123" s="3" t="inlineStr">
        <is>
          <t>ORD-10122</t>
        </is>
      </c>
      <c r="B123" s="7" t="n">
        <v>46019</v>
      </c>
      <c r="C123" s="3" t="inlineStr">
        <is>
          <t>Footwear</t>
        </is>
      </c>
      <c r="D123" s="3" t="inlineStr">
        <is>
          <t>Sandals</t>
        </is>
      </c>
      <c r="E123" s="3" t="inlineStr">
        <is>
          <t>Greater Accra</t>
        </is>
      </c>
      <c r="F123" s="3" t="inlineStr">
        <is>
          <t>Phone/WhatsApp</t>
        </is>
      </c>
      <c r="G123" s="3" t="inlineStr">
        <is>
          <t>New</t>
        </is>
      </c>
      <c r="H123" s="3" t="n">
        <v>1</v>
      </c>
      <c r="I123" s="8" t="n">
        <v>400</v>
      </c>
      <c r="J123" s="8" t="n">
        <v>247.61</v>
      </c>
      <c r="K123" s="9" t="n">
        <v>0</v>
      </c>
      <c r="L123" s="8" t="n">
        <v>12.51</v>
      </c>
      <c r="M123" s="8">
        <f>H123*I123*(1-K123)</f>
        <v/>
      </c>
      <c r="N123" s="8">
        <f>H123*J123</f>
        <v/>
      </c>
      <c r="O123" s="8">
        <f>M123-N123-L123</f>
        <v/>
      </c>
      <c r="P123" s="10">
        <f>IFERROR(O123/M123,0)</f>
        <v/>
      </c>
      <c r="Q123" s="3">
        <f>IF(H123&lt;=0,"Review: quantity &lt;= 0",IF(K123&gt;0.3,"Review: discount &gt; 30%",IF(G123="","Review: missing customer type","OK")))</f>
        <v/>
      </c>
    </row>
    <row r="124">
      <c r="A124" s="3" t="inlineStr">
        <is>
          <t>ORD-10123</t>
        </is>
      </c>
      <c r="B124" s="7" t="n">
        <v>45852</v>
      </c>
      <c r="C124" s="3" t="inlineStr">
        <is>
          <t>Home &amp; Lifestyle</t>
        </is>
      </c>
      <c r="D124" s="3" t="inlineStr">
        <is>
          <t>Wallets</t>
        </is>
      </c>
      <c r="E124" s="3" t="inlineStr">
        <is>
          <t>Central</t>
        </is>
      </c>
      <c r="F124" s="3" t="inlineStr">
        <is>
          <t>Retail Shop</t>
        </is>
      </c>
      <c r="G124" s="3" t="inlineStr">
        <is>
          <t>New</t>
        </is>
      </c>
      <c r="H124" s="3" t="n">
        <v>3</v>
      </c>
      <c r="I124" s="8" t="n">
        <v>75</v>
      </c>
      <c r="J124" s="8" t="n">
        <v>41.24</v>
      </c>
      <c r="K124" s="9" t="n">
        <v>0</v>
      </c>
      <c r="L124" s="8" t="n">
        <v>9.869999999999999</v>
      </c>
      <c r="M124" s="8">
        <f>H124*I124*(1-K124)</f>
        <v/>
      </c>
      <c r="N124" s="8">
        <f>H124*J124</f>
        <v/>
      </c>
      <c r="O124" s="8">
        <f>M124-N124-L124</f>
        <v/>
      </c>
      <c r="P124" s="10">
        <f>IFERROR(O124/M124,0)</f>
        <v/>
      </c>
      <c r="Q124" s="3">
        <f>IF(H124&lt;=0,"Review: quantity &lt;= 0",IF(K124&gt;0.3,"Review: discount &gt; 30%",IF(G124="","Review: missing customer type","OK")))</f>
        <v/>
      </c>
    </row>
    <row r="125">
      <c r="A125" s="3" t="inlineStr">
        <is>
          <t>ORD-10124</t>
        </is>
      </c>
      <c r="B125" s="7" t="n">
        <v>45815</v>
      </c>
      <c r="C125" s="3" t="inlineStr">
        <is>
          <t>Footwear</t>
        </is>
      </c>
      <c r="D125" s="3" t="inlineStr">
        <is>
          <t>Sandals</t>
        </is>
      </c>
      <c r="E125" s="3" t="inlineStr">
        <is>
          <t>Northern</t>
        </is>
      </c>
      <c r="F125" s="3" t="inlineStr">
        <is>
          <t>Retail Shop</t>
        </is>
      </c>
      <c r="G125" s="3" t="inlineStr">
        <is>
          <t>Returning</t>
        </is>
      </c>
      <c r="H125" s="3" t="n">
        <v>2</v>
      </c>
      <c r="I125" s="8" t="n">
        <v>300</v>
      </c>
      <c r="J125" s="8" t="n">
        <v>153.01</v>
      </c>
      <c r="K125" s="9" t="n">
        <v>0</v>
      </c>
      <c r="L125" s="8" t="n">
        <v>11.39</v>
      </c>
      <c r="M125" s="8">
        <f>H125*I125*(1-K125)</f>
        <v/>
      </c>
      <c r="N125" s="8">
        <f>H125*J125</f>
        <v/>
      </c>
      <c r="O125" s="8">
        <f>M125-N125-L125</f>
        <v/>
      </c>
      <c r="P125" s="10">
        <f>IFERROR(O125/M125,0)</f>
        <v/>
      </c>
      <c r="Q125" s="3">
        <f>IF(H125&lt;=0,"Review: quantity &lt;= 0",IF(K125&gt;0.3,"Review: discount &gt; 30%",IF(G125="","Review: missing customer type","OK")))</f>
        <v/>
      </c>
    </row>
    <row r="126">
      <c r="A126" s="3" t="inlineStr">
        <is>
          <t>ORD-10125</t>
        </is>
      </c>
      <c r="B126" s="7" t="n">
        <v>45818</v>
      </c>
      <c r="C126" s="3" t="inlineStr">
        <is>
          <t>Clothing</t>
        </is>
      </c>
      <c r="D126" s="3" t="inlineStr">
        <is>
          <t>Shirts</t>
        </is>
      </c>
      <c r="E126" s="3" t="inlineStr">
        <is>
          <t>Greater Accra</t>
        </is>
      </c>
      <c r="F126" s="3" t="inlineStr">
        <is>
          <t>Online</t>
        </is>
      </c>
      <c r="G126" s="3" t="inlineStr">
        <is>
          <t>Returning</t>
        </is>
      </c>
      <c r="H126" s="3" t="n">
        <v>1</v>
      </c>
      <c r="I126" s="8" t="n">
        <v>260</v>
      </c>
      <c r="J126" s="8" t="n">
        <v>122.07</v>
      </c>
      <c r="K126" s="9" t="n">
        <v>0.1</v>
      </c>
      <c r="L126" s="8" t="n">
        <v>33.58</v>
      </c>
      <c r="M126" s="8">
        <f>H126*I126*(1-K126)</f>
        <v/>
      </c>
      <c r="N126" s="8">
        <f>H126*J126</f>
        <v/>
      </c>
      <c r="O126" s="8">
        <f>M126-N126-L126</f>
        <v/>
      </c>
      <c r="P126" s="10">
        <f>IFERROR(O126/M126,0)</f>
        <v/>
      </c>
      <c r="Q126" s="3">
        <f>IF(H126&lt;=0,"Review: quantity &lt;= 0",IF(K126&gt;0.3,"Review: discount &gt; 30%",IF(G126="","Review: missing customer type","OK")))</f>
        <v/>
      </c>
    </row>
    <row r="127">
      <c r="A127" s="3" t="inlineStr">
        <is>
          <t>ORD-10126</t>
        </is>
      </c>
      <c r="B127" s="7" t="n">
        <v>45907</v>
      </c>
      <c r="C127" s="3" t="inlineStr">
        <is>
          <t>Footwear</t>
        </is>
      </c>
      <c r="D127" s="3" t="inlineStr">
        <is>
          <t>Sandals</t>
        </is>
      </c>
      <c r="E127" s="3" t="inlineStr">
        <is>
          <t>Greater Accra</t>
        </is>
      </c>
      <c r="F127" s="3" t="inlineStr">
        <is>
          <t>Online</t>
        </is>
      </c>
      <c r="G127" s="3" t="inlineStr">
        <is>
          <t>Returning</t>
        </is>
      </c>
      <c r="H127" s="3" t="n">
        <v>1</v>
      </c>
      <c r="I127" s="8" t="n">
        <v>345</v>
      </c>
      <c r="J127" s="8" t="n">
        <v>189.77</v>
      </c>
      <c r="K127" s="9" t="n">
        <v>0</v>
      </c>
      <c r="L127" s="8" t="n">
        <v>10.75</v>
      </c>
      <c r="M127" s="8">
        <f>H127*I127*(1-K127)</f>
        <v/>
      </c>
      <c r="N127" s="8">
        <f>H127*J127</f>
        <v/>
      </c>
      <c r="O127" s="8">
        <f>M127-N127-L127</f>
        <v/>
      </c>
      <c r="P127" s="10">
        <f>IFERROR(O127/M127,0)</f>
        <v/>
      </c>
      <c r="Q127" s="3">
        <f>IF(H127&lt;=0,"Review: quantity &lt;= 0",IF(K127&gt;0.3,"Review: discount &gt; 30%",IF(G127="","Review: missing customer type","OK")))</f>
        <v/>
      </c>
    </row>
    <row r="128">
      <c r="A128" s="3" t="inlineStr">
        <is>
          <t>ORD-10127</t>
        </is>
      </c>
      <c r="B128" s="7" t="n">
        <v>45924</v>
      </c>
      <c r="C128" s="3" t="inlineStr">
        <is>
          <t>Footwear</t>
        </is>
      </c>
      <c r="D128" s="3" t="inlineStr">
        <is>
          <t>Sandals</t>
        </is>
      </c>
      <c r="E128" s="3" t="inlineStr">
        <is>
          <t>Ashanti</t>
        </is>
      </c>
      <c r="F128" s="3" t="inlineStr">
        <is>
          <t>Online</t>
        </is>
      </c>
      <c r="G128" s="3" t="inlineStr">
        <is>
          <t>Returning</t>
        </is>
      </c>
      <c r="H128" s="3" t="n">
        <v>3</v>
      </c>
      <c r="I128" s="8" t="n">
        <v>195</v>
      </c>
      <c r="J128" s="8" t="n">
        <v>111.4</v>
      </c>
      <c r="K128" s="9" t="n">
        <v>0</v>
      </c>
      <c r="L128" s="8" t="n">
        <v>25.48</v>
      </c>
      <c r="M128" s="8">
        <f>H128*I128*(1-K128)</f>
        <v/>
      </c>
      <c r="N128" s="8">
        <f>H128*J128</f>
        <v/>
      </c>
      <c r="O128" s="8">
        <f>M128-N128-L128</f>
        <v/>
      </c>
      <c r="P128" s="10">
        <f>IFERROR(O128/M128,0)</f>
        <v/>
      </c>
      <c r="Q128" s="3">
        <f>IF(H128&lt;=0,"Review: quantity &lt;= 0",IF(K128&gt;0.3,"Review: discount &gt; 30%",IF(G128="","Review: missing customer type","OK")))</f>
        <v/>
      </c>
    </row>
    <row r="129">
      <c r="A129" s="3" t="inlineStr">
        <is>
          <t>ORD-10128</t>
        </is>
      </c>
      <c r="B129" s="7" t="n">
        <v>45878</v>
      </c>
      <c r="C129" s="3" t="inlineStr">
        <is>
          <t>Footwear</t>
        </is>
      </c>
      <c r="D129" s="3" t="inlineStr">
        <is>
          <t>Sandals</t>
        </is>
      </c>
      <c r="E129" s="3" t="inlineStr">
        <is>
          <t>Ashanti</t>
        </is>
      </c>
      <c r="F129" s="3" t="inlineStr">
        <is>
          <t>Retail Shop</t>
        </is>
      </c>
      <c r="G129" s="3" t="inlineStr">
        <is>
          <t>Returning</t>
        </is>
      </c>
      <c r="H129" s="3" t="n">
        <v>4</v>
      </c>
      <c r="I129" s="8" t="n">
        <v>405</v>
      </c>
      <c r="J129" s="8" t="n">
        <v>250.2</v>
      </c>
      <c r="K129" s="9" t="n">
        <v>0.1</v>
      </c>
      <c r="L129" s="8" t="n">
        <v>8.4</v>
      </c>
      <c r="M129" s="8">
        <f>H129*I129*(1-K129)</f>
        <v/>
      </c>
      <c r="N129" s="8">
        <f>H129*J129</f>
        <v/>
      </c>
      <c r="O129" s="8">
        <f>M129-N129-L129</f>
        <v/>
      </c>
      <c r="P129" s="10">
        <f>IFERROR(O129/M129,0)</f>
        <v/>
      </c>
      <c r="Q129" s="3">
        <f>IF(H129&lt;=0,"Review: quantity &lt;= 0",IF(K129&gt;0.3,"Review: discount &gt; 30%",IF(G129="","Review: missing customer type","OK")))</f>
        <v/>
      </c>
    </row>
    <row r="130">
      <c r="A130" s="3" t="inlineStr">
        <is>
          <t>ORD-10129</t>
        </is>
      </c>
      <c r="B130" s="7" t="n">
        <v>45851</v>
      </c>
      <c r="C130" s="3" t="inlineStr">
        <is>
          <t>Accessories</t>
        </is>
      </c>
      <c r="D130" s="3" t="inlineStr">
        <is>
          <t>Watches</t>
        </is>
      </c>
      <c r="E130" s="3" t="inlineStr">
        <is>
          <t>Greater Accra</t>
        </is>
      </c>
      <c r="F130" s="3" t="inlineStr">
        <is>
          <t>Phone/WhatsApp</t>
        </is>
      </c>
      <c r="G130" s="3" t="inlineStr">
        <is>
          <t>New</t>
        </is>
      </c>
      <c r="H130" s="3" t="n">
        <v>3</v>
      </c>
      <c r="I130" s="8" t="n">
        <v>60</v>
      </c>
      <c r="J130" s="8" t="n">
        <v>30.38</v>
      </c>
      <c r="K130" s="9" t="n">
        <v>0.1</v>
      </c>
      <c r="L130" s="8" t="n">
        <v>20.44</v>
      </c>
      <c r="M130" s="8">
        <f>H130*I130*(1-K130)</f>
        <v/>
      </c>
      <c r="N130" s="8">
        <f>H130*J130</f>
        <v/>
      </c>
      <c r="O130" s="8">
        <f>M130-N130-L130</f>
        <v/>
      </c>
      <c r="P130" s="10">
        <f>IFERROR(O130/M130,0)</f>
        <v/>
      </c>
      <c r="Q130" s="3">
        <f>IF(H130&lt;=0,"Review: quantity &lt;= 0",IF(K130&gt;0.3,"Review: discount &gt; 30%",IF(G130="","Review: missing customer type","OK")))</f>
        <v/>
      </c>
    </row>
    <row r="131">
      <c r="A131" s="3" t="inlineStr">
        <is>
          <t>ORD-10130</t>
        </is>
      </c>
      <c r="B131" s="7" t="n">
        <v>45778</v>
      </c>
      <c r="C131" s="3" t="inlineStr">
        <is>
          <t>Clothing</t>
        </is>
      </c>
      <c r="D131" s="3" t="inlineStr">
        <is>
          <t>Dresses</t>
        </is>
      </c>
      <c r="E131" s="3" t="inlineStr">
        <is>
          <t>Central</t>
        </is>
      </c>
      <c r="F131" s="3" t="inlineStr">
        <is>
          <t>Retail Shop</t>
        </is>
      </c>
      <c r="G131" s="3" t="inlineStr">
        <is>
          <t>Returning</t>
        </is>
      </c>
      <c r="H131" s="3" t="n">
        <v>2</v>
      </c>
      <c r="I131" s="8" t="n">
        <v>195</v>
      </c>
      <c r="J131" s="8" t="n">
        <v>100.07</v>
      </c>
      <c r="K131" s="9" t="n">
        <v>0.1</v>
      </c>
      <c r="L131" s="8" t="n">
        <v>0.6899999999999999</v>
      </c>
      <c r="M131" s="8">
        <f>H131*I131*(1-K131)</f>
        <v/>
      </c>
      <c r="N131" s="8">
        <f>H131*J131</f>
        <v/>
      </c>
      <c r="O131" s="8">
        <f>M131-N131-L131</f>
        <v/>
      </c>
      <c r="P131" s="10">
        <f>IFERROR(O131/M131,0)</f>
        <v/>
      </c>
      <c r="Q131" s="3">
        <f>IF(H131&lt;=0,"Review: quantity &lt;= 0",IF(K131&gt;0.3,"Review: discount &gt; 30%",IF(G131="","Review: missing customer type","OK")))</f>
        <v/>
      </c>
    </row>
    <row r="132">
      <c r="A132" s="3" t="inlineStr">
        <is>
          <t>ORD-10131</t>
        </is>
      </c>
      <c r="B132" s="7" t="n">
        <v>45915</v>
      </c>
      <c r="C132" s="3" t="inlineStr">
        <is>
          <t>Footwear</t>
        </is>
      </c>
      <c r="D132" s="3" t="inlineStr">
        <is>
          <t>Boots</t>
        </is>
      </c>
      <c r="E132" s="3" t="inlineStr">
        <is>
          <t>Ashanti</t>
        </is>
      </c>
      <c r="F132" s="3" t="inlineStr">
        <is>
          <t>Retail Shop</t>
        </is>
      </c>
      <c r="G132" s="3" t="inlineStr">
        <is>
          <t>New</t>
        </is>
      </c>
      <c r="H132" s="3" t="n">
        <v>4</v>
      </c>
      <c r="I132" s="8" t="n">
        <v>165</v>
      </c>
      <c r="J132" s="8" t="n">
        <v>87.09</v>
      </c>
      <c r="K132" s="9" t="n">
        <v>0.15</v>
      </c>
      <c r="L132" s="8" t="n">
        <v>3.95</v>
      </c>
      <c r="M132" s="8">
        <f>H132*I132*(1-K132)</f>
        <v/>
      </c>
      <c r="N132" s="8">
        <f>H132*J132</f>
        <v/>
      </c>
      <c r="O132" s="8">
        <f>M132-N132-L132</f>
        <v/>
      </c>
      <c r="P132" s="10">
        <f>IFERROR(O132/M132,0)</f>
        <v/>
      </c>
      <c r="Q132" s="3">
        <f>IF(H132&lt;=0,"Review: quantity &lt;= 0",IF(K132&gt;0.3,"Review: discount &gt; 30%",IF(G132="","Review: missing customer type","OK")))</f>
        <v/>
      </c>
    </row>
    <row r="133">
      <c r="A133" s="3" t="inlineStr">
        <is>
          <t>ORD-10132</t>
        </is>
      </c>
      <c r="B133" s="7" t="n">
        <v>45679</v>
      </c>
      <c r="C133" s="3" t="inlineStr">
        <is>
          <t>Clothing</t>
        </is>
      </c>
      <c r="D133" s="3" t="inlineStr">
        <is>
          <t>Dresses</t>
        </is>
      </c>
      <c r="E133" s="3" t="inlineStr">
        <is>
          <t>Northern</t>
        </is>
      </c>
      <c r="F133" s="3" t="inlineStr">
        <is>
          <t>Retail Shop</t>
        </is>
      </c>
      <c r="G133" s="3" t="inlineStr">
        <is>
          <t>Returning</t>
        </is>
      </c>
      <c r="H133" s="3" t="n">
        <v>4</v>
      </c>
      <c r="I133" s="8" t="n">
        <v>210</v>
      </c>
      <c r="J133" s="8" t="n">
        <v>115.79</v>
      </c>
      <c r="K133" s="9" t="n">
        <v>0.1</v>
      </c>
      <c r="L133" s="8" t="n">
        <v>0.47</v>
      </c>
      <c r="M133" s="8">
        <f>H133*I133*(1-K133)</f>
        <v/>
      </c>
      <c r="N133" s="8">
        <f>H133*J133</f>
        <v/>
      </c>
      <c r="O133" s="8">
        <f>M133-N133-L133</f>
        <v/>
      </c>
      <c r="P133" s="10">
        <f>IFERROR(O133/M133,0)</f>
        <v/>
      </c>
      <c r="Q133" s="3">
        <f>IF(H133&lt;=0,"Review: quantity &lt;= 0",IF(K133&gt;0.3,"Review: discount &gt; 30%",IF(G133="","Review: missing customer type","OK")))</f>
        <v/>
      </c>
    </row>
    <row r="134">
      <c r="A134" s="3" t="inlineStr">
        <is>
          <t>ORD-10133</t>
        </is>
      </c>
      <c r="B134" s="7" t="n">
        <v>45967</v>
      </c>
      <c r="C134" s="3" t="inlineStr">
        <is>
          <t>Home &amp; Lifestyle</t>
        </is>
      </c>
      <c r="D134" s="3" t="inlineStr">
        <is>
          <t>Backpacks</t>
        </is>
      </c>
      <c r="E134" s="3" t="inlineStr">
        <is>
          <t>Greater Accra</t>
        </is>
      </c>
      <c r="F134" s="3" t="inlineStr">
        <is>
          <t>Retail Shop</t>
        </is>
      </c>
      <c r="G134" s="3" t="inlineStr">
        <is>
          <t>Returning</t>
        </is>
      </c>
      <c r="H134" s="3" t="n">
        <v>4</v>
      </c>
      <c r="I134" s="8" t="n">
        <v>145</v>
      </c>
      <c r="J134" s="8" t="n">
        <v>78.31999999999999</v>
      </c>
      <c r="K134" s="9" t="n">
        <v>0.1</v>
      </c>
      <c r="L134" s="8" t="n">
        <v>9.19</v>
      </c>
      <c r="M134" s="8">
        <f>H134*I134*(1-K134)</f>
        <v/>
      </c>
      <c r="N134" s="8">
        <f>H134*J134</f>
        <v/>
      </c>
      <c r="O134" s="8">
        <f>M134-N134-L134</f>
        <v/>
      </c>
      <c r="P134" s="10">
        <f>IFERROR(O134/M134,0)</f>
        <v/>
      </c>
      <c r="Q134" s="3">
        <f>IF(H134&lt;=0,"Review: quantity &lt;= 0",IF(K134&gt;0.3,"Review: discount &gt; 30%",IF(G134="","Review: missing customer type","OK")))</f>
        <v/>
      </c>
    </row>
    <row r="135">
      <c r="A135" s="3" t="inlineStr">
        <is>
          <t>ORD-10134</t>
        </is>
      </c>
      <c r="B135" s="7" t="n">
        <v>45713</v>
      </c>
      <c r="C135" s="3" t="inlineStr">
        <is>
          <t>Clothing</t>
        </is>
      </c>
      <c r="D135" s="3" t="inlineStr">
        <is>
          <t>Dresses</t>
        </is>
      </c>
      <c r="E135" s="3" t="inlineStr">
        <is>
          <t>Western</t>
        </is>
      </c>
      <c r="F135" s="3" t="inlineStr">
        <is>
          <t>Online</t>
        </is>
      </c>
      <c r="G135" s="3" t="inlineStr">
        <is>
          <t>Returning</t>
        </is>
      </c>
      <c r="H135" s="3" t="n">
        <v>3</v>
      </c>
      <c r="I135" s="8" t="n">
        <v>200</v>
      </c>
      <c r="J135" s="8" t="n">
        <v>99.98</v>
      </c>
      <c r="K135" s="9" t="n">
        <v>0</v>
      </c>
      <c r="L135" s="8" t="n">
        <v>17.35</v>
      </c>
      <c r="M135" s="8">
        <f>H135*I135*(1-K135)</f>
        <v/>
      </c>
      <c r="N135" s="8">
        <f>H135*J135</f>
        <v/>
      </c>
      <c r="O135" s="8">
        <f>M135-N135-L135</f>
        <v/>
      </c>
      <c r="P135" s="10">
        <f>IFERROR(O135/M135,0)</f>
        <v/>
      </c>
      <c r="Q135" s="3">
        <f>IF(H135&lt;=0,"Review: quantity &lt;= 0",IF(K135&gt;0.3,"Review: discount &gt; 30%",IF(G135="","Review: missing customer type","OK")))</f>
        <v/>
      </c>
    </row>
    <row r="136">
      <c r="A136" s="3" t="inlineStr">
        <is>
          <t>ORD-10135</t>
        </is>
      </c>
      <c r="B136" s="7" t="n">
        <v>45717</v>
      </c>
      <c r="C136" s="3" t="inlineStr">
        <is>
          <t>Accessories</t>
        </is>
      </c>
      <c r="D136" s="3" t="inlineStr">
        <is>
          <t>Belts</t>
        </is>
      </c>
      <c r="E136" s="3" t="inlineStr">
        <is>
          <t>Greater Accra</t>
        </is>
      </c>
      <c r="F136" s="3" t="inlineStr">
        <is>
          <t>Retail Shop</t>
        </is>
      </c>
      <c r="G136" s="3" t="inlineStr">
        <is>
          <t>New</t>
        </is>
      </c>
      <c r="H136" s="3" t="n">
        <v>2</v>
      </c>
      <c r="I136" s="8" t="n">
        <v>110</v>
      </c>
      <c r="J136" s="8" t="n">
        <v>52.58</v>
      </c>
      <c r="K136" s="9" t="n">
        <v>0.05</v>
      </c>
      <c r="L136" s="8" t="n">
        <v>8.390000000000001</v>
      </c>
      <c r="M136" s="8">
        <f>H136*I136*(1-K136)</f>
        <v/>
      </c>
      <c r="N136" s="8">
        <f>H136*J136</f>
        <v/>
      </c>
      <c r="O136" s="8">
        <f>M136-N136-L136</f>
        <v/>
      </c>
      <c r="P136" s="10">
        <f>IFERROR(O136/M136,0)</f>
        <v/>
      </c>
      <c r="Q136" s="3">
        <f>IF(H136&lt;=0,"Review: quantity &lt;= 0",IF(K136&gt;0.3,"Review: discount &gt; 30%",IF(G136="","Review: missing customer type","OK")))</f>
        <v/>
      </c>
    </row>
    <row r="137">
      <c r="A137" s="3" t="inlineStr">
        <is>
          <t>ORD-10136</t>
        </is>
      </c>
      <c r="B137" s="7" t="n">
        <v>45748</v>
      </c>
      <c r="C137" s="3" t="inlineStr">
        <is>
          <t>Clothing</t>
        </is>
      </c>
      <c r="D137" s="3" t="inlineStr">
        <is>
          <t>Shirts</t>
        </is>
      </c>
      <c r="E137" s="3" t="inlineStr">
        <is>
          <t>Western</t>
        </is>
      </c>
      <c r="F137" s="3" t="inlineStr">
        <is>
          <t>Online</t>
        </is>
      </c>
      <c r="G137" s="3" t="inlineStr">
        <is>
          <t>Returning</t>
        </is>
      </c>
      <c r="H137" s="3" t="n">
        <v>1</v>
      </c>
      <c r="I137" s="8" t="n">
        <v>255</v>
      </c>
      <c r="J137" s="8" t="n">
        <v>139.53</v>
      </c>
      <c r="K137" s="9" t="n">
        <v>0.2</v>
      </c>
      <c r="L137" s="8" t="n">
        <v>29.27</v>
      </c>
      <c r="M137" s="8">
        <f>H137*I137*(1-K137)</f>
        <v/>
      </c>
      <c r="N137" s="8">
        <f>H137*J137</f>
        <v/>
      </c>
      <c r="O137" s="8">
        <f>M137-N137-L137</f>
        <v/>
      </c>
      <c r="P137" s="10">
        <f>IFERROR(O137/M137,0)</f>
        <v/>
      </c>
      <c r="Q137" s="3">
        <f>IF(H137&lt;=0,"Review: quantity &lt;= 0",IF(K137&gt;0.3,"Review: discount &gt; 30%",IF(G137="","Review: missing customer type","OK")))</f>
        <v/>
      </c>
    </row>
    <row r="138">
      <c r="A138" s="3" t="inlineStr">
        <is>
          <t>ORD-10137</t>
        </is>
      </c>
      <c r="B138" s="7" t="n">
        <v>45676</v>
      </c>
      <c r="C138" s="3" t="inlineStr">
        <is>
          <t>Accessories</t>
        </is>
      </c>
      <c r="D138" s="3" t="inlineStr">
        <is>
          <t>Belts</t>
        </is>
      </c>
      <c r="E138" s="3" t="inlineStr">
        <is>
          <t>Ashanti</t>
        </is>
      </c>
      <c r="F138" s="3" t="inlineStr">
        <is>
          <t>Phone/WhatsApp</t>
        </is>
      </c>
      <c r="G138" s="3" t="inlineStr">
        <is>
          <t>Returning</t>
        </is>
      </c>
      <c r="H138" s="3" t="n">
        <v>4</v>
      </c>
      <c r="I138" s="8" t="n">
        <v>95</v>
      </c>
      <c r="J138" s="8" t="n">
        <v>47.64</v>
      </c>
      <c r="K138" s="9" t="n">
        <v>0</v>
      </c>
      <c r="L138" s="8" t="n">
        <v>38.47</v>
      </c>
      <c r="M138" s="8">
        <f>H138*I138*(1-K138)</f>
        <v/>
      </c>
      <c r="N138" s="8">
        <f>H138*J138</f>
        <v/>
      </c>
      <c r="O138" s="8">
        <f>M138-N138-L138</f>
        <v/>
      </c>
      <c r="P138" s="10">
        <f>IFERROR(O138/M138,0)</f>
        <v/>
      </c>
      <c r="Q138" s="3">
        <f>IF(H138&lt;=0,"Review: quantity &lt;= 0",IF(K138&gt;0.3,"Review: discount &gt; 30%",IF(G138="","Review: missing customer type","OK")))</f>
        <v/>
      </c>
    </row>
    <row r="139">
      <c r="A139" s="3" t="inlineStr">
        <is>
          <t>ORD-10138</t>
        </is>
      </c>
      <c r="B139" s="7" t="n">
        <v>45828</v>
      </c>
      <c r="C139" s="3" t="inlineStr">
        <is>
          <t>Clothing</t>
        </is>
      </c>
      <c r="D139" s="3" t="inlineStr">
        <is>
          <t>Dresses</t>
        </is>
      </c>
      <c r="E139" s="3" t="inlineStr">
        <is>
          <t>Greater Accra</t>
        </is>
      </c>
      <c r="F139" s="3" t="inlineStr">
        <is>
          <t>Online</t>
        </is>
      </c>
      <c r="G139" s="3" t="inlineStr">
        <is>
          <t>New</t>
        </is>
      </c>
      <c r="H139" s="3" t="n">
        <v>2</v>
      </c>
      <c r="I139" s="8" t="n">
        <v>125</v>
      </c>
      <c r="J139" s="8" t="n">
        <v>60.54</v>
      </c>
      <c r="K139" s="9" t="n">
        <v>0</v>
      </c>
      <c r="L139" s="8" t="n">
        <v>21.85</v>
      </c>
      <c r="M139" s="8">
        <f>H139*I139*(1-K139)</f>
        <v/>
      </c>
      <c r="N139" s="8">
        <f>H139*J139</f>
        <v/>
      </c>
      <c r="O139" s="8">
        <f>M139-N139-L139</f>
        <v/>
      </c>
      <c r="P139" s="10">
        <f>IFERROR(O139/M139,0)</f>
        <v/>
      </c>
      <c r="Q139" s="3">
        <f>IF(H139&lt;=0,"Review: quantity &lt;= 0",IF(K139&gt;0.3,"Review: discount &gt; 30%",IF(G139="","Review: missing customer type","OK")))</f>
        <v/>
      </c>
    </row>
    <row r="140">
      <c r="A140" s="3" t="inlineStr">
        <is>
          <t>ORD-10139</t>
        </is>
      </c>
      <c r="B140" s="7" t="n">
        <v>45888</v>
      </c>
      <c r="C140" s="3" t="inlineStr">
        <is>
          <t>Home &amp; Lifestyle</t>
        </is>
      </c>
      <c r="D140" s="3" t="inlineStr">
        <is>
          <t>Wallets</t>
        </is>
      </c>
      <c r="E140" s="3" t="inlineStr">
        <is>
          <t>Greater Accra</t>
        </is>
      </c>
      <c r="F140" s="3" t="inlineStr">
        <is>
          <t>Phone/WhatsApp</t>
        </is>
      </c>
      <c r="G140" s="3" t="inlineStr">
        <is>
          <t>Returning</t>
        </is>
      </c>
      <c r="H140" s="3" t="n">
        <v>6</v>
      </c>
      <c r="I140" s="8" t="n">
        <v>155</v>
      </c>
      <c r="J140" s="8" t="n">
        <v>93.69</v>
      </c>
      <c r="K140" s="9" t="n">
        <v>0</v>
      </c>
      <c r="L140" s="8" t="n">
        <v>38.12</v>
      </c>
      <c r="M140" s="8">
        <f>H140*I140*(1-K140)</f>
        <v/>
      </c>
      <c r="N140" s="8">
        <f>H140*J140</f>
        <v/>
      </c>
      <c r="O140" s="8">
        <f>M140-N140-L140</f>
        <v/>
      </c>
      <c r="P140" s="10">
        <f>IFERROR(O140/M140,0)</f>
        <v/>
      </c>
      <c r="Q140" s="3">
        <f>IF(H140&lt;=0,"Review: quantity &lt;= 0",IF(K140&gt;0.3,"Review: discount &gt; 30%",IF(G140="","Review: missing customer type","OK")))</f>
        <v/>
      </c>
    </row>
    <row r="141">
      <c r="A141" s="3" t="inlineStr">
        <is>
          <t>ORD-10140</t>
        </is>
      </c>
      <c r="B141" s="7" t="n">
        <v>45957</v>
      </c>
      <c r="C141" s="3" t="inlineStr">
        <is>
          <t>Clothing</t>
        </is>
      </c>
      <c r="D141" s="3" t="inlineStr">
        <is>
          <t>Jackets</t>
        </is>
      </c>
      <c r="E141" s="3" t="inlineStr">
        <is>
          <t>Greater Accra</t>
        </is>
      </c>
      <c r="F141" s="3" t="inlineStr">
        <is>
          <t>Retail Shop</t>
        </is>
      </c>
      <c r="G141" s="3" t="inlineStr">
        <is>
          <t>New</t>
        </is>
      </c>
      <c r="H141" s="3" t="n">
        <v>1</v>
      </c>
      <c r="I141" s="8" t="n">
        <v>160</v>
      </c>
      <c r="J141" s="8" t="n">
        <v>91.31</v>
      </c>
      <c r="K141" s="9" t="n">
        <v>0.15</v>
      </c>
      <c r="L141" s="8" t="n">
        <v>1.91</v>
      </c>
      <c r="M141" s="8">
        <f>H141*I141*(1-K141)</f>
        <v/>
      </c>
      <c r="N141" s="8">
        <f>H141*J141</f>
        <v/>
      </c>
      <c r="O141" s="8">
        <f>M141-N141-L141</f>
        <v/>
      </c>
      <c r="P141" s="10">
        <f>IFERROR(O141/M141,0)</f>
        <v/>
      </c>
      <c r="Q141" s="3">
        <f>IF(H141&lt;=0,"Review: quantity &lt;= 0",IF(K141&gt;0.3,"Review: discount &gt; 30%",IF(G141="","Review: missing customer type","OK")))</f>
        <v/>
      </c>
    </row>
    <row r="142">
      <c r="A142" s="3" t="inlineStr">
        <is>
          <t>ORD-10141</t>
        </is>
      </c>
      <c r="B142" s="7" t="n">
        <v>45754</v>
      </c>
      <c r="C142" s="3" t="inlineStr">
        <is>
          <t>Home &amp; Lifestyle</t>
        </is>
      </c>
      <c r="D142" s="3" t="inlineStr">
        <is>
          <t>Backpacks</t>
        </is>
      </c>
      <c r="E142" s="3" t="inlineStr">
        <is>
          <t>Ashanti</t>
        </is>
      </c>
      <c r="F142" s="3" t="inlineStr">
        <is>
          <t>Retail Shop</t>
        </is>
      </c>
      <c r="G142" s="3" t="inlineStr">
        <is>
          <t>Returning</t>
        </is>
      </c>
      <c r="H142" s="3" t="n">
        <v>6</v>
      </c>
      <c r="I142" s="8" t="n">
        <v>105</v>
      </c>
      <c r="J142" s="8" t="n">
        <v>53</v>
      </c>
      <c r="K142" s="9" t="n">
        <v>0.15</v>
      </c>
      <c r="L142" s="8" t="n">
        <v>2.35</v>
      </c>
      <c r="M142" s="8">
        <f>H142*I142*(1-K142)</f>
        <v/>
      </c>
      <c r="N142" s="8">
        <f>H142*J142</f>
        <v/>
      </c>
      <c r="O142" s="8">
        <f>M142-N142-L142</f>
        <v/>
      </c>
      <c r="P142" s="10">
        <f>IFERROR(O142/M142,0)</f>
        <v/>
      </c>
      <c r="Q142" s="3">
        <f>IF(H142&lt;=0,"Review: quantity &lt;= 0",IF(K142&gt;0.3,"Review: discount &gt; 30%",IF(G142="","Review: missing customer type","OK")))</f>
        <v/>
      </c>
    </row>
    <row r="143">
      <c r="A143" s="3" t="inlineStr">
        <is>
          <t>ORD-10142</t>
        </is>
      </c>
      <c r="B143" s="7" t="n">
        <v>45907</v>
      </c>
      <c r="C143" s="3" t="inlineStr">
        <is>
          <t>Clothing</t>
        </is>
      </c>
      <c r="D143" s="3" t="inlineStr">
        <is>
          <t>Jackets</t>
        </is>
      </c>
      <c r="E143" s="3" t="inlineStr">
        <is>
          <t>Northern</t>
        </is>
      </c>
      <c r="F143" s="3" t="inlineStr">
        <is>
          <t>Online</t>
        </is>
      </c>
      <c r="G143" s="3" t="inlineStr">
        <is>
          <t>Returning</t>
        </is>
      </c>
      <c r="H143" s="3" t="n">
        <v>3</v>
      </c>
      <c r="I143" s="8" t="n">
        <v>270</v>
      </c>
      <c r="J143" s="8" t="n">
        <v>147.6</v>
      </c>
      <c r="K143" s="9" t="n">
        <v>0.05</v>
      </c>
      <c r="L143" s="8" t="n">
        <v>8.199999999999999</v>
      </c>
      <c r="M143" s="8">
        <f>H143*I143*(1-K143)</f>
        <v/>
      </c>
      <c r="N143" s="8">
        <f>H143*J143</f>
        <v/>
      </c>
      <c r="O143" s="8">
        <f>M143-N143-L143</f>
        <v/>
      </c>
      <c r="P143" s="10">
        <f>IFERROR(O143/M143,0)</f>
        <v/>
      </c>
      <c r="Q143" s="3">
        <f>IF(H143&lt;=0,"Review: quantity &lt;= 0",IF(K143&gt;0.3,"Review: discount &gt; 30%",IF(G143="","Review: missing customer type","OK")))</f>
        <v/>
      </c>
    </row>
    <row r="144">
      <c r="A144" s="3" t="inlineStr">
        <is>
          <t>ORD-10143</t>
        </is>
      </c>
      <c r="B144" s="7" t="n">
        <v>45961</v>
      </c>
      <c r="C144" s="3" t="inlineStr">
        <is>
          <t>Home &amp; Lifestyle</t>
        </is>
      </c>
      <c r="D144" s="3" t="inlineStr">
        <is>
          <t>Travel Mugs</t>
        </is>
      </c>
      <c r="E144" s="3" t="inlineStr">
        <is>
          <t>Western</t>
        </is>
      </c>
      <c r="F144" s="3" t="inlineStr">
        <is>
          <t>Retail Shop</t>
        </is>
      </c>
      <c r="G144" s="3" t="inlineStr">
        <is>
          <t>Returning</t>
        </is>
      </c>
      <c r="H144" s="3" t="n">
        <v>1</v>
      </c>
      <c r="I144" s="8" t="n">
        <v>95</v>
      </c>
      <c r="J144" s="8" t="n">
        <v>51.35</v>
      </c>
      <c r="K144" s="9" t="n">
        <v>0</v>
      </c>
      <c r="L144" s="8" t="n">
        <v>5.16</v>
      </c>
      <c r="M144" s="8">
        <f>H144*I144*(1-K144)</f>
        <v/>
      </c>
      <c r="N144" s="8">
        <f>H144*J144</f>
        <v/>
      </c>
      <c r="O144" s="8">
        <f>M144-N144-L144</f>
        <v/>
      </c>
      <c r="P144" s="10">
        <f>IFERROR(O144/M144,0)</f>
        <v/>
      </c>
      <c r="Q144" s="3">
        <f>IF(H144&lt;=0,"Review: quantity &lt;= 0",IF(K144&gt;0.3,"Review: discount &gt; 30%",IF(G144="","Review: missing customer type","OK")))</f>
        <v/>
      </c>
    </row>
    <row r="145">
      <c r="A145" s="3" t="inlineStr">
        <is>
          <t>ORD-10144</t>
        </is>
      </c>
      <c r="B145" s="7" t="n">
        <v>45891</v>
      </c>
      <c r="C145" s="3" t="inlineStr">
        <is>
          <t>Footwear</t>
        </is>
      </c>
      <c r="D145" s="3" t="inlineStr">
        <is>
          <t>Sneakers</t>
        </is>
      </c>
      <c r="E145" s="3" t="inlineStr">
        <is>
          <t>Western</t>
        </is>
      </c>
      <c r="F145" s="3" t="inlineStr">
        <is>
          <t>Online</t>
        </is>
      </c>
      <c r="G145" s="3" t="inlineStr">
        <is>
          <t>New</t>
        </is>
      </c>
      <c r="H145" s="3" t="n">
        <v>2</v>
      </c>
      <c r="I145" s="8" t="n">
        <v>255</v>
      </c>
      <c r="J145" s="8" t="n">
        <v>144.25</v>
      </c>
      <c r="K145" s="9" t="n">
        <v>0</v>
      </c>
      <c r="L145" s="8" t="n">
        <v>27.89</v>
      </c>
      <c r="M145" s="8">
        <f>H145*I145*(1-K145)</f>
        <v/>
      </c>
      <c r="N145" s="8">
        <f>H145*J145</f>
        <v/>
      </c>
      <c r="O145" s="8">
        <f>M145-N145-L145</f>
        <v/>
      </c>
      <c r="P145" s="10">
        <f>IFERROR(O145/M145,0)</f>
        <v/>
      </c>
      <c r="Q145" s="3">
        <f>IF(H145&lt;=0,"Review: quantity &lt;= 0",IF(K145&gt;0.3,"Review: discount &gt; 30%",IF(G145="","Review: missing customer type","OK")))</f>
        <v/>
      </c>
    </row>
    <row r="146">
      <c r="A146" s="3" t="inlineStr">
        <is>
          <t>ORD-10145</t>
        </is>
      </c>
      <c r="B146" s="7" t="n">
        <v>45804</v>
      </c>
      <c r="C146" s="3" t="inlineStr">
        <is>
          <t>Clothing</t>
        </is>
      </c>
      <c r="D146" s="3" t="inlineStr">
        <is>
          <t>Jackets</t>
        </is>
      </c>
      <c r="E146" s="3" t="inlineStr">
        <is>
          <t>Ashanti</t>
        </is>
      </c>
      <c r="F146" s="3" t="inlineStr">
        <is>
          <t>Retail Shop</t>
        </is>
      </c>
      <c r="G146" s="3" t="inlineStr">
        <is>
          <t>Returning</t>
        </is>
      </c>
      <c r="H146" s="3" t="n">
        <v>1</v>
      </c>
      <c r="I146" s="8" t="n">
        <v>140</v>
      </c>
      <c r="J146" s="8" t="n">
        <v>75.62</v>
      </c>
      <c r="K146" s="9" t="n">
        <v>0.2</v>
      </c>
      <c r="L146" s="8" t="n">
        <v>8.68</v>
      </c>
      <c r="M146" s="8">
        <f>H146*I146*(1-K146)</f>
        <v/>
      </c>
      <c r="N146" s="8">
        <f>H146*J146</f>
        <v/>
      </c>
      <c r="O146" s="8">
        <f>M146-N146-L146</f>
        <v/>
      </c>
      <c r="P146" s="10">
        <f>IFERROR(O146/M146,0)</f>
        <v/>
      </c>
      <c r="Q146" s="3">
        <f>IF(H146&lt;=0,"Review: quantity &lt;= 0",IF(K146&gt;0.3,"Review: discount &gt; 30%",IF(G146="","Review: missing customer type","OK")))</f>
        <v/>
      </c>
    </row>
    <row r="147">
      <c r="A147" s="3" t="inlineStr">
        <is>
          <t>ORD-10146</t>
        </is>
      </c>
      <c r="B147" s="7" t="n">
        <v>46006</v>
      </c>
      <c r="C147" s="3" t="inlineStr">
        <is>
          <t>Footwear</t>
        </is>
      </c>
      <c r="D147" s="3" t="inlineStr">
        <is>
          <t>Boots</t>
        </is>
      </c>
      <c r="E147" s="3" t="inlineStr">
        <is>
          <t>Northern</t>
        </is>
      </c>
      <c r="F147" s="3" t="inlineStr">
        <is>
          <t>Phone/WhatsApp</t>
        </is>
      </c>
      <c r="G147" s="3" t="inlineStr">
        <is>
          <t>Returning</t>
        </is>
      </c>
      <c r="H147" s="3" t="n">
        <v>1</v>
      </c>
      <c r="I147" s="8" t="n">
        <v>255</v>
      </c>
      <c r="J147" s="8" t="n">
        <v>155.42</v>
      </c>
      <c r="K147" s="9" t="n">
        <v>0.05</v>
      </c>
      <c r="L147" s="8" t="n">
        <v>11.52</v>
      </c>
      <c r="M147" s="8">
        <f>H147*I147*(1-K147)</f>
        <v/>
      </c>
      <c r="N147" s="8">
        <f>H147*J147</f>
        <v/>
      </c>
      <c r="O147" s="8">
        <f>M147-N147-L147</f>
        <v/>
      </c>
      <c r="P147" s="10">
        <f>IFERROR(O147/M147,0)</f>
        <v/>
      </c>
      <c r="Q147" s="3">
        <f>IF(H147&lt;=0,"Review: quantity &lt;= 0",IF(K147&gt;0.3,"Review: discount &gt; 30%",IF(G147="","Review: missing customer type","OK")))</f>
        <v/>
      </c>
    </row>
    <row r="148">
      <c r="A148" s="3" t="inlineStr">
        <is>
          <t>ORD-10147</t>
        </is>
      </c>
      <c r="B148" s="7" t="n">
        <v>45940</v>
      </c>
      <c r="C148" s="3" t="inlineStr">
        <is>
          <t>Footwear</t>
        </is>
      </c>
      <c r="D148" s="3" t="inlineStr">
        <is>
          <t>Sandals</t>
        </is>
      </c>
      <c r="E148" s="3" t="inlineStr">
        <is>
          <t>Western</t>
        </is>
      </c>
      <c r="F148" s="3" t="inlineStr">
        <is>
          <t>Retail Shop</t>
        </is>
      </c>
      <c r="G148" s="3" t="inlineStr">
        <is>
          <t>Returning</t>
        </is>
      </c>
      <c r="H148" s="3" t="n">
        <v>1</v>
      </c>
      <c r="I148" s="8" t="n">
        <v>210</v>
      </c>
      <c r="J148" s="8" t="n">
        <v>111.5</v>
      </c>
      <c r="K148" s="9" t="n">
        <v>0.05</v>
      </c>
      <c r="L148" s="8" t="n">
        <v>4.78</v>
      </c>
      <c r="M148" s="8">
        <f>H148*I148*(1-K148)</f>
        <v/>
      </c>
      <c r="N148" s="8">
        <f>H148*J148</f>
        <v/>
      </c>
      <c r="O148" s="8">
        <f>M148-N148-L148</f>
        <v/>
      </c>
      <c r="P148" s="10">
        <f>IFERROR(O148/M148,0)</f>
        <v/>
      </c>
      <c r="Q148" s="3">
        <f>IF(H148&lt;=0,"Review: quantity &lt;= 0",IF(K148&gt;0.3,"Review: discount &gt; 30%",IF(G148="","Review: missing customer type","OK")))</f>
        <v/>
      </c>
    </row>
    <row r="149">
      <c r="A149" s="3" t="inlineStr">
        <is>
          <t>ORD-10148</t>
        </is>
      </c>
      <c r="B149" s="7" t="n">
        <v>45690</v>
      </c>
      <c r="C149" s="3" t="inlineStr">
        <is>
          <t>Footwear</t>
        </is>
      </c>
      <c r="D149" s="3" t="inlineStr">
        <is>
          <t>Sandals</t>
        </is>
      </c>
      <c r="E149" s="3" t="inlineStr">
        <is>
          <t>Ashanti</t>
        </is>
      </c>
      <c r="F149" s="3" t="inlineStr">
        <is>
          <t>Online</t>
        </is>
      </c>
      <c r="G149" s="3" t="inlineStr">
        <is>
          <t>Returning</t>
        </is>
      </c>
      <c r="H149" s="3" t="n">
        <v>1</v>
      </c>
      <c r="I149" s="8" t="n">
        <v>335</v>
      </c>
      <c r="J149" s="8" t="n">
        <v>188.18</v>
      </c>
      <c r="K149" s="9" t="n">
        <v>0.15</v>
      </c>
      <c r="L149" s="8" t="n">
        <v>27.36</v>
      </c>
      <c r="M149" s="8">
        <f>H149*I149*(1-K149)</f>
        <v/>
      </c>
      <c r="N149" s="8">
        <f>H149*J149</f>
        <v/>
      </c>
      <c r="O149" s="8">
        <f>M149-N149-L149</f>
        <v/>
      </c>
      <c r="P149" s="10">
        <f>IFERROR(O149/M149,0)</f>
        <v/>
      </c>
      <c r="Q149" s="3">
        <f>IF(H149&lt;=0,"Review: quantity &lt;= 0",IF(K149&gt;0.3,"Review: discount &gt; 30%",IF(G149="","Review: missing customer type","OK")))</f>
        <v/>
      </c>
    </row>
    <row r="150">
      <c r="A150" s="3" t="inlineStr">
        <is>
          <t>ORD-10149</t>
        </is>
      </c>
      <c r="B150" s="7" t="n">
        <v>45844</v>
      </c>
      <c r="C150" s="3" t="inlineStr">
        <is>
          <t>Home &amp; Lifestyle</t>
        </is>
      </c>
      <c r="D150" s="3" t="inlineStr">
        <is>
          <t>Backpacks</t>
        </is>
      </c>
      <c r="E150" s="3" t="inlineStr">
        <is>
          <t>Ashanti</t>
        </is>
      </c>
      <c r="F150" s="3" t="inlineStr">
        <is>
          <t>Online</t>
        </is>
      </c>
      <c r="G150" s="3" t="inlineStr">
        <is>
          <t>Returning</t>
        </is>
      </c>
      <c r="H150" s="3" t="n">
        <v>5</v>
      </c>
      <c r="I150" s="8" t="n">
        <v>135</v>
      </c>
      <c r="J150" s="8" t="n">
        <v>71.01000000000001</v>
      </c>
      <c r="K150" s="9" t="n">
        <v>0.1</v>
      </c>
      <c r="L150" s="8" t="n">
        <v>11.3</v>
      </c>
      <c r="M150" s="8">
        <f>H150*I150*(1-K150)</f>
        <v/>
      </c>
      <c r="N150" s="8">
        <f>H150*J150</f>
        <v/>
      </c>
      <c r="O150" s="8">
        <f>M150-N150-L150</f>
        <v/>
      </c>
      <c r="P150" s="10">
        <f>IFERROR(O150/M150,0)</f>
        <v/>
      </c>
      <c r="Q150" s="3">
        <f>IF(H150&lt;=0,"Review: quantity &lt;= 0",IF(K150&gt;0.3,"Review: discount &gt; 30%",IF(G150="","Review: missing customer type","OK")))</f>
        <v/>
      </c>
    </row>
    <row r="151">
      <c r="A151" s="3" t="inlineStr">
        <is>
          <t>ORD-10150</t>
        </is>
      </c>
      <c r="B151" s="7" t="n">
        <v>45697</v>
      </c>
      <c r="C151" s="3" t="inlineStr">
        <is>
          <t>Home &amp; Lifestyle</t>
        </is>
      </c>
      <c r="D151" s="3" t="inlineStr">
        <is>
          <t>Travel Mugs</t>
        </is>
      </c>
      <c r="E151" s="3" t="inlineStr">
        <is>
          <t>Western</t>
        </is>
      </c>
      <c r="F151" s="3" t="inlineStr">
        <is>
          <t>Phone/WhatsApp</t>
        </is>
      </c>
      <c r="G151" s="3" t="inlineStr">
        <is>
          <t>New</t>
        </is>
      </c>
      <c r="H151" s="3" t="n">
        <v>3</v>
      </c>
      <c r="I151" s="8" t="n">
        <v>130</v>
      </c>
      <c r="J151" s="8" t="n">
        <v>70.56</v>
      </c>
      <c r="K151" s="9" t="n">
        <v>0</v>
      </c>
      <c r="L151" s="8" t="n">
        <v>24.24</v>
      </c>
      <c r="M151" s="8">
        <f>H151*I151*(1-K151)</f>
        <v/>
      </c>
      <c r="N151" s="8">
        <f>H151*J151</f>
        <v/>
      </c>
      <c r="O151" s="8">
        <f>M151-N151-L151</f>
        <v/>
      </c>
      <c r="P151" s="10">
        <f>IFERROR(O151/M151,0)</f>
        <v/>
      </c>
      <c r="Q151" s="3">
        <f>IF(H151&lt;=0,"Review: quantity &lt;= 0",IF(K151&gt;0.3,"Review: discount &gt; 30%",IF(G151="","Review: missing customer type","OK")))</f>
        <v/>
      </c>
    </row>
    <row r="152">
      <c r="A152" s="3" t="inlineStr">
        <is>
          <t>ORD-10151</t>
        </is>
      </c>
      <c r="B152" s="7" t="n">
        <v>45851</v>
      </c>
      <c r="C152" s="3" t="inlineStr">
        <is>
          <t>Footwear</t>
        </is>
      </c>
      <c r="D152" s="3" t="inlineStr">
        <is>
          <t>Formal Shoes</t>
        </is>
      </c>
      <c r="E152" s="3" t="inlineStr">
        <is>
          <t>Western</t>
        </is>
      </c>
      <c r="F152" s="3" t="inlineStr">
        <is>
          <t>Phone/WhatsApp</t>
        </is>
      </c>
      <c r="G152" s="3" t="inlineStr">
        <is>
          <t>Returning</t>
        </is>
      </c>
      <c r="H152" s="3" t="n">
        <v>2</v>
      </c>
      <c r="I152" s="8" t="n">
        <v>295</v>
      </c>
      <c r="J152" s="8" t="n">
        <v>150.48</v>
      </c>
      <c r="K152" s="9" t="n">
        <v>0.2</v>
      </c>
      <c r="L152" s="8" t="n">
        <v>39.75</v>
      </c>
      <c r="M152" s="8">
        <f>H152*I152*(1-K152)</f>
        <v/>
      </c>
      <c r="N152" s="8">
        <f>H152*J152</f>
        <v/>
      </c>
      <c r="O152" s="8">
        <f>M152-N152-L152</f>
        <v/>
      </c>
      <c r="P152" s="10">
        <f>IFERROR(O152/M152,0)</f>
        <v/>
      </c>
      <c r="Q152" s="3">
        <f>IF(H152&lt;=0,"Review: quantity &lt;= 0",IF(K152&gt;0.3,"Review: discount &gt; 30%",IF(G152="","Review: missing customer type","OK")))</f>
        <v/>
      </c>
    </row>
    <row r="153">
      <c r="A153" s="3" t="inlineStr">
        <is>
          <t>ORD-10152</t>
        </is>
      </c>
      <c r="B153" s="7" t="n">
        <v>46002</v>
      </c>
      <c r="C153" s="3" t="inlineStr">
        <is>
          <t>Home &amp; Lifestyle</t>
        </is>
      </c>
      <c r="D153" s="3" t="inlineStr">
        <is>
          <t>Travel Mugs</t>
        </is>
      </c>
      <c r="E153" s="3" t="inlineStr">
        <is>
          <t>Western</t>
        </is>
      </c>
      <c r="F153" s="3" t="inlineStr">
        <is>
          <t>Online</t>
        </is>
      </c>
      <c r="G153" s="3" t="inlineStr">
        <is>
          <t>New</t>
        </is>
      </c>
      <c r="H153" s="3" t="n">
        <v>6</v>
      </c>
      <c r="I153" s="8" t="n">
        <v>135</v>
      </c>
      <c r="J153" s="8" t="n">
        <v>75.3</v>
      </c>
      <c r="K153" s="9" t="n">
        <v>0</v>
      </c>
      <c r="L153" s="8" t="n">
        <v>31.09</v>
      </c>
      <c r="M153" s="8">
        <f>H153*I153*(1-K153)</f>
        <v/>
      </c>
      <c r="N153" s="8">
        <f>H153*J153</f>
        <v/>
      </c>
      <c r="O153" s="8">
        <f>M153-N153-L153</f>
        <v/>
      </c>
      <c r="P153" s="10">
        <f>IFERROR(O153/M153,0)</f>
        <v/>
      </c>
      <c r="Q153" s="3">
        <f>IF(H153&lt;=0,"Review: quantity &lt;= 0",IF(K153&gt;0.3,"Review: discount &gt; 30%",IF(G153="","Review: missing customer type","OK")))</f>
        <v/>
      </c>
    </row>
    <row r="154">
      <c r="A154" s="3" t="inlineStr">
        <is>
          <t>ORD-10153</t>
        </is>
      </c>
      <c r="B154" s="7" t="n">
        <v>45659</v>
      </c>
      <c r="C154" s="3" t="inlineStr">
        <is>
          <t>Footwear</t>
        </is>
      </c>
      <c r="D154" s="3" t="inlineStr">
        <is>
          <t>Boots</t>
        </is>
      </c>
      <c r="E154" s="3" t="inlineStr">
        <is>
          <t>Greater Accra</t>
        </is>
      </c>
      <c r="F154" s="3" t="inlineStr">
        <is>
          <t>Phone/WhatsApp</t>
        </is>
      </c>
      <c r="G154" s="3" t="inlineStr">
        <is>
          <t>Returning</t>
        </is>
      </c>
      <c r="H154" s="3" t="n">
        <v>1</v>
      </c>
      <c r="I154" s="8" t="n">
        <v>230</v>
      </c>
      <c r="J154" s="8" t="n">
        <v>143.8</v>
      </c>
      <c r="K154" s="9" t="n">
        <v>0.1</v>
      </c>
      <c r="L154" s="8" t="n">
        <v>12.34</v>
      </c>
      <c r="M154" s="8">
        <f>H154*I154*(1-K154)</f>
        <v/>
      </c>
      <c r="N154" s="8">
        <f>H154*J154</f>
        <v/>
      </c>
      <c r="O154" s="8">
        <f>M154-N154-L154</f>
        <v/>
      </c>
      <c r="P154" s="10">
        <f>IFERROR(O154/M154,0)</f>
        <v/>
      </c>
      <c r="Q154" s="3">
        <f>IF(H154&lt;=0,"Review: quantity &lt;= 0",IF(K154&gt;0.3,"Review: discount &gt; 30%",IF(G154="","Review: missing customer type","OK")))</f>
        <v/>
      </c>
    </row>
    <row r="155">
      <c r="A155" s="3" t="inlineStr">
        <is>
          <t>ORD-10154</t>
        </is>
      </c>
      <c r="B155" s="7" t="n">
        <v>45928</v>
      </c>
      <c r="C155" s="3" t="inlineStr">
        <is>
          <t>Footwear</t>
        </is>
      </c>
      <c r="D155" s="3" t="inlineStr">
        <is>
          <t>Sandals</t>
        </is>
      </c>
      <c r="E155" s="3" t="inlineStr">
        <is>
          <t>Greater Accra</t>
        </is>
      </c>
      <c r="F155" s="3" t="inlineStr">
        <is>
          <t>Phone/WhatsApp</t>
        </is>
      </c>
      <c r="G155" s="3" t="inlineStr">
        <is>
          <t>Returning</t>
        </is>
      </c>
      <c r="H155" s="3" t="n">
        <v>4</v>
      </c>
      <c r="I155" s="8" t="n">
        <v>400</v>
      </c>
      <c r="J155" s="8" t="n">
        <v>244.34</v>
      </c>
      <c r="K155" s="9" t="n">
        <v>0.15</v>
      </c>
      <c r="L155" s="8" t="n">
        <v>20.52</v>
      </c>
      <c r="M155" s="8">
        <f>H155*I155*(1-K155)</f>
        <v/>
      </c>
      <c r="N155" s="8">
        <f>H155*J155</f>
        <v/>
      </c>
      <c r="O155" s="8">
        <f>M155-N155-L155</f>
        <v/>
      </c>
      <c r="P155" s="10">
        <f>IFERROR(O155/M155,0)</f>
        <v/>
      </c>
      <c r="Q155" s="3">
        <f>IF(H155&lt;=0,"Review: quantity &lt;= 0",IF(K155&gt;0.3,"Review: discount &gt; 30%",IF(G155="","Review: missing customer type","OK")))</f>
        <v/>
      </c>
    </row>
    <row r="156">
      <c r="A156" s="3" t="inlineStr">
        <is>
          <t>ORD-10155</t>
        </is>
      </c>
      <c r="B156" s="7" t="n">
        <v>45725</v>
      </c>
      <c r="C156" s="3" t="inlineStr">
        <is>
          <t>Clothing</t>
        </is>
      </c>
      <c r="D156" s="3" t="inlineStr">
        <is>
          <t>Jackets</t>
        </is>
      </c>
      <c r="E156" s="3" t="inlineStr">
        <is>
          <t>Ashanti</t>
        </is>
      </c>
      <c r="F156" s="3" t="inlineStr">
        <is>
          <t>Retail Shop</t>
        </is>
      </c>
      <c r="G156" s="3" t="inlineStr">
        <is>
          <t>New</t>
        </is>
      </c>
      <c r="H156" s="3" t="n">
        <v>2</v>
      </c>
      <c r="I156" s="8" t="n">
        <v>95</v>
      </c>
      <c r="J156" s="8" t="n">
        <v>46.7</v>
      </c>
      <c r="K156" s="9" t="n">
        <v>0.15</v>
      </c>
      <c r="L156" s="8" t="n">
        <v>1.51</v>
      </c>
      <c r="M156" s="8">
        <f>H156*I156*(1-K156)</f>
        <v/>
      </c>
      <c r="N156" s="8">
        <f>H156*J156</f>
        <v/>
      </c>
      <c r="O156" s="8">
        <f>M156-N156-L156</f>
        <v/>
      </c>
      <c r="P156" s="10">
        <f>IFERROR(O156/M156,0)</f>
        <v/>
      </c>
      <c r="Q156" s="3">
        <f>IF(H156&lt;=0,"Review: quantity &lt;= 0",IF(K156&gt;0.3,"Review: discount &gt; 30%",IF(G156="","Review: missing customer type","OK")))</f>
        <v/>
      </c>
    </row>
    <row r="157">
      <c r="A157" s="3" t="inlineStr">
        <is>
          <t>ORD-10156</t>
        </is>
      </c>
      <c r="B157" s="7" t="n">
        <v>45715</v>
      </c>
      <c r="C157" s="3" t="inlineStr">
        <is>
          <t>Clothing</t>
        </is>
      </c>
      <c r="D157" s="3" t="inlineStr">
        <is>
          <t>Dresses</t>
        </is>
      </c>
      <c r="E157" s="3" t="inlineStr">
        <is>
          <t>Central</t>
        </is>
      </c>
      <c r="F157" s="3" t="inlineStr">
        <is>
          <t>Phone/WhatsApp</t>
        </is>
      </c>
      <c r="G157" s="3" t="inlineStr">
        <is>
          <t>New</t>
        </is>
      </c>
      <c r="H157" s="3" t="n">
        <v>4</v>
      </c>
      <c r="I157" s="8" t="n">
        <v>125</v>
      </c>
      <c r="J157" s="8" t="n">
        <v>61.81</v>
      </c>
      <c r="K157" s="9" t="n">
        <v>0.1</v>
      </c>
      <c r="L157" s="8" t="n">
        <v>8.43</v>
      </c>
      <c r="M157" s="8">
        <f>H157*I157*(1-K157)</f>
        <v/>
      </c>
      <c r="N157" s="8">
        <f>H157*J157</f>
        <v/>
      </c>
      <c r="O157" s="8">
        <f>M157-N157-L157</f>
        <v/>
      </c>
      <c r="P157" s="10">
        <f>IFERROR(O157/M157,0)</f>
        <v/>
      </c>
      <c r="Q157" s="3">
        <f>IF(H157&lt;=0,"Review: quantity &lt;= 0",IF(K157&gt;0.3,"Review: discount &gt; 30%",IF(G157="","Review: missing customer type","OK")))</f>
        <v/>
      </c>
    </row>
    <row r="158">
      <c r="A158" s="3" t="inlineStr">
        <is>
          <t>ORD-10157</t>
        </is>
      </c>
      <c r="B158" s="7" t="n">
        <v>45761</v>
      </c>
      <c r="C158" s="3" t="inlineStr">
        <is>
          <t>Clothing</t>
        </is>
      </c>
      <c r="D158" s="3" t="inlineStr">
        <is>
          <t>Trousers</t>
        </is>
      </c>
      <c r="E158" s="3" t="inlineStr">
        <is>
          <t>Greater Accra</t>
        </is>
      </c>
      <c r="F158" s="3" t="inlineStr">
        <is>
          <t>Phone/WhatsApp</t>
        </is>
      </c>
      <c r="G158" s="3" t="inlineStr">
        <is>
          <t>New</t>
        </is>
      </c>
      <c r="H158" s="3" t="n">
        <v>2</v>
      </c>
      <c r="I158" s="8" t="n">
        <v>225</v>
      </c>
      <c r="J158" s="8" t="n">
        <v>111.15</v>
      </c>
      <c r="K158" s="9" t="n">
        <v>0.05</v>
      </c>
      <c r="L158" s="8" t="n">
        <v>22.68</v>
      </c>
      <c r="M158" s="8">
        <f>H158*I158*(1-K158)</f>
        <v/>
      </c>
      <c r="N158" s="8">
        <f>H158*J158</f>
        <v/>
      </c>
      <c r="O158" s="8">
        <f>M158-N158-L158</f>
        <v/>
      </c>
      <c r="P158" s="10">
        <f>IFERROR(O158/M158,0)</f>
        <v/>
      </c>
      <c r="Q158" s="3">
        <f>IF(H158&lt;=0,"Review: quantity &lt;= 0",IF(K158&gt;0.3,"Review: discount &gt; 30%",IF(G158="","Review: missing customer type","OK")))</f>
        <v/>
      </c>
    </row>
    <row r="159">
      <c r="A159" s="3" t="inlineStr">
        <is>
          <t>ORD-10158</t>
        </is>
      </c>
      <c r="B159" s="7" t="n">
        <v>45785</v>
      </c>
      <c r="C159" s="3" t="inlineStr">
        <is>
          <t>Accessories</t>
        </is>
      </c>
      <c r="D159" s="3" t="inlineStr">
        <is>
          <t>Watches</t>
        </is>
      </c>
      <c r="E159" s="3" t="inlineStr">
        <is>
          <t>Western</t>
        </is>
      </c>
      <c r="F159" s="3" t="inlineStr">
        <is>
          <t>Retail Shop</t>
        </is>
      </c>
      <c r="G159" s="3" t="inlineStr">
        <is>
          <t>Returning</t>
        </is>
      </c>
      <c r="H159" s="3" t="n">
        <v>5</v>
      </c>
      <c r="I159" s="8" t="n">
        <v>60</v>
      </c>
      <c r="J159" s="8" t="n">
        <v>30.46</v>
      </c>
      <c r="K159" s="9" t="n">
        <v>0.1</v>
      </c>
      <c r="L159" s="8" t="n">
        <v>11.74</v>
      </c>
      <c r="M159" s="8">
        <f>H159*I159*(1-K159)</f>
        <v/>
      </c>
      <c r="N159" s="8">
        <f>H159*J159</f>
        <v/>
      </c>
      <c r="O159" s="8">
        <f>M159-N159-L159</f>
        <v/>
      </c>
      <c r="P159" s="10">
        <f>IFERROR(O159/M159,0)</f>
        <v/>
      </c>
      <c r="Q159" s="3">
        <f>IF(H159&lt;=0,"Review: quantity &lt;= 0",IF(K159&gt;0.3,"Review: discount &gt; 30%",IF(G159="","Review: missing customer type","OK")))</f>
        <v/>
      </c>
    </row>
    <row r="160">
      <c r="A160" s="3" t="inlineStr">
        <is>
          <t>ORD-10159</t>
        </is>
      </c>
      <c r="B160" s="7" t="n">
        <v>45889</v>
      </c>
      <c r="C160" s="3" t="inlineStr">
        <is>
          <t>Clothing</t>
        </is>
      </c>
      <c r="D160" s="3" t="inlineStr">
        <is>
          <t>Jackets</t>
        </is>
      </c>
      <c r="E160" s="3" t="inlineStr">
        <is>
          <t>Greater Accra</t>
        </is>
      </c>
      <c r="F160" s="3" t="inlineStr">
        <is>
          <t>Phone/WhatsApp</t>
        </is>
      </c>
      <c r="G160" s="3" t="inlineStr">
        <is>
          <t>New</t>
        </is>
      </c>
      <c r="H160" s="3" t="n">
        <v>1</v>
      </c>
      <c r="I160" s="8" t="n">
        <v>165</v>
      </c>
      <c r="J160" s="8" t="n">
        <v>84.42</v>
      </c>
      <c r="K160" s="9" t="n">
        <v>0.1</v>
      </c>
      <c r="L160" s="8" t="n">
        <v>37.64</v>
      </c>
      <c r="M160" s="8">
        <f>H160*I160*(1-K160)</f>
        <v/>
      </c>
      <c r="N160" s="8">
        <f>H160*J160</f>
        <v/>
      </c>
      <c r="O160" s="8">
        <f>M160-N160-L160</f>
        <v/>
      </c>
      <c r="P160" s="10">
        <f>IFERROR(O160/M160,0)</f>
        <v/>
      </c>
      <c r="Q160" s="3">
        <f>IF(H160&lt;=0,"Review: quantity &lt;= 0",IF(K160&gt;0.3,"Review: discount &gt; 30%",IF(G160="","Review: missing customer type","OK")))</f>
        <v/>
      </c>
    </row>
    <row r="161">
      <c r="A161" s="3" t="inlineStr">
        <is>
          <t>ORD-10160</t>
        </is>
      </c>
      <c r="B161" s="7" t="n">
        <v>45741</v>
      </c>
      <c r="C161" s="3" t="inlineStr">
        <is>
          <t>Clothing</t>
        </is>
      </c>
      <c r="D161" s="3" t="inlineStr">
        <is>
          <t>Trousers</t>
        </is>
      </c>
      <c r="E161" s="3" t="inlineStr">
        <is>
          <t>Ashanti</t>
        </is>
      </c>
      <c r="F161" s="3" t="inlineStr">
        <is>
          <t>Retail Shop</t>
        </is>
      </c>
      <c r="G161" s="3" t="inlineStr">
        <is>
          <t>New</t>
        </is>
      </c>
      <c r="H161" s="3" t="n">
        <v>2</v>
      </c>
      <c r="I161" s="8" t="n">
        <v>145</v>
      </c>
      <c r="J161" s="8" t="n">
        <v>67.75</v>
      </c>
      <c r="K161" s="9" t="n">
        <v>0.05</v>
      </c>
      <c r="L161" s="8" t="n">
        <v>9.6</v>
      </c>
      <c r="M161" s="8">
        <f>H161*I161*(1-K161)</f>
        <v/>
      </c>
      <c r="N161" s="8">
        <f>H161*J161</f>
        <v/>
      </c>
      <c r="O161" s="8">
        <f>M161-N161-L161</f>
        <v/>
      </c>
      <c r="P161" s="10">
        <f>IFERROR(O161/M161,0)</f>
        <v/>
      </c>
      <c r="Q161" s="3">
        <f>IF(H161&lt;=0,"Review: quantity &lt;= 0",IF(K161&gt;0.3,"Review: discount &gt; 30%",IF(G161="","Review: missing customer type","OK")))</f>
        <v/>
      </c>
    </row>
    <row r="162">
      <c r="A162" s="3" t="inlineStr">
        <is>
          <t>ORD-10161</t>
        </is>
      </c>
      <c r="B162" s="7" t="n">
        <v>45987</v>
      </c>
      <c r="C162" s="3" t="inlineStr">
        <is>
          <t>Home &amp; Lifestyle</t>
        </is>
      </c>
      <c r="D162" s="3" t="inlineStr">
        <is>
          <t>Small Home Goods</t>
        </is>
      </c>
      <c r="E162" s="3" t="inlineStr">
        <is>
          <t>Central</t>
        </is>
      </c>
      <c r="F162" s="3" t="inlineStr">
        <is>
          <t>Online</t>
        </is>
      </c>
      <c r="G162" s="3" t="inlineStr">
        <is>
          <t>New</t>
        </is>
      </c>
      <c r="H162" s="3" t="n">
        <v>6</v>
      </c>
      <c r="I162" s="8" t="n">
        <v>160</v>
      </c>
      <c r="J162" s="8" t="n">
        <v>94.58</v>
      </c>
      <c r="K162" s="9" t="n">
        <v>0.1</v>
      </c>
      <c r="L162" s="8" t="n">
        <v>27.54</v>
      </c>
      <c r="M162" s="8">
        <f>H162*I162*(1-K162)</f>
        <v/>
      </c>
      <c r="N162" s="8">
        <f>H162*J162</f>
        <v/>
      </c>
      <c r="O162" s="8">
        <f>M162-N162-L162</f>
        <v/>
      </c>
      <c r="P162" s="10">
        <f>IFERROR(O162/M162,0)</f>
        <v/>
      </c>
      <c r="Q162" s="3">
        <f>IF(H162&lt;=0,"Review: quantity &lt;= 0",IF(K162&gt;0.3,"Review: discount &gt; 30%",IF(G162="","Review: missing customer type","OK")))</f>
        <v/>
      </c>
    </row>
    <row r="163">
      <c r="A163" s="3" t="inlineStr">
        <is>
          <t>ORD-10162</t>
        </is>
      </c>
      <c r="B163" s="7" t="n">
        <v>45724</v>
      </c>
      <c r="C163" s="3" t="inlineStr">
        <is>
          <t>Accessories</t>
        </is>
      </c>
      <c r="D163" s="3" t="inlineStr">
        <is>
          <t>Belts</t>
        </is>
      </c>
      <c r="E163" s="3" t="inlineStr">
        <is>
          <t>Ashanti</t>
        </is>
      </c>
      <c r="F163" s="3" t="inlineStr">
        <is>
          <t>Retail Shop</t>
        </is>
      </c>
      <c r="G163" s="3" t="inlineStr">
        <is>
          <t>Returning</t>
        </is>
      </c>
      <c r="H163" s="3" t="n">
        <v>2</v>
      </c>
      <c r="I163" s="8" t="n">
        <v>160</v>
      </c>
      <c r="J163" s="8" t="n">
        <v>74.91</v>
      </c>
      <c r="K163" s="9" t="n">
        <v>0.05</v>
      </c>
      <c r="L163" s="8" t="n">
        <v>2.45</v>
      </c>
      <c r="M163" s="8">
        <f>H163*I163*(1-K163)</f>
        <v/>
      </c>
      <c r="N163" s="8">
        <f>H163*J163</f>
        <v/>
      </c>
      <c r="O163" s="8">
        <f>M163-N163-L163</f>
        <v/>
      </c>
      <c r="P163" s="10">
        <f>IFERROR(O163/M163,0)</f>
        <v/>
      </c>
      <c r="Q163" s="3">
        <f>IF(H163&lt;=0,"Review: quantity &lt;= 0",IF(K163&gt;0.3,"Review: discount &gt; 30%",IF(G163="","Review: missing customer type","OK")))</f>
        <v/>
      </c>
    </row>
    <row r="164">
      <c r="A164" s="3" t="inlineStr">
        <is>
          <t>ORD-10163</t>
        </is>
      </c>
      <c r="B164" s="7" t="n">
        <v>45784</v>
      </c>
      <c r="C164" s="3" t="inlineStr">
        <is>
          <t>Footwear</t>
        </is>
      </c>
      <c r="D164" s="3" t="inlineStr">
        <is>
          <t>Boots</t>
        </is>
      </c>
      <c r="E164" s="3" t="inlineStr">
        <is>
          <t>Western</t>
        </is>
      </c>
      <c r="F164" s="3" t="inlineStr">
        <is>
          <t>Online</t>
        </is>
      </c>
      <c r="G164" s="3" t="inlineStr">
        <is>
          <t>Returning</t>
        </is>
      </c>
      <c r="H164" s="3" t="n">
        <v>4</v>
      </c>
      <c r="I164" s="8" t="n">
        <v>215</v>
      </c>
      <c r="J164" s="8" t="n">
        <v>118.49</v>
      </c>
      <c r="K164" s="9" t="n">
        <v>0.1</v>
      </c>
      <c r="L164" s="8" t="n">
        <v>26.84</v>
      </c>
      <c r="M164" s="8">
        <f>H164*I164*(1-K164)</f>
        <v/>
      </c>
      <c r="N164" s="8">
        <f>H164*J164</f>
        <v/>
      </c>
      <c r="O164" s="8">
        <f>M164-N164-L164</f>
        <v/>
      </c>
      <c r="P164" s="10">
        <f>IFERROR(O164/M164,0)</f>
        <v/>
      </c>
      <c r="Q164" s="3">
        <f>IF(H164&lt;=0,"Review: quantity &lt;= 0",IF(K164&gt;0.3,"Review: discount &gt; 30%",IF(G164="","Review: missing customer type","OK")))</f>
        <v/>
      </c>
    </row>
    <row r="165">
      <c r="A165" s="3" t="inlineStr">
        <is>
          <t>ORD-10164</t>
        </is>
      </c>
      <c r="B165" s="7" t="n">
        <v>45876</v>
      </c>
      <c r="C165" s="3" t="inlineStr">
        <is>
          <t>Footwear</t>
        </is>
      </c>
      <c r="D165" s="3" t="inlineStr">
        <is>
          <t>Sandals</t>
        </is>
      </c>
      <c r="E165" s="3" t="inlineStr">
        <is>
          <t>Ashanti</t>
        </is>
      </c>
      <c r="F165" s="3" t="inlineStr">
        <is>
          <t>Online</t>
        </is>
      </c>
      <c r="G165" s="3" t="inlineStr">
        <is>
          <t>New</t>
        </is>
      </c>
      <c r="H165" s="3" t="n">
        <v>1</v>
      </c>
      <c r="I165" s="8" t="n">
        <v>450</v>
      </c>
      <c r="J165" s="8" t="n">
        <v>244.28</v>
      </c>
      <c r="K165" s="9" t="n">
        <v>0.15</v>
      </c>
      <c r="L165" s="8" t="n">
        <v>41.73</v>
      </c>
      <c r="M165" s="8">
        <f>H165*I165*(1-K165)</f>
        <v/>
      </c>
      <c r="N165" s="8">
        <f>H165*J165</f>
        <v/>
      </c>
      <c r="O165" s="8">
        <f>M165-N165-L165</f>
        <v/>
      </c>
      <c r="P165" s="10">
        <f>IFERROR(O165/M165,0)</f>
        <v/>
      </c>
      <c r="Q165" s="3">
        <f>IF(H165&lt;=0,"Review: quantity &lt;= 0",IF(K165&gt;0.3,"Review: discount &gt; 30%",IF(G165="","Review: missing customer type","OK")))</f>
        <v/>
      </c>
    </row>
    <row r="166">
      <c r="A166" s="3" t="inlineStr">
        <is>
          <t>ORD-10165</t>
        </is>
      </c>
      <c r="B166" s="7" t="n">
        <v>45960</v>
      </c>
      <c r="C166" s="3" t="inlineStr">
        <is>
          <t>Accessories</t>
        </is>
      </c>
      <c r="D166" s="3" t="inlineStr">
        <is>
          <t>Watches</t>
        </is>
      </c>
      <c r="E166" s="3" t="inlineStr">
        <is>
          <t>Greater Accra</t>
        </is>
      </c>
      <c r="F166" s="3" t="inlineStr">
        <is>
          <t>Retail Shop</t>
        </is>
      </c>
      <c r="G166" s="3" t="inlineStr">
        <is>
          <t>New</t>
        </is>
      </c>
      <c r="H166" s="3" t="n">
        <v>1</v>
      </c>
      <c r="I166" s="8" t="n">
        <v>110</v>
      </c>
      <c r="J166" s="8" t="n">
        <v>53.56</v>
      </c>
      <c r="K166" s="9" t="n">
        <v>0.05</v>
      </c>
      <c r="L166" s="8" t="n">
        <v>2.76</v>
      </c>
      <c r="M166" s="8">
        <f>H166*I166*(1-K166)</f>
        <v/>
      </c>
      <c r="N166" s="8">
        <f>H166*J166</f>
        <v/>
      </c>
      <c r="O166" s="8">
        <f>M166-N166-L166</f>
        <v/>
      </c>
      <c r="P166" s="10">
        <f>IFERROR(O166/M166,0)</f>
        <v/>
      </c>
      <c r="Q166" s="3">
        <f>IF(H166&lt;=0,"Review: quantity &lt;= 0",IF(K166&gt;0.3,"Review: discount &gt; 30%",IF(G166="","Review: missing customer type","OK")))</f>
        <v/>
      </c>
    </row>
    <row r="167">
      <c r="A167" s="3" t="inlineStr">
        <is>
          <t>ORD-10166</t>
        </is>
      </c>
      <c r="B167" s="7" t="n">
        <v>45660</v>
      </c>
      <c r="C167" s="3" t="inlineStr">
        <is>
          <t>Footwear</t>
        </is>
      </c>
      <c r="D167" s="3" t="inlineStr">
        <is>
          <t>Sneakers</t>
        </is>
      </c>
      <c r="E167" s="3" t="inlineStr">
        <is>
          <t>Greater Accra</t>
        </is>
      </c>
      <c r="F167" s="3" t="inlineStr">
        <is>
          <t>Retail Shop</t>
        </is>
      </c>
      <c r="G167" s="3" t="inlineStr">
        <is>
          <t>Returning</t>
        </is>
      </c>
      <c r="H167" s="3" t="n">
        <v>1</v>
      </c>
      <c r="I167" s="8" t="n">
        <v>485</v>
      </c>
      <c r="J167" s="8" t="n">
        <v>255.18</v>
      </c>
      <c r="K167" s="9" t="n">
        <v>0</v>
      </c>
      <c r="L167" s="8" t="n">
        <v>1.04</v>
      </c>
      <c r="M167" s="8">
        <f>H167*I167*(1-K167)</f>
        <v/>
      </c>
      <c r="N167" s="8">
        <f>H167*J167</f>
        <v/>
      </c>
      <c r="O167" s="8">
        <f>M167-N167-L167</f>
        <v/>
      </c>
      <c r="P167" s="10">
        <f>IFERROR(O167/M167,0)</f>
        <v/>
      </c>
      <c r="Q167" s="3">
        <f>IF(H167&lt;=0,"Review: quantity &lt;= 0",IF(K167&gt;0.3,"Review: discount &gt; 30%",IF(G167="","Review: missing customer type","OK")))</f>
        <v/>
      </c>
    </row>
    <row r="168">
      <c r="A168" s="3" t="inlineStr">
        <is>
          <t>ORD-10167</t>
        </is>
      </c>
      <c r="B168" s="7" t="n">
        <v>45745</v>
      </c>
      <c r="C168" s="3" t="inlineStr">
        <is>
          <t>Footwear</t>
        </is>
      </c>
      <c r="D168" s="3" t="inlineStr">
        <is>
          <t>Sneakers</t>
        </is>
      </c>
      <c r="E168" s="3" t="inlineStr">
        <is>
          <t>Western</t>
        </is>
      </c>
      <c r="F168" s="3" t="inlineStr">
        <is>
          <t>Phone/WhatsApp</t>
        </is>
      </c>
      <c r="G168" s="3" t="inlineStr">
        <is>
          <t>New</t>
        </is>
      </c>
      <c r="H168" s="3" t="n">
        <v>2</v>
      </c>
      <c r="I168" s="8" t="n">
        <v>305</v>
      </c>
      <c r="J168" s="8" t="n">
        <v>177.74</v>
      </c>
      <c r="K168" s="9" t="n">
        <v>0.05</v>
      </c>
      <c r="L168" s="8" t="n">
        <v>31.04</v>
      </c>
      <c r="M168" s="8">
        <f>H168*I168*(1-K168)</f>
        <v/>
      </c>
      <c r="N168" s="8">
        <f>H168*J168</f>
        <v/>
      </c>
      <c r="O168" s="8">
        <f>M168-N168-L168</f>
        <v/>
      </c>
      <c r="P168" s="10">
        <f>IFERROR(O168/M168,0)</f>
        <v/>
      </c>
      <c r="Q168" s="3">
        <f>IF(H168&lt;=0,"Review: quantity &lt;= 0",IF(K168&gt;0.3,"Review: discount &gt; 30%",IF(G168="","Review: missing customer type","OK")))</f>
        <v/>
      </c>
    </row>
    <row r="169">
      <c r="A169" s="3" t="inlineStr">
        <is>
          <t>ORD-10168</t>
        </is>
      </c>
      <c r="B169" s="7" t="n">
        <v>45743</v>
      </c>
      <c r="C169" s="3" t="inlineStr">
        <is>
          <t>Clothing</t>
        </is>
      </c>
      <c r="D169" s="3" t="inlineStr">
        <is>
          <t>Dresses</t>
        </is>
      </c>
      <c r="E169" s="3" t="inlineStr">
        <is>
          <t>Central</t>
        </is>
      </c>
      <c r="F169" s="3" t="inlineStr">
        <is>
          <t>Online</t>
        </is>
      </c>
      <c r="G169" s="3" t="inlineStr">
        <is>
          <t>Returning</t>
        </is>
      </c>
      <c r="H169" s="3" t="n">
        <v>2</v>
      </c>
      <c r="I169" s="8" t="n">
        <v>155</v>
      </c>
      <c r="J169" s="8" t="n">
        <v>83.81999999999999</v>
      </c>
      <c r="K169" s="9" t="n">
        <v>0.1</v>
      </c>
      <c r="L169" s="8" t="n">
        <v>24.61</v>
      </c>
      <c r="M169" s="8">
        <f>H169*I169*(1-K169)</f>
        <v/>
      </c>
      <c r="N169" s="8">
        <f>H169*J169</f>
        <v/>
      </c>
      <c r="O169" s="8">
        <f>M169-N169-L169</f>
        <v/>
      </c>
      <c r="P169" s="10">
        <f>IFERROR(O169/M169,0)</f>
        <v/>
      </c>
      <c r="Q169" s="3">
        <f>IF(H169&lt;=0,"Review: quantity &lt;= 0",IF(K169&gt;0.3,"Review: discount &gt; 30%",IF(G169="","Review: missing customer type","OK")))</f>
        <v/>
      </c>
    </row>
    <row r="170">
      <c r="A170" s="3" t="inlineStr">
        <is>
          <t>ORD-10169</t>
        </is>
      </c>
      <c r="B170" s="7" t="n">
        <v>45762</v>
      </c>
      <c r="C170" s="3" t="inlineStr">
        <is>
          <t>Accessories</t>
        </is>
      </c>
      <c r="D170" s="3" t="inlineStr">
        <is>
          <t>Bags</t>
        </is>
      </c>
      <c r="E170" s="3" t="inlineStr">
        <is>
          <t>Ashanti</t>
        </is>
      </c>
      <c r="F170" s="3" t="inlineStr">
        <is>
          <t>Retail Shop</t>
        </is>
      </c>
      <c r="G170" s="3" t="inlineStr">
        <is>
          <t>New</t>
        </is>
      </c>
      <c r="H170" s="3" t="n">
        <v>2</v>
      </c>
      <c r="I170" s="8" t="n">
        <v>140</v>
      </c>
      <c r="J170" s="8" t="n">
        <v>62.97</v>
      </c>
      <c r="K170" s="9" t="n">
        <v>0</v>
      </c>
      <c r="L170" s="8" t="n">
        <v>0.6</v>
      </c>
      <c r="M170" s="8">
        <f>H170*I170*(1-K170)</f>
        <v/>
      </c>
      <c r="N170" s="8">
        <f>H170*J170</f>
        <v/>
      </c>
      <c r="O170" s="8">
        <f>M170-N170-L170</f>
        <v/>
      </c>
      <c r="P170" s="10">
        <f>IFERROR(O170/M170,0)</f>
        <v/>
      </c>
      <c r="Q170" s="3">
        <f>IF(H170&lt;=0,"Review: quantity &lt;= 0",IF(K170&gt;0.3,"Review: discount &gt; 30%",IF(G170="","Review: missing customer type","OK")))</f>
        <v/>
      </c>
    </row>
    <row r="171">
      <c r="A171" s="3" t="inlineStr">
        <is>
          <t>ORD-10170</t>
        </is>
      </c>
      <c r="B171" s="7" t="n">
        <v>45676</v>
      </c>
      <c r="C171" s="3" t="inlineStr">
        <is>
          <t>Accessories</t>
        </is>
      </c>
      <c r="D171" s="3" t="inlineStr">
        <is>
          <t>Watches</t>
        </is>
      </c>
      <c r="E171" s="3" t="inlineStr">
        <is>
          <t>Greater Accra</t>
        </is>
      </c>
      <c r="F171" s="3" t="inlineStr">
        <is>
          <t>Retail Shop</t>
        </is>
      </c>
      <c r="G171" s="3" t="inlineStr">
        <is>
          <t>Returning</t>
        </is>
      </c>
      <c r="H171" s="3" t="n">
        <v>2</v>
      </c>
      <c r="I171" s="8" t="n">
        <v>80</v>
      </c>
      <c r="J171" s="8" t="n">
        <v>33.82</v>
      </c>
      <c r="K171" s="9" t="n">
        <v>0.1</v>
      </c>
      <c r="L171" s="8" t="n">
        <v>11.81</v>
      </c>
      <c r="M171" s="8">
        <f>H171*I171*(1-K171)</f>
        <v/>
      </c>
      <c r="N171" s="8">
        <f>H171*J171</f>
        <v/>
      </c>
      <c r="O171" s="8">
        <f>M171-N171-L171</f>
        <v/>
      </c>
      <c r="P171" s="10">
        <f>IFERROR(O171/M171,0)</f>
        <v/>
      </c>
      <c r="Q171" s="3">
        <f>IF(H171&lt;=0,"Review: quantity &lt;= 0",IF(K171&gt;0.3,"Review: discount &gt; 30%",IF(G171="","Review: missing customer type","OK")))</f>
        <v/>
      </c>
    </row>
    <row r="172">
      <c r="A172" s="3" t="inlineStr">
        <is>
          <t>ORD-10171</t>
        </is>
      </c>
      <c r="B172" s="7" t="n">
        <v>45897</v>
      </c>
      <c r="C172" s="3" t="inlineStr">
        <is>
          <t>Accessories</t>
        </is>
      </c>
      <c r="D172" s="3" t="inlineStr">
        <is>
          <t>Sunglasses</t>
        </is>
      </c>
      <c r="E172" s="3" t="inlineStr">
        <is>
          <t>Northern</t>
        </is>
      </c>
      <c r="F172" s="3" t="inlineStr">
        <is>
          <t>Phone/WhatsApp</t>
        </is>
      </c>
      <c r="G172" s="3" t="inlineStr">
        <is>
          <t>Returning</t>
        </is>
      </c>
      <c r="H172" s="3" t="n">
        <v>2</v>
      </c>
      <c r="I172" s="8" t="n">
        <v>90</v>
      </c>
      <c r="J172" s="8" t="n">
        <v>47.75</v>
      </c>
      <c r="K172" s="9" t="n">
        <v>0</v>
      </c>
      <c r="L172" s="8" t="n">
        <v>32.27</v>
      </c>
      <c r="M172" s="8">
        <f>H172*I172*(1-K172)</f>
        <v/>
      </c>
      <c r="N172" s="8">
        <f>H172*J172</f>
        <v/>
      </c>
      <c r="O172" s="8">
        <f>M172-N172-L172</f>
        <v/>
      </c>
      <c r="P172" s="10">
        <f>IFERROR(O172/M172,0)</f>
        <v/>
      </c>
      <c r="Q172" s="3">
        <f>IF(H172&lt;=0,"Review: quantity &lt;= 0",IF(K172&gt;0.3,"Review: discount &gt; 30%",IF(G172="","Review: missing customer type","OK")))</f>
        <v/>
      </c>
    </row>
    <row r="173">
      <c r="A173" s="3" t="inlineStr">
        <is>
          <t>ORD-10172</t>
        </is>
      </c>
      <c r="B173" s="7" t="n">
        <v>45970</v>
      </c>
      <c r="C173" s="3" t="inlineStr">
        <is>
          <t>Footwear</t>
        </is>
      </c>
      <c r="D173" s="3" t="inlineStr">
        <is>
          <t>Sandals</t>
        </is>
      </c>
      <c r="E173" s="3" t="inlineStr">
        <is>
          <t>Ashanti</t>
        </is>
      </c>
      <c r="F173" s="3" t="inlineStr">
        <is>
          <t>Retail Shop</t>
        </is>
      </c>
      <c r="G173" s="3" t="inlineStr">
        <is>
          <t>New</t>
        </is>
      </c>
      <c r="H173" s="3" t="n">
        <v>4</v>
      </c>
      <c r="I173" s="8" t="n">
        <v>285</v>
      </c>
      <c r="J173" s="8" t="n">
        <v>157.71</v>
      </c>
      <c r="K173" s="9" t="n">
        <v>0.05</v>
      </c>
      <c r="L173" s="8" t="n">
        <v>1.49</v>
      </c>
      <c r="M173" s="8">
        <f>H173*I173*(1-K173)</f>
        <v/>
      </c>
      <c r="N173" s="8">
        <f>H173*J173</f>
        <v/>
      </c>
      <c r="O173" s="8">
        <f>M173-N173-L173</f>
        <v/>
      </c>
      <c r="P173" s="10">
        <f>IFERROR(O173/M173,0)</f>
        <v/>
      </c>
      <c r="Q173" s="3">
        <f>IF(H173&lt;=0,"Review: quantity &lt;= 0",IF(K173&gt;0.3,"Review: discount &gt; 30%",IF(G173="","Review: missing customer type","OK")))</f>
        <v/>
      </c>
    </row>
    <row r="174">
      <c r="A174" s="3" t="inlineStr">
        <is>
          <t>ORD-10173</t>
        </is>
      </c>
      <c r="B174" s="7" t="n">
        <v>45922</v>
      </c>
      <c r="C174" s="3" t="inlineStr">
        <is>
          <t>Clothing</t>
        </is>
      </c>
      <c r="D174" s="3" t="inlineStr">
        <is>
          <t>Shirts</t>
        </is>
      </c>
      <c r="E174" s="3" t="inlineStr">
        <is>
          <t>Greater Accra</t>
        </is>
      </c>
      <c r="F174" s="3" t="inlineStr">
        <is>
          <t>Online</t>
        </is>
      </c>
      <c r="G174" s="3" t="inlineStr">
        <is>
          <t>Returning</t>
        </is>
      </c>
      <c r="H174" s="3" t="n">
        <v>3</v>
      </c>
      <c r="I174" s="8" t="n">
        <v>160</v>
      </c>
      <c r="J174" s="8" t="n">
        <v>75.19</v>
      </c>
      <c r="K174" s="9" t="n">
        <v>0</v>
      </c>
      <c r="L174" s="8" t="n">
        <v>23.71</v>
      </c>
      <c r="M174" s="8">
        <f>H174*I174*(1-K174)</f>
        <v/>
      </c>
      <c r="N174" s="8">
        <f>H174*J174</f>
        <v/>
      </c>
      <c r="O174" s="8">
        <f>M174-N174-L174</f>
        <v/>
      </c>
      <c r="P174" s="10">
        <f>IFERROR(O174/M174,0)</f>
        <v/>
      </c>
      <c r="Q174" s="3">
        <f>IF(H174&lt;=0,"Review: quantity &lt;= 0",IF(K174&gt;0.3,"Review: discount &gt; 30%",IF(G174="","Review: missing customer type","OK")))</f>
        <v/>
      </c>
    </row>
    <row r="175">
      <c r="A175" s="3" t="inlineStr">
        <is>
          <t>ORD-10174</t>
        </is>
      </c>
      <c r="B175" s="7" t="n">
        <v>45836</v>
      </c>
      <c r="C175" s="3" t="inlineStr">
        <is>
          <t>Footwear</t>
        </is>
      </c>
      <c r="D175" s="3" t="inlineStr">
        <is>
          <t>Sandals</t>
        </is>
      </c>
      <c r="E175" s="3" t="inlineStr">
        <is>
          <t>Greater Accra</t>
        </is>
      </c>
      <c r="F175" s="3" t="inlineStr">
        <is>
          <t>Online</t>
        </is>
      </c>
      <c r="G175" s="3" t="inlineStr">
        <is>
          <t>Returning</t>
        </is>
      </c>
      <c r="H175" s="3" t="n">
        <v>3</v>
      </c>
      <c r="I175" s="8" t="n">
        <v>600</v>
      </c>
      <c r="J175" s="8" t="n">
        <v>363.27</v>
      </c>
      <c r="K175" s="9" t="n">
        <v>0.2</v>
      </c>
      <c r="L175" s="8" t="n">
        <v>34.13</v>
      </c>
      <c r="M175" s="8">
        <f>H175*I175*(1-K175)</f>
        <v/>
      </c>
      <c r="N175" s="8">
        <f>H175*J175</f>
        <v/>
      </c>
      <c r="O175" s="8">
        <f>M175-N175-L175</f>
        <v/>
      </c>
      <c r="P175" s="10">
        <f>IFERROR(O175/M175,0)</f>
        <v/>
      </c>
      <c r="Q175" s="3">
        <f>IF(H175&lt;=0,"Review: quantity &lt;= 0",IF(K175&gt;0.3,"Review: discount &gt; 30%",IF(G175="","Review: missing customer type","OK")))</f>
        <v/>
      </c>
    </row>
    <row r="176">
      <c r="A176" s="3" t="inlineStr">
        <is>
          <t>ORD-10175</t>
        </is>
      </c>
      <c r="B176" s="7" t="n">
        <v>45939</v>
      </c>
      <c r="C176" s="3" t="inlineStr">
        <is>
          <t>Clothing</t>
        </is>
      </c>
      <c r="D176" s="3" t="inlineStr">
        <is>
          <t>Jackets</t>
        </is>
      </c>
      <c r="E176" s="3" t="inlineStr">
        <is>
          <t>Central</t>
        </is>
      </c>
      <c r="F176" s="3" t="inlineStr">
        <is>
          <t>Online</t>
        </is>
      </c>
      <c r="G176" s="3" t="inlineStr">
        <is>
          <t>New</t>
        </is>
      </c>
      <c r="H176" s="3" t="n">
        <v>4</v>
      </c>
      <c r="I176" s="8" t="n">
        <v>115</v>
      </c>
      <c r="J176" s="8" t="n">
        <v>56.02</v>
      </c>
      <c r="K176" s="9" t="n">
        <v>0</v>
      </c>
      <c r="L176" s="8" t="n">
        <v>28.11</v>
      </c>
      <c r="M176" s="8">
        <f>H176*I176*(1-K176)</f>
        <v/>
      </c>
      <c r="N176" s="8">
        <f>H176*J176</f>
        <v/>
      </c>
      <c r="O176" s="8">
        <f>M176-N176-L176</f>
        <v/>
      </c>
      <c r="P176" s="10">
        <f>IFERROR(O176/M176,0)</f>
        <v/>
      </c>
      <c r="Q176" s="3">
        <f>IF(H176&lt;=0,"Review: quantity &lt;= 0",IF(K176&gt;0.3,"Review: discount &gt; 30%",IF(G176="","Review: missing customer type","OK")))</f>
        <v/>
      </c>
    </row>
    <row r="177">
      <c r="A177" s="3" t="inlineStr">
        <is>
          <t>ORD-10176</t>
        </is>
      </c>
      <c r="B177" s="7" t="n">
        <v>46007</v>
      </c>
      <c r="C177" s="3" t="inlineStr">
        <is>
          <t>Clothing</t>
        </is>
      </c>
      <c r="D177" s="3" t="inlineStr">
        <is>
          <t>Shirts</t>
        </is>
      </c>
      <c r="E177" s="3" t="inlineStr">
        <is>
          <t>Ashanti</t>
        </is>
      </c>
      <c r="F177" s="3" t="inlineStr">
        <is>
          <t>Retail Shop</t>
        </is>
      </c>
      <c r="G177" s="3" t="inlineStr">
        <is>
          <t>Returning</t>
        </is>
      </c>
      <c r="H177" s="3" t="n">
        <v>3</v>
      </c>
      <c r="I177" s="8" t="n">
        <v>125</v>
      </c>
      <c r="J177" s="8" t="n">
        <v>70.08</v>
      </c>
      <c r="K177" s="9" t="n">
        <v>0</v>
      </c>
      <c r="L177" s="8" t="n">
        <v>1.01</v>
      </c>
      <c r="M177" s="8">
        <f>H177*I177*(1-K177)</f>
        <v/>
      </c>
      <c r="N177" s="8">
        <f>H177*J177</f>
        <v/>
      </c>
      <c r="O177" s="8">
        <f>M177-N177-L177</f>
        <v/>
      </c>
      <c r="P177" s="10">
        <f>IFERROR(O177/M177,0)</f>
        <v/>
      </c>
      <c r="Q177" s="3">
        <f>IF(H177&lt;=0,"Review: quantity &lt;= 0",IF(K177&gt;0.3,"Review: discount &gt; 30%",IF(G177="","Review: missing customer type","OK")))</f>
        <v/>
      </c>
    </row>
    <row r="178">
      <c r="A178" s="3" t="inlineStr">
        <is>
          <t>ORD-10177</t>
        </is>
      </c>
      <c r="B178" s="7" t="n">
        <v>45680</v>
      </c>
      <c r="C178" s="3" t="inlineStr">
        <is>
          <t>Accessories</t>
        </is>
      </c>
      <c r="D178" s="3" t="inlineStr">
        <is>
          <t>Belts</t>
        </is>
      </c>
      <c r="E178" s="3" t="inlineStr">
        <is>
          <t>Greater Accra</t>
        </is>
      </c>
      <c r="F178" s="3" t="inlineStr">
        <is>
          <t>Online</t>
        </is>
      </c>
      <c r="G178" s="3" t="inlineStr">
        <is>
          <t>Returning</t>
        </is>
      </c>
      <c r="H178" s="3" t="n">
        <v>2</v>
      </c>
      <c r="I178" s="8" t="n">
        <v>100</v>
      </c>
      <c r="J178" s="8" t="n">
        <v>43.04</v>
      </c>
      <c r="K178" s="9" t="n">
        <v>0.05</v>
      </c>
      <c r="L178" s="8" t="n">
        <v>17.64</v>
      </c>
      <c r="M178" s="8">
        <f>H178*I178*(1-K178)</f>
        <v/>
      </c>
      <c r="N178" s="8">
        <f>H178*J178</f>
        <v/>
      </c>
      <c r="O178" s="8">
        <f>M178-N178-L178</f>
        <v/>
      </c>
      <c r="P178" s="10">
        <f>IFERROR(O178/M178,0)</f>
        <v/>
      </c>
      <c r="Q178" s="3">
        <f>IF(H178&lt;=0,"Review: quantity &lt;= 0",IF(K178&gt;0.3,"Review: discount &gt; 30%",IF(G178="","Review: missing customer type","OK")))</f>
        <v/>
      </c>
    </row>
    <row r="179">
      <c r="A179" s="3" t="inlineStr">
        <is>
          <t>ORD-10178</t>
        </is>
      </c>
      <c r="B179" s="7" t="n">
        <v>45863</v>
      </c>
      <c r="C179" s="3" t="inlineStr">
        <is>
          <t>Clothing</t>
        </is>
      </c>
      <c r="D179" s="3" t="inlineStr">
        <is>
          <t>Shirts</t>
        </is>
      </c>
      <c r="E179" s="3" t="inlineStr">
        <is>
          <t>Northern</t>
        </is>
      </c>
      <c r="F179" s="3" t="inlineStr">
        <is>
          <t>Phone/WhatsApp</t>
        </is>
      </c>
      <c r="G179" s="3" t="inlineStr">
        <is>
          <t>Returning</t>
        </is>
      </c>
      <c r="H179" s="3" t="n">
        <v>1</v>
      </c>
      <c r="I179" s="8" t="n">
        <v>175</v>
      </c>
      <c r="J179" s="8" t="n">
        <v>92.45</v>
      </c>
      <c r="K179" s="9" t="n">
        <v>0</v>
      </c>
      <c r="L179" s="8" t="n">
        <v>15.28</v>
      </c>
      <c r="M179" s="8">
        <f>H179*I179*(1-K179)</f>
        <v/>
      </c>
      <c r="N179" s="8">
        <f>H179*J179</f>
        <v/>
      </c>
      <c r="O179" s="8">
        <f>M179-N179-L179</f>
        <v/>
      </c>
      <c r="P179" s="10">
        <f>IFERROR(O179/M179,0)</f>
        <v/>
      </c>
      <c r="Q179" s="3">
        <f>IF(H179&lt;=0,"Review: quantity &lt;= 0",IF(K179&gt;0.3,"Review: discount &gt; 30%",IF(G179="","Review: missing customer type","OK")))</f>
        <v/>
      </c>
    </row>
    <row r="180">
      <c r="A180" s="3" t="inlineStr">
        <is>
          <t>ORD-10179</t>
        </is>
      </c>
      <c r="B180" s="7" t="n">
        <v>45789</v>
      </c>
      <c r="C180" s="3" t="inlineStr">
        <is>
          <t>Footwear</t>
        </is>
      </c>
      <c r="D180" s="3" t="inlineStr">
        <is>
          <t>Sneakers</t>
        </is>
      </c>
      <c r="E180" s="3" t="inlineStr">
        <is>
          <t>Greater Accra</t>
        </is>
      </c>
      <c r="F180" s="3" t="inlineStr">
        <is>
          <t>Online</t>
        </is>
      </c>
      <c r="G180" s="3" t="inlineStr">
        <is>
          <t>New</t>
        </is>
      </c>
      <c r="H180" s="3" t="n">
        <v>2</v>
      </c>
      <c r="I180" s="8" t="n">
        <v>330</v>
      </c>
      <c r="J180" s="8" t="n">
        <v>198.06</v>
      </c>
      <c r="K180" s="9" t="n">
        <v>0.1</v>
      </c>
      <c r="L180" s="8" t="n">
        <v>24.75</v>
      </c>
      <c r="M180" s="8">
        <f>H180*I180*(1-K180)</f>
        <v/>
      </c>
      <c r="N180" s="8">
        <f>H180*J180</f>
        <v/>
      </c>
      <c r="O180" s="8">
        <f>M180-N180-L180</f>
        <v/>
      </c>
      <c r="P180" s="10">
        <f>IFERROR(O180/M180,0)</f>
        <v/>
      </c>
      <c r="Q180" s="3">
        <f>IF(H180&lt;=0,"Review: quantity &lt;= 0",IF(K180&gt;0.3,"Review: discount &gt; 30%",IF(G180="","Review: missing customer type","OK")))</f>
        <v/>
      </c>
    </row>
    <row r="181">
      <c r="A181" s="3" t="inlineStr">
        <is>
          <t>ORD-10180</t>
        </is>
      </c>
      <c r="B181" s="7" t="n">
        <v>45990</v>
      </c>
      <c r="C181" s="3" t="inlineStr">
        <is>
          <t>Footwear</t>
        </is>
      </c>
      <c r="D181" s="3" t="inlineStr">
        <is>
          <t>Sandals</t>
        </is>
      </c>
      <c r="E181" s="3" t="inlineStr">
        <is>
          <t>Greater Accra</t>
        </is>
      </c>
      <c r="F181" s="3" t="inlineStr">
        <is>
          <t>Phone/WhatsApp</t>
        </is>
      </c>
      <c r="G181" s="3" t="inlineStr">
        <is>
          <t>Returning</t>
        </is>
      </c>
      <c r="H181" s="3" t="n">
        <v>6</v>
      </c>
      <c r="I181" s="8" t="n">
        <v>270</v>
      </c>
      <c r="J181" s="8" t="n">
        <v>149.66</v>
      </c>
      <c r="K181" s="9" t="n">
        <v>0.2</v>
      </c>
      <c r="L181" s="8" t="n">
        <v>37.3</v>
      </c>
      <c r="M181" s="8">
        <f>H181*I181*(1-K181)</f>
        <v/>
      </c>
      <c r="N181" s="8">
        <f>H181*J181</f>
        <v/>
      </c>
      <c r="O181" s="8">
        <f>M181-N181-L181</f>
        <v/>
      </c>
      <c r="P181" s="10">
        <f>IFERROR(O181/M181,0)</f>
        <v/>
      </c>
      <c r="Q181" s="3">
        <f>IF(H181&lt;=0,"Review: quantity &lt;= 0",IF(K181&gt;0.3,"Review: discount &gt; 30%",IF(G181="","Review: missing customer type","OK")))</f>
        <v/>
      </c>
    </row>
    <row r="182">
      <c r="A182" s="3" t="inlineStr">
        <is>
          <t>ORD-10181</t>
        </is>
      </c>
      <c r="B182" s="7" t="n">
        <v>46018</v>
      </c>
      <c r="C182" s="3" t="inlineStr">
        <is>
          <t>Footwear</t>
        </is>
      </c>
      <c r="D182" s="3" t="inlineStr">
        <is>
          <t>Boots</t>
        </is>
      </c>
      <c r="E182" s="3" t="inlineStr">
        <is>
          <t>Ashanti</t>
        </is>
      </c>
      <c r="F182" s="3" t="inlineStr">
        <is>
          <t>Online</t>
        </is>
      </c>
      <c r="G182" s="3" t="inlineStr">
        <is>
          <t>New</t>
        </is>
      </c>
      <c r="H182" s="3" t="n">
        <v>2</v>
      </c>
      <c r="I182" s="8" t="n">
        <v>145</v>
      </c>
      <c r="J182" s="8" t="n">
        <v>88.63</v>
      </c>
      <c r="K182" s="9" t="n">
        <v>0.05</v>
      </c>
      <c r="L182" s="8" t="n">
        <v>27.47</v>
      </c>
      <c r="M182" s="8">
        <f>H182*I182*(1-K182)</f>
        <v/>
      </c>
      <c r="N182" s="8">
        <f>H182*J182</f>
        <v/>
      </c>
      <c r="O182" s="8">
        <f>M182-N182-L182</f>
        <v/>
      </c>
      <c r="P182" s="10">
        <f>IFERROR(O182/M182,0)</f>
        <v/>
      </c>
      <c r="Q182" s="3">
        <f>IF(H182&lt;=0,"Review: quantity &lt;= 0",IF(K182&gt;0.3,"Review: discount &gt; 30%",IF(G182="","Review: missing customer type","OK")))</f>
        <v/>
      </c>
    </row>
    <row r="183">
      <c r="A183" s="3" t="inlineStr">
        <is>
          <t>ORD-10182</t>
        </is>
      </c>
      <c r="B183" s="7" t="n">
        <v>45733</v>
      </c>
      <c r="C183" s="3" t="inlineStr">
        <is>
          <t>Home &amp; Lifestyle</t>
        </is>
      </c>
      <c r="D183" s="3" t="inlineStr">
        <is>
          <t>Travel Mugs</t>
        </is>
      </c>
      <c r="E183" s="3" t="inlineStr">
        <is>
          <t>Ashanti</t>
        </is>
      </c>
      <c r="F183" s="3" t="inlineStr">
        <is>
          <t>Phone/WhatsApp</t>
        </is>
      </c>
      <c r="G183" s="3" t="inlineStr">
        <is>
          <t>New</t>
        </is>
      </c>
      <c r="H183" s="3" t="n">
        <v>1</v>
      </c>
      <c r="I183" s="8" t="n">
        <v>175</v>
      </c>
      <c r="J183" s="8" t="n">
        <v>89.16</v>
      </c>
      <c r="K183" s="9" t="n">
        <v>0.15</v>
      </c>
      <c r="L183" s="8" t="n">
        <v>11.73</v>
      </c>
      <c r="M183" s="8">
        <f>H183*I183*(1-K183)</f>
        <v/>
      </c>
      <c r="N183" s="8">
        <f>H183*J183</f>
        <v/>
      </c>
      <c r="O183" s="8">
        <f>M183-N183-L183</f>
        <v/>
      </c>
      <c r="P183" s="10">
        <f>IFERROR(O183/M183,0)</f>
        <v/>
      </c>
      <c r="Q183" s="3">
        <f>IF(H183&lt;=0,"Review: quantity &lt;= 0",IF(K183&gt;0.3,"Review: discount &gt; 30%",IF(G183="","Review: missing customer type","OK")))</f>
        <v/>
      </c>
    </row>
    <row r="184">
      <c r="A184" s="3" t="inlineStr">
        <is>
          <t>ORD-10183</t>
        </is>
      </c>
      <c r="B184" s="7" t="n">
        <v>45810</v>
      </c>
      <c r="C184" s="3" t="inlineStr">
        <is>
          <t>Clothing</t>
        </is>
      </c>
      <c r="D184" s="3" t="inlineStr">
        <is>
          <t>Shirts</t>
        </is>
      </c>
      <c r="E184" s="3" t="inlineStr">
        <is>
          <t>Central</t>
        </is>
      </c>
      <c r="F184" s="3" t="inlineStr">
        <is>
          <t>Retail Shop</t>
        </is>
      </c>
      <c r="G184" s="3" t="inlineStr">
        <is>
          <t>New</t>
        </is>
      </c>
      <c r="H184" s="3" t="n">
        <v>3</v>
      </c>
      <c r="I184" s="8" t="n">
        <v>160</v>
      </c>
      <c r="J184" s="8" t="n">
        <v>86.95999999999999</v>
      </c>
      <c r="K184" s="9" t="n">
        <v>0.05</v>
      </c>
      <c r="L184" s="8" t="n">
        <v>1.7</v>
      </c>
      <c r="M184" s="8">
        <f>H184*I184*(1-K184)</f>
        <v/>
      </c>
      <c r="N184" s="8">
        <f>H184*J184</f>
        <v/>
      </c>
      <c r="O184" s="8">
        <f>M184-N184-L184</f>
        <v/>
      </c>
      <c r="P184" s="10">
        <f>IFERROR(O184/M184,0)</f>
        <v/>
      </c>
      <c r="Q184" s="3">
        <f>IF(H184&lt;=0,"Review: quantity &lt;= 0",IF(K184&gt;0.3,"Review: discount &gt; 30%",IF(G184="","Review: missing customer type","OK")))</f>
        <v/>
      </c>
    </row>
    <row r="185">
      <c r="A185" s="3" t="inlineStr">
        <is>
          <t>ORD-10184</t>
        </is>
      </c>
      <c r="B185" s="7" t="n">
        <v>45993</v>
      </c>
      <c r="C185" s="3" t="inlineStr">
        <is>
          <t>Home &amp; Lifestyle</t>
        </is>
      </c>
      <c r="D185" s="3" t="inlineStr">
        <is>
          <t>Small Home Goods</t>
        </is>
      </c>
      <c r="E185" s="3" t="inlineStr">
        <is>
          <t>Greater Accra</t>
        </is>
      </c>
      <c r="F185" s="3" t="inlineStr">
        <is>
          <t>Retail Shop</t>
        </is>
      </c>
      <c r="G185" s="3" t="inlineStr">
        <is>
          <t>New</t>
        </is>
      </c>
      <c r="H185" s="3" t="n">
        <v>1</v>
      </c>
      <c r="I185" s="8" t="n">
        <v>130</v>
      </c>
      <c r="J185" s="8" t="n">
        <v>64.7</v>
      </c>
      <c r="K185" s="9" t="n">
        <v>0.05</v>
      </c>
      <c r="L185" s="8" t="n">
        <v>11.48</v>
      </c>
      <c r="M185" s="8">
        <f>H185*I185*(1-K185)</f>
        <v/>
      </c>
      <c r="N185" s="8">
        <f>H185*J185</f>
        <v/>
      </c>
      <c r="O185" s="8">
        <f>M185-N185-L185</f>
        <v/>
      </c>
      <c r="P185" s="10">
        <f>IFERROR(O185/M185,0)</f>
        <v/>
      </c>
      <c r="Q185" s="3">
        <f>IF(H185&lt;=0,"Review: quantity &lt;= 0",IF(K185&gt;0.3,"Review: discount &gt; 30%",IF(G185="","Review: missing customer type","OK")))</f>
        <v/>
      </c>
    </row>
    <row r="186">
      <c r="A186" s="3" t="inlineStr">
        <is>
          <t>ORD-10185</t>
        </is>
      </c>
      <c r="B186" s="7" t="n">
        <v>45775</v>
      </c>
      <c r="C186" s="3" t="inlineStr">
        <is>
          <t>Home &amp; Lifestyle</t>
        </is>
      </c>
      <c r="D186" s="3" t="inlineStr">
        <is>
          <t>Travel Mugs</t>
        </is>
      </c>
      <c r="E186" s="3" t="inlineStr">
        <is>
          <t>Greater Accra</t>
        </is>
      </c>
      <c r="F186" s="3" t="inlineStr">
        <is>
          <t>Online</t>
        </is>
      </c>
      <c r="G186" s="3" t="inlineStr">
        <is>
          <t>New</t>
        </is>
      </c>
      <c r="H186" s="3" t="n">
        <v>3</v>
      </c>
      <c r="I186" s="8" t="n">
        <v>80</v>
      </c>
      <c r="J186" s="8" t="n">
        <v>40.82</v>
      </c>
      <c r="K186" s="9" t="n">
        <v>0</v>
      </c>
      <c r="L186" s="8" t="n">
        <v>11.64</v>
      </c>
      <c r="M186" s="8">
        <f>H186*I186*(1-K186)</f>
        <v/>
      </c>
      <c r="N186" s="8">
        <f>H186*J186</f>
        <v/>
      </c>
      <c r="O186" s="8">
        <f>M186-N186-L186</f>
        <v/>
      </c>
      <c r="P186" s="10">
        <f>IFERROR(O186/M186,0)</f>
        <v/>
      </c>
      <c r="Q186" s="3">
        <f>IF(H186&lt;=0,"Review: quantity &lt;= 0",IF(K186&gt;0.3,"Review: discount &gt; 30%",IF(G186="","Review: missing customer type","OK")))</f>
        <v/>
      </c>
    </row>
    <row r="187">
      <c r="A187" s="3" t="inlineStr">
        <is>
          <t>ORD-10186</t>
        </is>
      </c>
      <c r="B187" s="7" t="n">
        <v>45781</v>
      </c>
      <c r="C187" s="3" t="inlineStr">
        <is>
          <t>Accessories</t>
        </is>
      </c>
      <c r="D187" s="3" t="inlineStr">
        <is>
          <t>Watches</t>
        </is>
      </c>
      <c r="E187" s="3" t="inlineStr">
        <is>
          <t>Ashanti</t>
        </is>
      </c>
      <c r="F187" s="3" t="inlineStr">
        <is>
          <t>Phone/WhatsApp</t>
        </is>
      </c>
      <c r="G187" s="3" t="inlineStr">
        <is>
          <t>Returning</t>
        </is>
      </c>
      <c r="H187" s="3" t="n">
        <v>2</v>
      </c>
      <c r="I187" s="8" t="n">
        <v>150</v>
      </c>
      <c r="J187" s="8" t="n">
        <v>79.33</v>
      </c>
      <c r="K187" s="9" t="n">
        <v>0.05</v>
      </c>
      <c r="L187" s="8" t="n">
        <v>10.32</v>
      </c>
      <c r="M187" s="8">
        <f>H187*I187*(1-K187)</f>
        <v/>
      </c>
      <c r="N187" s="8">
        <f>H187*J187</f>
        <v/>
      </c>
      <c r="O187" s="8">
        <f>M187-N187-L187</f>
        <v/>
      </c>
      <c r="P187" s="10">
        <f>IFERROR(O187/M187,0)</f>
        <v/>
      </c>
      <c r="Q187" s="3">
        <f>IF(H187&lt;=0,"Review: quantity &lt;= 0",IF(K187&gt;0.3,"Review: discount &gt; 30%",IF(G187="","Review: missing customer type","OK")))</f>
        <v/>
      </c>
    </row>
    <row r="188">
      <c r="A188" s="3" t="inlineStr">
        <is>
          <t>ORD-10187</t>
        </is>
      </c>
      <c r="B188" s="7" t="n">
        <v>45875</v>
      </c>
      <c r="C188" s="3" t="inlineStr">
        <is>
          <t>Home &amp; Lifestyle</t>
        </is>
      </c>
      <c r="D188" s="3" t="inlineStr">
        <is>
          <t>Small Home Goods</t>
        </is>
      </c>
      <c r="E188" s="3" t="inlineStr">
        <is>
          <t>Ashanti</t>
        </is>
      </c>
      <c r="F188" s="3" t="inlineStr">
        <is>
          <t>Retail Shop</t>
        </is>
      </c>
      <c r="G188" s="3" t="inlineStr">
        <is>
          <t>Returning</t>
        </is>
      </c>
      <c r="H188" s="3" t="n">
        <v>3</v>
      </c>
      <c r="I188" s="8" t="n">
        <v>175</v>
      </c>
      <c r="J188" s="8" t="n">
        <v>103.25</v>
      </c>
      <c r="K188" s="9" t="n">
        <v>0.15</v>
      </c>
      <c r="L188" s="8" t="n">
        <v>5.93</v>
      </c>
      <c r="M188" s="8">
        <f>H188*I188*(1-K188)</f>
        <v/>
      </c>
      <c r="N188" s="8">
        <f>H188*J188</f>
        <v/>
      </c>
      <c r="O188" s="8">
        <f>M188-N188-L188</f>
        <v/>
      </c>
      <c r="P188" s="10">
        <f>IFERROR(O188/M188,0)</f>
        <v/>
      </c>
      <c r="Q188" s="3">
        <f>IF(H188&lt;=0,"Review: quantity &lt;= 0",IF(K188&gt;0.3,"Review: discount &gt; 30%",IF(G188="","Review: missing customer type","OK")))</f>
        <v/>
      </c>
    </row>
    <row r="189">
      <c r="A189" s="3" t="inlineStr">
        <is>
          <t>ORD-10188</t>
        </is>
      </c>
      <c r="B189" s="7" t="n">
        <v>45918</v>
      </c>
      <c r="C189" s="3" t="inlineStr">
        <is>
          <t>Clothing</t>
        </is>
      </c>
      <c r="D189" s="3" t="inlineStr">
        <is>
          <t>Trousers</t>
        </is>
      </c>
      <c r="E189" s="3" t="inlineStr">
        <is>
          <t>Ashanti</t>
        </is>
      </c>
      <c r="F189" s="3" t="inlineStr">
        <is>
          <t>Retail Shop</t>
        </is>
      </c>
      <c r="G189" s="3" t="inlineStr">
        <is>
          <t>New</t>
        </is>
      </c>
      <c r="H189" s="3" t="n">
        <v>5</v>
      </c>
      <c r="I189" s="8" t="n">
        <v>165</v>
      </c>
      <c r="J189" s="8" t="n">
        <v>94.73999999999999</v>
      </c>
      <c r="K189" s="9" t="n">
        <v>0.1</v>
      </c>
      <c r="L189" s="8" t="n">
        <v>5.35</v>
      </c>
      <c r="M189" s="8">
        <f>H189*I189*(1-K189)</f>
        <v/>
      </c>
      <c r="N189" s="8">
        <f>H189*J189</f>
        <v/>
      </c>
      <c r="O189" s="8">
        <f>M189-N189-L189</f>
        <v/>
      </c>
      <c r="P189" s="10">
        <f>IFERROR(O189/M189,0)</f>
        <v/>
      </c>
      <c r="Q189" s="3">
        <f>IF(H189&lt;=0,"Review: quantity &lt;= 0",IF(K189&gt;0.3,"Review: discount &gt; 30%",IF(G189="","Review: missing customer type","OK")))</f>
        <v/>
      </c>
    </row>
    <row r="190">
      <c r="A190" s="3" t="inlineStr">
        <is>
          <t>ORD-10189</t>
        </is>
      </c>
      <c r="B190" s="7" t="n">
        <v>45833</v>
      </c>
      <c r="C190" s="3" t="inlineStr">
        <is>
          <t>Footwear</t>
        </is>
      </c>
      <c r="D190" s="3" t="inlineStr">
        <is>
          <t>Sandals</t>
        </is>
      </c>
      <c r="E190" s="3" t="inlineStr">
        <is>
          <t>Western</t>
        </is>
      </c>
      <c r="F190" s="3" t="inlineStr">
        <is>
          <t>Phone/WhatsApp</t>
        </is>
      </c>
      <c r="G190" s="3" t="inlineStr">
        <is>
          <t>New</t>
        </is>
      </c>
      <c r="H190" s="3" t="n">
        <v>2</v>
      </c>
      <c r="I190" s="8" t="n">
        <v>320</v>
      </c>
      <c r="J190" s="8" t="n">
        <v>192.13</v>
      </c>
      <c r="K190" s="9" t="n">
        <v>0.2</v>
      </c>
      <c r="L190" s="8" t="n">
        <v>28.66</v>
      </c>
      <c r="M190" s="8">
        <f>H190*I190*(1-K190)</f>
        <v/>
      </c>
      <c r="N190" s="8">
        <f>H190*J190</f>
        <v/>
      </c>
      <c r="O190" s="8">
        <f>M190-N190-L190</f>
        <v/>
      </c>
      <c r="P190" s="10">
        <f>IFERROR(O190/M190,0)</f>
        <v/>
      </c>
      <c r="Q190" s="3">
        <f>IF(H190&lt;=0,"Review: quantity &lt;= 0",IF(K190&gt;0.3,"Review: discount &gt; 30%",IF(G190="","Review: missing customer type","OK")))</f>
        <v/>
      </c>
    </row>
    <row r="191">
      <c r="A191" s="3" t="inlineStr">
        <is>
          <t>ORD-10190</t>
        </is>
      </c>
      <c r="B191" s="7" t="n">
        <v>45692</v>
      </c>
      <c r="C191" s="3" t="inlineStr">
        <is>
          <t>Clothing</t>
        </is>
      </c>
      <c r="D191" s="3" t="inlineStr">
        <is>
          <t>Shirts</t>
        </is>
      </c>
      <c r="E191" s="3" t="inlineStr">
        <is>
          <t>Greater Accra</t>
        </is>
      </c>
      <c r="F191" s="3" t="inlineStr">
        <is>
          <t>Retail Shop</t>
        </is>
      </c>
      <c r="G191" s="3" t="inlineStr">
        <is>
          <t>Returning</t>
        </is>
      </c>
      <c r="H191" s="3" t="n">
        <v>1</v>
      </c>
      <c r="I191" s="8" t="n">
        <v>105</v>
      </c>
      <c r="J191" s="8" t="n">
        <v>56.25</v>
      </c>
      <c r="K191" s="9" t="n">
        <v>0.05</v>
      </c>
      <c r="L191" s="8" t="n">
        <v>2.15</v>
      </c>
      <c r="M191" s="8">
        <f>H191*I191*(1-K191)</f>
        <v/>
      </c>
      <c r="N191" s="8">
        <f>H191*J191</f>
        <v/>
      </c>
      <c r="O191" s="8">
        <f>M191-N191-L191</f>
        <v/>
      </c>
      <c r="P191" s="10">
        <f>IFERROR(O191/M191,0)</f>
        <v/>
      </c>
      <c r="Q191" s="3">
        <f>IF(H191&lt;=0,"Review: quantity &lt;= 0",IF(K191&gt;0.3,"Review: discount &gt; 30%",IF(G191="","Review: missing customer type","OK")))</f>
        <v/>
      </c>
    </row>
    <row r="192">
      <c r="A192" s="3" t="inlineStr">
        <is>
          <t>ORD-10191</t>
        </is>
      </c>
      <c r="B192" s="7" t="n">
        <v>45907</v>
      </c>
      <c r="C192" s="3" t="inlineStr">
        <is>
          <t>Clothing</t>
        </is>
      </c>
      <c r="D192" s="3" t="inlineStr">
        <is>
          <t>Shirts</t>
        </is>
      </c>
      <c r="E192" s="3" t="inlineStr">
        <is>
          <t>Central</t>
        </is>
      </c>
      <c r="F192" s="3" t="inlineStr">
        <is>
          <t>Retail Shop</t>
        </is>
      </c>
      <c r="G192" s="3" t="inlineStr">
        <is>
          <t>Returning</t>
        </is>
      </c>
      <c r="H192" s="3" t="n">
        <v>2</v>
      </c>
      <c r="I192" s="8" t="n">
        <v>190</v>
      </c>
      <c r="J192" s="8" t="n">
        <v>93.13</v>
      </c>
      <c r="K192" s="9" t="n">
        <v>0.15</v>
      </c>
      <c r="L192" s="8" t="n">
        <v>1.68</v>
      </c>
      <c r="M192" s="8">
        <f>H192*I192*(1-K192)</f>
        <v/>
      </c>
      <c r="N192" s="8">
        <f>H192*J192</f>
        <v/>
      </c>
      <c r="O192" s="8">
        <f>M192-N192-L192</f>
        <v/>
      </c>
      <c r="P192" s="10">
        <f>IFERROR(O192/M192,0)</f>
        <v/>
      </c>
      <c r="Q192" s="3">
        <f>IF(H192&lt;=0,"Review: quantity &lt;= 0",IF(K192&gt;0.3,"Review: discount &gt; 30%",IF(G192="","Review: missing customer type","OK")))</f>
        <v/>
      </c>
    </row>
    <row r="193">
      <c r="A193" s="3" t="inlineStr">
        <is>
          <t>ORD-10192</t>
        </is>
      </c>
      <c r="B193" s="7" t="n">
        <v>46001</v>
      </c>
      <c r="C193" s="3" t="inlineStr">
        <is>
          <t>Clothing</t>
        </is>
      </c>
      <c r="D193" s="3" t="inlineStr">
        <is>
          <t>Jackets</t>
        </is>
      </c>
      <c r="E193" s="3" t="inlineStr">
        <is>
          <t>Western</t>
        </is>
      </c>
      <c r="F193" s="3" t="inlineStr">
        <is>
          <t>Retail Shop</t>
        </is>
      </c>
      <c r="G193" s="3" t="inlineStr">
        <is>
          <t>New</t>
        </is>
      </c>
      <c r="H193" s="3" t="n">
        <v>4</v>
      </c>
      <c r="I193" s="8" t="n">
        <v>130</v>
      </c>
      <c r="J193" s="8" t="n">
        <v>61.24</v>
      </c>
      <c r="K193" s="9" t="n">
        <v>0.15</v>
      </c>
      <c r="L193" s="8" t="n">
        <v>8.710000000000001</v>
      </c>
      <c r="M193" s="8">
        <f>H193*I193*(1-K193)</f>
        <v/>
      </c>
      <c r="N193" s="8">
        <f>H193*J193</f>
        <v/>
      </c>
      <c r="O193" s="8">
        <f>M193-N193-L193</f>
        <v/>
      </c>
      <c r="P193" s="10">
        <f>IFERROR(O193/M193,0)</f>
        <v/>
      </c>
      <c r="Q193" s="3">
        <f>IF(H193&lt;=0,"Review: quantity &lt;= 0",IF(K193&gt;0.3,"Review: discount &gt; 30%",IF(G193="","Review: missing customer type","OK")))</f>
        <v/>
      </c>
    </row>
    <row r="194">
      <c r="A194" s="3" t="inlineStr">
        <is>
          <t>ORD-10193</t>
        </is>
      </c>
      <c r="B194" s="7" t="n">
        <v>45682</v>
      </c>
      <c r="C194" s="3" t="inlineStr">
        <is>
          <t>Clothing</t>
        </is>
      </c>
      <c r="D194" s="3" t="inlineStr">
        <is>
          <t>Trousers</t>
        </is>
      </c>
      <c r="E194" s="3" t="inlineStr">
        <is>
          <t>Greater Accra</t>
        </is>
      </c>
      <c r="F194" s="3" t="inlineStr">
        <is>
          <t>Online</t>
        </is>
      </c>
      <c r="G194" s="3" t="inlineStr">
        <is>
          <t>Returning</t>
        </is>
      </c>
      <c r="H194" s="3" t="n">
        <v>3</v>
      </c>
      <c r="I194" s="8" t="n">
        <v>190</v>
      </c>
      <c r="J194" s="8" t="n">
        <v>108.12</v>
      </c>
      <c r="K194" s="9" t="n">
        <v>0.05</v>
      </c>
      <c r="L194" s="8" t="n">
        <v>42.22</v>
      </c>
      <c r="M194" s="8">
        <f>H194*I194*(1-K194)</f>
        <v/>
      </c>
      <c r="N194" s="8">
        <f>H194*J194</f>
        <v/>
      </c>
      <c r="O194" s="8">
        <f>M194-N194-L194</f>
        <v/>
      </c>
      <c r="P194" s="10">
        <f>IFERROR(O194/M194,0)</f>
        <v/>
      </c>
      <c r="Q194" s="3">
        <f>IF(H194&lt;=0,"Review: quantity &lt;= 0",IF(K194&gt;0.3,"Review: discount &gt; 30%",IF(G194="","Review: missing customer type","OK")))</f>
        <v/>
      </c>
    </row>
    <row r="195">
      <c r="A195" s="3" t="inlineStr">
        <is>
          <t>ORD-10194</t>
        </is>
      </c>
      <c r="B195" s="7" t="n">
        <v>45965</v>
      </c>
      <c r="C195" s="3" t="inlineStr">
        <is>
          <t>Clothing</t>
        </is>
      </c>
      <c r="D195" s="3" t="inlineStr">
        <is>
          <t>Shirts</t>
        </is>
      </c>
      <c r="E195" s="3" t="inlineStr">
        <is>
          <t>Ashanti</t>
        </is>
      </c>
      <c r="F195" s="3" t="inlineStr">
        <is>
          <t>Retail Shop</t>
        </is>
      </c>
      <c r="G195" s="3" t="inlineStr">
        <is>
          <t>New</t>
        </is>
      </c>
      <c r="H195" s="3" t="n">
        <v>2</v>
      </c>
      <c r="I195" s="8" t="n">
        <v>135</v>
      </c>
      <c r="J195" s="8" t="n">
        <v>77.16</v>
      </c>
      <c r="K195" s="9" t="n">
        <v>0.05</v>
      </c>
      <c r="L195" s="8" t="n">
        <v>6.01</v>
      </c>
      <c r="M195" s="8">
        <f>H195*I195*(1-K195)</f>
        <v/>
      </c>
      <c r="N195" s="8">
        <f>H195*J195</f>
        <v/>
      </c>
      <c r="O195" s="8">
        <f>M195-N195-L195</f>
        <v/>
      </c>
      <c r="P195" s="10">
        <f>IFERROR(O195/M195,0)</f>
        <v/>
      </c>
      <c r="Q195" s="3">
        <f>IF(H195&lt;=0,"Review: quantity &lt;= 0",IF(K195&gt;0.3,"Review: discount &gt; 30%",IF(G195="","Review: missing customer type","OK")))</f>
        <v/>
      </c>
    </row>
    <row r="196">
      <c r="A196" s="3" t="inlineStr">
        <is>
          <t>ORD-10195</t>
        </is>
      </c>
      <c r="B196" s="7" t="n">
        <v>45988</v>
      </c>
      <c r="C196" s="3" t="inlineStr">
        <is>
          <t>Footwear</t>
        </is>
      </c>
      <c r="D196" s="3" t="inlineStr">
        <is>
          <t>Formal Shoes</t>
        </is>
      </c>
      <c r="E196" s="3" t="inlineStr">
        <is>
          <t>Western</t>
        </is>
      </c>
      <c r="F196" s="3" t="inlineStr">
        <is>
          <t>Retail Shop</t>
        </is>
      </c>
      <c r="G196" s="3" t="inlineStr">
        <is>
          <t>New</t>
        </is>
      </c>
      <c r="H196" s="3" t="n">
        <v>1</v>
      </c>
      <c r="I196" s="8" t="n">
        <v>430</v>
      </c>
      <c r="J196" s="8" t="n">
        <v>257.16</v>
      </c>
      <c r="K196" s="9" t="n">
        <v>0</v>
      </c>
      <c r="L196" s="8" t="n">
        <v>1.68</v>
      </c>
      <c r="M196" s="8">
        <f>H196*I196*(1-K196)</f>
        <v/>
      </c>
      <c r="N196" s="8">
        <f>H196*J196</f>
        <v/>
      </c>
      <c r="O196" s="8">
        <f>M196-N196-L196</f>
        <v/>
      </c>
      <c r="P196" s="10">
        <f>IFERROR(O196/M196,0)</f>
        <v/>
      </c>
      <c r="Q196" s="3">
        <f>IF(H196&lt;=0,"Review: quantity &lt;= 0",IF(K196&gt;0.3,"Review: discount &gt; 30%",IF(G196="","Review: missing customer type","OK")))</f>
        <v/>
      </c>
    </row>
    <row r="197">
      <c r="A197" s="3" t="inlineStr">
        <is>
          <t>ORD-10196</t>
        </is>
      </c>
      <c r="B197" s="7" t="n">
        <v>45735</v>
      </c>
      <c r="C197" s="3" t="inlineStr">
        <is>
          <t>Accessories</t>
        </is>
      </c>
      <c r="D197" s="3" t="inlineStr">
        <is>
          <t>Watches</t>
        </is>
      </c>
      <c r="E197" s="3" t="inlineStr">
        <is>
          <t>Greater Accra</t>
        </is>
      </c>
      <c r="F197" s="3" t="inlineStr">
        <is>
          <t>Retail Shop</t>
        </is>
      </c>
      <c r="G197" s="3" t="inlineStr">
        <is>
          <t>Returning</t>
        </is>
      </c>
      <c r="H197" s="3" t="n">
        <v>3</v>
      </c>
      <c r="I197" s="8" t="n">
        <v>95</v>
      </c>
      <c r="J197" s="8" t="n">
        <v>41.11</v>
      </c>
      <c r="K197" s="9" t="n">
        <v>0.1</v>
      </c>
      <c r="L197" s="8" t="n">
        <v>8.039999999999999</v>
      </c>
      <c r="M197" s="8">
        <f>H197*I197*(1-K197)</f>
        <v/>
      </c>
      <c r="N197" s="8">
        <f>H197*J197</f>
        <v/>
      </c>
      <c r="O197" s="8">
        <f>M197-N197-L197</f>
        <v/>
      </c>
      <c r="P197" s="10">
        <f>IFERROR(O197/M197,0)</f>
        <v/>
      </c>
      <c r="Q197" s="3">
        <f>IF(H197&lt;=0,"Review: quantity &lt;= 0",IF(K197&gt;0.3,"Review: discount &gt; 30%",IF(G197="","Review: missing customer type","OK")))</f>
        <v/>
      </c>
    </row>
    <row r="198">
      <c r="A198" s="3" t="inlineStr">
        <is>
          <t>ORD-10197</t>
        </is>
      </c>
      <c r="B198" s="7" t="n">
        <v>45689</v>
      </c>
      <c r="C198" s="3" t="inlineStr">
        <is>
          <t>Footwear</t>
        </is>
      </c>
      <c r="D198" s="3" t="inlineStr">
        <is>
          <t>Boots</t>
        </is>
      </c>
      <c r="E198" s="3" t="inlineStr">
        <is>
          <t>Ashanti</t>
        </is>
      </c>
      <c r="F198" s="3" t="inlineStr">
        <is>
          <t>Retail Shop</t>
        </is>
      </c>
      <c r="G198" s="3" t="inlineStr">
        <is>
          <t>New</t>
        </is>
      </c>
      <c r="H198" s="3" t="n">
        <v>4</v>
      </c>
      <c r="I198" s="8" t="n">
        <v>480</v>
      </c>
      <c r="J198" s="8" t="n">
        <v>261.5</v>
      </c>
      <c r="K198" s="9" t="n">
        <v>0</v>
      </c>
      <c r="L198" s="8" t="n">
        <v>4.74</v>
      </c>
      <c r="M198" s="8">
        <f>H198*I198*(1-K198)</f>
        <v/>
      </c>
      <c r="N198" s="8">
        <f>H198*J198</f>
        <v/>
      </c>
      <c r="O198" s="8">
        <f>M198-N198-L198</f>
        <v/>
      </c>
      <c r="P198" s="10">
        <f>IFERROR(O198/M198,0)</f>
        <v/>
      </c>
      <c r="Q198" s="3">
        <f>IF(H198&lt;=0,"Review: quantity &lt;= 0",IF(K198&gt;0.3,"Review: discount &gt; 30%",IF(G198="","Review: missing customer type","OK")))</f>
        <v/>
      </c>
    </row>
    <row r="199">
      <c r="A199" s="3" t="inlineStr">
        <is>
          <t>ORD-10198</t>
        </is>
      </c>
      <c r="B199" s="7" t="n">
        <v>45684</v>
      </c>
      <c r="C199" s="3" t="inlineStr">
        <is>
          <t>Footwear</t>
        </is>
      </c>
      <c r="D199" s="3" t="inlineStr">
        <is>
          <t>Boots</t>
        </is>
      </c>
      <c r="E199" s="3" t="inlineStr">
        <is>
          <t>Greater Accra</t>
        </is>
      </c>
      <c r="F199" s="3" t="inlineStr">
        <is>
          <t>Retail Shop</t>
        </is>
      </c>
      <c r="G199" s="3" t="inlineStr">
        <is>
          <t>New</t>
        </is>
      </c>
      <c r="H199" s="3" t="n">
        <v>2</v>
      </c>
      <c r="I199" s="8" t="n">
        <v>250</v>
      </c>
      <c r="J199" s="8" t="n">
        <v>142.44</v>
      </c>
      <c r="K199" s="9" t="n">
        <v>0</v>
      </c>
      <c r="L199" s="8" t="n">
        <v>8.68</v>
      </c>
      <c r="M199" s="8">
        <f>H199*I199*(1-K199)</f>
        <v/>
      </c>
      <c r="N199" s="8">
        <f>H199*J199</f>
        <v/>
      </c>
      <c r="O199" s="8">
        <f>M199-N199-L199</f>
        <v/>
      </c>
      <c r="P199" s="10">
        <f>IFERROR(O199/M199,0)</f>
        <v/>
      </c>
      <c r="Q199" s="3">
        <f>IF(H199&lt;=0,"Review: quantity &lt;= 0",IF(K199&gt;0.3,"Review: discount &gt; 30%",IF(G199="","Review: missing customer type","OK")))</f>
        <v/>
      </c>
    </row>
    <row r="200">
      <c r="A200" s="3" t="inlineStr">
        <is>
          <t>ORD-10199</t>
        </is>
      </c>
      <c r="B200" s="7" t="n">
        <v>45756</v>
      </c>
      <c r="C200" s="3" t="inlineStr">
        <is>
          <t>Accessories</t>
        </is>
      </c>
      <c r="D200" s="3" t="inlineStr">
        <is>
          <t>Bags</t>
        </is>
      </c>
      <c r="E200" s="3" t="inlineStr">
        <is>
          <t>Ashanti</t>
        </is>
      </c>
      <c r="F200" s="3" t="inlineStr">
        <is>
          <t>Online</t>
        </is>
      </c>
      <c r="G200" s="3" t="inlineStr">
        <is>
          <t>New</t>
        </is>
      </c>
      <c r="H200" s="3" t="n">
        <v>1</v>
      </c>
      <c r="I200" s="8" t="n">
        <v>75</v>
      </c>
      <c r="J200" s="8" t="n">
        <v>37.68</v>
      </c>
      <c r="K200" s="9" t="n">
        <v>0</v>
      </c>
      <c r="L200" s="8" t="n">
        <v>36.37</v>
      </c>
      <c r="M200" s="8">
        <f>H200*I200*(1-K200)</f>
        <v/>
      </c>
      <c r="N200" s="8">
        <f>H200*J200</f>
        <v/>
      </c>
      <c r="O200" s="8">
        <f>M200-N200-L200</f>
        <v/>
      </c>
      <c r="P200" s="10">
        <f>IFERROR(O200/M200,0)</f>
        <v/>
      </c>
      <c r="Q200" s="3">
        <f>IF(H200&lt;=0,"Review: quantity &lt;= 0",IF(K200&gt;0.3,"Review: discount &gt; 30%",IF(G200="","Review: missing customer type","OK")))</f>
        <v/>
      </c>
    </row>
    <row r="201">
      <c r="A201" s="3" t="inlineStr">
        <is>
          <t>ORD-10200</t>
        </is>
      </c>
      <c r="B201" s="7" t="n">
        <v>45933</v>
      </c>
      <c r="C201" s="3" t="inlineStr">
        <is>
          <t>Clothing</t>
        </is>
      </c>
      <c r="D201" s="3" t="inlineStr">
        <is>
          <t>Jackets</t>
        </is>
      </c>
      <c r="E201" s="3" t="inlineStr">
        <is>
          <t>Northern</t>
        </is>
      </c>
      <c r="F201" s="3" t="inlineStr">
        <is>
          <t>Phone/WhatsApp</t>
        </is>
      </c>
      <c r="G201" s="3" t="inlineStr">
        <is>
          <t>Returning</t>
        </is>
      </c>
      <c r="H201" s="3" t="n">
        <v>3</v>
      </c>
      <c r="I201" s="8" t="n">
        <v>150</v>
      </c>
      <c r="J201" s="8" t="n">
        <v>72.22</v>
      </c>
      <c r="K201" s="9" t="n">
        <v>0.15</v>
      </c>
      <c r="L201" s="8" t="n">
        <v>30.75</v>
      </c>
      <c r="M201" s="8">
        <f>H201*I201*(1-K201)</f>
        <v/>
      </c>
      <c r="N201" s="8">
        <f>H201*J201</f>
        <v/>
      </c>
      <c r="O201" s="8">
        <f>M201-N201-L201</f>
        <v/>
      </c>
      <c r="P201" s="10">
        <f>IFERROR(O201/M201,0)</f>
        <v/>
      </c>
      <c r="Q201" s="3">
        <f>IF(H201&lt;=0,"Review: quantity &lt;= 0",IF(K201&gt;0.3,"Review: discount &gt; 30%",IF(G201="","Review: missing customer type","OK")))</f>
        <v/>
      </c>
    </row>
    <row r="202">
      <c r="A202" s="3" t="inlineStr">
        <is>
          <t>ORD-10201</t>
        </is>
      </c>
      <c r="B202" s="7" t="n">
        <v>45903</v>
      </c>
      <c r="C202" s="3" t="inlineStr">
        <is>
          <t>Clothing</t>
        </is>
      </c>
      <c r="D202" s="3" t="inlineStr">
        <is>
          <t>Dresses</t>
        </is>
      </c>
      <c r="E202" s="3" t="inlineStr">
        <is>
          <t>Greater Accra</t>
        </is>
      </c>
      <c r="F202" s="3" t="inlineStr">
        <is>
          <t>Online</t>
        </is>
      </c>
      <c r="G202" s="3" t="inlineStr">
        <is>
          <t>Returning</t>
        </is>
      </c>
      <c r="H202" s="3" t="n">
        <v>1</v>
      </c>
      <c r="I202" s="8" t="n">
        <v>85</v>
      </c>
      <c r="J202" s="8" t="n">
        <v>40.09</v>
      </c>
      <c r="K202" s="9" t="n">
        <v>0.05</v>
      </c>
      <c r="L202" s="8" t="n">
        <v>38.62</v>
      </c>
      <c r="M202" s="8">
        <f>H202*I202*(1-K202)</f>
        <v/>
      </c>
      <c r="N202" s="8">
        <f>H202*J202</f>
        <v/>
      </c>
      <c r="O202" s="8">
        <f>M202-N202-L202</f>
        <v/>
      </c>
      <c r="P202" s="10">
        <f>IFERROR(O202/M202,0)</f>
        <v/>
      </c>
      <c r="Q202" s="3">
        <f>IF(H202&lt;=0,"Review: quantity &lt;= 0",IF(K202&gt;0.3,"Review: discount &gt; 30%",IF(G202="","Review: missing customer type","OK")))</f>
        <v/>
      </c>
    </row>
    <row r="203">
      <c r="A203" s="3" t="inlineStr">
        <is>
          <t>ORD-10202</t>
        </is>
      </c>
      <c r="B203" s="7" t="n">
        <v>46011</v>
      </c>
      <c r="C203" s="3" t="inlineStr">
        <is>
          <t>Clothing</t>
        </is>
      </c>
      <c r="D203" s="3" t="inlineStr">
        <is>
          <t>Jackets</t>
        </is>
      </c>
      <c r="E203" s="3" t="inlineStr">
        <is>
          <t>Ashanti</t>
        </is>
      </c>
      <c r="F203" s="3" t="inlineStr">
        <is>
          <t>Online</t>
        </is>
      </c>
      <c r="G203" s="3" t="inlineStr">
        <is>
          <t>Returning</t>
        </is>
      </c>
      <c r="H203" s="3" t="n">
        <v>5</v>
      </c>
      <c r="I203" s="8" t="n">
        <v>125</v>
      </c>
      <c r="J203" s="8" t="n">
        <v>69.61</v>
      </c>
      <c r="K203" s="9" t="n">
        <v>0</v>
      </c>
      <c r="L203" s="8" t="n">
        <v>25.96</v>
      </c>
      <c r="M203" s="8">
        <f>H203*I203*(1-K203)</f>
        <v/>
      </c>
      <c r="N203" s="8">
        <f>H203*J203</f>
        <v/>
      </c>
      <c r="O203" s="8">
        <f>M203-N203-L203</f>
        <v/>
      </c>
      <c r="P203" s="10">
        <f>IFERROR(O203/M203,0)</f>
        <v/>
      </c>
      <c r="Q203" s="3">
        <f>IF(H203&lt;=0,"Review: quantity &lt;= 0",IF(K203&gt;0.3,"Review: discount &gt; 30%",IF(G203="","Review: missing customer type","OK")))</f>
        <v/>
      </c>
    </row>
    <row r="204">
      <c r="A204" s="3" t="inlineStr">
        <is>
          <t>ORD-10203</t>
        </is>
      </c>
      <c r="B204" s="7" t="n">
        <v>46019</v>
      </c>
      <c r="C204" s="3" t="inlineStr">
        <is>
          <t>Clothing</t>
        </is>
      </c>
      <c r="D204" s="3" t="inlineStr">
        <is>
          <t>Shirts</t>
        </is>
      </c>
      <c r="E204" s="3" t="inlineStr">
        <is>
          <t>Western</t>
        </is>
      </c>
      <c r="F204" s="3" t="inlineStr">
        <is>
          <t>Retail Shop</t>
        </is>
      </c>
      <c r="G204" s="3" t="inlineStr">
        <is>
          <t>Returning</t>
        </is>
      </c>
      <c r="H204" s="3" t="n">
        <v>2</v>
      </c>
      <c r="I204" s="8" t="n">
        <v>160</v>
      </c>
      <c r="J204" s="8" t="n">
        <v>84.90000000000001</v>
      </c>
      <c r="K204" s="9" t="n">
        <v>0.1</v>
      </c>
      <c r="L204" s="8" t="n">
        <v>3.39</v>
      </c>
      <c r="M204" s="8">
        <f>H204*I204*(1-K204)</f>
        <v/>
      </c>
      <c r="N204" s="8">
        <f>H204*J204</f>
        <v/>
      </c>
      <c r="O204" s="8">
        <f>M204-N204-L204</f>
        <v/>
      </c>
      <c r="P204" s="10">
        <f>IFERROR(O204/M204,0)</f>
        <v/>
      </c>
      <c r="Q204" s="3">
        <f>IF(H204&lt;=0,"Review: quantity &lt;= 0",IF(K204&gt;0.3,"Review: discount &gt; 30%",IF(G204="","Review: missing customer type","OK")))</f>
        <v/>
      </c>
    </row>
    <row r="205">
      <c r="A205" s="3" t="inlineStr">
        <is>
          <t>ORD-10204</t>
        </is>
      </c>
      <c r="B205" s="7" t="n">
        <v>45977</v>
      </c>
      <c r="C205" s="3" t="inlineStr">
        <is>
          <t>Home &amp; Lifestyle</t>
        </is>
      </c>
      <c r="D205" s="3" t="inlineStr">
        <is>
          <t>Travel Mugs</t>
        </is>
      </c>
      <c r="E205" s="3" t="inlineStr">
        <is>
          <t>Western</t>
        </is>
      </c>
      <c r="F205" s="3" t="inlineStr">
        <is>
          <t>Online</t>
        </is>
      </c>
      <c r="G205" s="3" t="inlineStr">
        <is>
          <t>New</t>
        </is>
      </c>
      <c r="H205" s="3" t="n">
        <v>2</v>
      </c>
      <c r="I205" s="8" t="n">
        <v>125</v>
      </c>
      <c r="J205" s="8" t="n">
        <v>75.98999999999999</v>
      </c>
      <c r="K205" s="9" t="n">
        <v>0.05</v>
      </c>
      <c r="L205" s="8" t="n">
        <v>43.11</v>
      </c>
      <c r="M205" s="8">
        <f>H205*I205*(1-K205)</f>
        <v/>
      </c>
      <c r="N205" s="8">
        <f>H205*J205</f>
        <v/>
      </c>
      <c r="O205" s="8">
        <f>M205-N205-L205</f>
        <v/>
      </c>
      <c r="P205" s="10">
        <f>IFERROR(O205/M205,0)</f>
        <v/>
      </c>
      <c r="Q205" s="3">
        <f>IF(H205&lt;=0,"Review: quantity &lt;= 0",IF(K205&gt;0.3,"Review: discount &gt; 30%",IF(G205="","Review: missing customer type","OK")))</f>
        <v/>
      </c>
    </row>
    <row r="206">
      <c r="A206" s="3" t="inlineStr">
        <is>
          <t>ORD-10205</t>
        </is>
      </c>
      <c r="B206" s="7" t="n">
        <v>45822</v>
      </c>
      <c r="C206" s="3" t="inlineStr">
        <is>
          <t>Accessories</t>
        </is>
      </c>
      <c r="D206" s="3" t="inlineStr">
        <is>
          <t>Watches</t>
        </is>
      </c>
      <c r="E206" s="3" t="inlineStr">
        <is>
          <t>Western</t>
        </is>
      </c>
      <c r="F206" s="3" t="inlineStr">
        <is>
          <t>Retail Shop</t>
        </is>
      </c>
      <c r="G206" s="3" t="inlineStr">
        <is>
          <t>Returning</t>
        </is>
      </c>
      <c r="H206" s="3" t="n">
        <v>4</v>
      </c>
      <c r="I206" s="8" t="n">
        <v>90</v>
      </c>
      <c r="J206" s="8" t="n">
        <v>46.93</v>
      </c>
      <c r="K206" s="9" t="n">
        <v>0</v>
      </c>
      <c r="L206" s="8" t="n">
        <v>5.64</v>
      </c>
      <c r="M206" s="8">
        <f>H206*I206*(1-K206)</f>
        <v/>
      </c>
      <c r="N206" s="8">
        <f>H206*J206</f>
        <v/>
      </c>
      <c r="O206" s="8">
        <f>M206-N206-L206</f>
        <v/>
      </c>
      <c r="P206" s="10">
        <f>IFERROR(O206/M206,0)</f>
        <v/>
      </c>
      <c r="Q206" s="3">
        <f>IF(H206&lt;=0,"Review: quantity &lt;= 0",IF(K206&gt;0.3,"Review: discount &gt; 30%",IF(G206="","Review: missing customer type","OK")))</f>
        <v/>
      </c>
    </row>
    <row r="207">
      <c r="A207" s="3" t="inlineStr">
        <is>
          <t>ORD-10206</t>
        </is>
      </c>
      <c r="B207" s="7" t="n">
        <v>46011</v>
      </c>
      <c r="C207" s="3" t="inlineStr">
        <is>
          <t>Home &amp; Lifestyle</t>
        </is>
      </c>
      <c r="D207" s="3" t="inlineStr">
        <is>
          <t>Wallets</t>
        </is>
      </c>
      <c r="E207" s="3" t="inlineStr">
        <is>
          <t>Greater Accra</t>
        </is>
      </c>
      <c r="F207" s="3" t="inlineStr">
        <is>
          <t>Retail Shop</t>
        </is>
      </c>
      <c r="G207" s="3" t="inlineStr">
        <is>
          <t>Returning</t>
        </is>
      </c>
      <c r="H207" s="3" t="n">
        <v>4</v>
      </c>
      <c r="I207" s="8" t="n">
        <v>130</v>
      </c>
      <c r="J207" s="8" t="n">
        <v>79.34</v>
      </c>
      <c r="K207" s="9" t="n">
        <v>0</v>
      </c>
      <c r="L207" s="8" t="n">
        <v>9.67</v>
      </c>
      <c r="M207" s="8">
        <f>H207*I207*(1-K207)</f>
        <v/>
      </c>
      <c r="N207" s="8">
        <f>H207*J207</f>
        <v/>
      </c>
      <c r="O207" s="8">
        <f>M207-N207-L207</f>
        <v/>
      </c>
      <c r="P207" s="10">
        <f>IFERROR(O207/M207,0)</f>
        <v/>
      </c>
      <c r="Q207" s="3">
        <f>IF(H207&lt;=0,"Review: quantity &lt;= 0",IF(K207&gt;0.3,"Review: discount &gt; 30%",IF(G207="","Review: missing customer type","OK")))</f>
        <v/>
      </c>
    </row>
    <row r="208">
      <c r="A208" s="3" t="inlineStr">
        <is>
          <t>ORD-10207</t>
        </is>
      </c>
      <c r="B208" s="7" t="n">
        <v>45982</v>
      </c>
      <c r="C208" s="3" t="inlineStr">
        <is>
          <t>Clothing</t>
        </is>
      </c>
      <c r="D208" s="3" t="inlineStr">
        <is>
          <t>Dresses</t>
        </is>
      </c>
      <c r="E208" s="3" t="inlineStr">
        <is>
          <t>Greater Accra</t>
        </is>
      </c>
      <c r="F208" s="3" t="inlineStr">
        <is>
          <t>Online</t>
        </is>
      </c>
      <c r="G208" s="3" t="inlineStr">
        <is>
          <t>Returning</t>
        </is>
      </c>
      <c r="H208" s="3" t="n">
        <v>5</v>
      </c>
      <c r="I208" s="8" t="n">
        <v>125</v>
      </c>
      <c r="J208" s="8" t="n">
        <v>72</v>
      </c>
      <c r="K208" s="9" t="n">
        <v>0</v>
      </c>
      <c r="L208" s="8" t="n">
        <v>25.87</v>
      </c>
      <c r="M208" s="8">
        <f>H208*I208*(1-K208)</f>
        <v/>
      </c>
      <c r="N208" s="8">
        <f>H208*J208</f>
        <v/>
      </c>
      <c r="O208" s="8">
        <f>M208-N208-L208</f>
        <v/>
      </c>
      <c r="P208" s="10">
        <f>IFERROR(O208/M208,0)</f>
        <v/>
      </c>
      <c r="Q208" s="3">
        <f>IF(H208&lt;=0,"Review: quantity &lt;= 0",IF(K208&gt;0.3,"Review: discount &gt; 30%",IF(G208="","Review: missing customer type","OK")))</f>
        <v/>
      </c>
    </row>
    <row r="209">
      <c r="A209" s="3" t="inlineStr">
        <is>
          <t>ORD-10208</t>
        </is>
      </c>
      <c r="B209" s="7" t="n">
        <v>45751</v>
      </c>
      <c r="C209" s="3" t="inlineStr">
        <is>
          <t>Home &amp; Lifestyle</t>
        </is>
      </c>
      <c r="D209" s="3" t="inlineStr">
        <is>
          <t>Travel Mugs</t>
        </is>
      </c>
      <c r="E209" s="3" t="inlineStr">
        <is>
          <t>Western</t>
        </is>
      </c>
      <c r="F209" s="3" t="inlineStr">
        <is>
          <t>Retail Shop</t>
        </is>
      </c>
      <c r="G209" s="3" t="inlineStr">
        <is>
          <t>Returning</t>
        </is>
      </c>
      <c r="H209" s="3" t="n">
        <v>4</v>
      </c>
      <c r="I209" s="8" t="n">
        <v>135</v>
      </c>
      <c r="J209" s="8" t="n">
        <v>66.94</v>
      </c>
      <c r="K209" s="9" t="n">
        <v>0</v>
      </c>
      <c r="L209" s="8" t="n">
        <v>0.19</v>
      </c>
      <c r="M209" s="8">
        <f>H209*I209*(1-K209)</f>
        <v/>
      </c>
      <c r="N209" s="8">
        <f>H209*J209</f>
        <v/>
      </c>
      <c r="O209" s="8">
        <f>M209-N209-L209</f>
        <v/>
      </c>
      <c r="P209" s="10">
        <f>IFERROR(O209/M209,0)</f>
        <v/>
      </c>
      <c r="Q209" s="3">
        <f>IF(H209&lt;=0,"Review: quantity &lt;= 0",IF(K209&gt;0.3,"Review: discount &gt; 30%",IF(G209="","Review: missing customer type","OK")))</f>
        <v/>
      </c>
    </row>
    <row r="210">
      <c r="A210" s="3" t="inlineStr">
        <is>
          <t>ORD-10209</t>
        </is>
      </c>
      <c r="B210" s="7" t="n">
        <v>45832</v>
      </c>
      <c r="C210" s="3" t="inlineStr">
        <is>
          <t>Home &amp; Lifestyle</t>
        </is>
      </c>
      <c r="D210" s="3" t="inlineStr">
        <is>
          <t>Travel Mugs</t>
        </is>
      </c>
      <c r="E210" s="3" t="inlineStr">
        <is>
          <t>Greater Accra</t>
        </is>
      </c>
      <c r="F210" s="3" t="inlineStr">
        <is>
          <t>Retail Shop</t>
        </is>
      </c>
      <c r="G210" s="3" t="inlineStr">
        <is>
          <t>Returning</t>
        </is>
      </c>
      <c r="H210" s="3" t="n">
        <v>1</v>
      </c>
      <c r="I210" s="8" t="n">
        <v>130</v>
      </c>
      <c r="J210" s="8" t="n">
        <v>72.95</v>
      </c>
      <c r="K210" s="9" t="n">
        <v>0.05</v>
      </c>
      <c r="L210" s="8" t="n">
        <v>10.37</v>
      </c>
      <c r="M210" s="8">
        <f>H210*I210*(1-K210)</f>
        <v/>
      </c>
      <c r="N210" s="8">
        <f>H210*J210</f>
        <v/>
      </c>
      <c r="O210" s="8">
        <f>M210-N210-L210</f>
        <v/>
      </c>
      <c r="P210" s="10">
        <f>IFERROR(O210/M210,0)</f>
        <v/>
      </c>
      <c r="Q210" s="3">
        <f>IF(H210&lt;=0,"Review: quantity &lt;= 0",IF(K210&gt;0.3,"Review: discount &gt; 30%",IF(G210="","Review: missing customer type","OK")))</f>
        <v/>
      </c>
    </row>
    <row r="211">
      <c r="A211" s="3" t="inlineStr">
        <is>
          <t>ORD-10210</t>
        </is>
      </c>
      <c r="B211" s="7" t="n">
        <v>45826</v>
      </c>
      <c r="C211" s="3" t="inlineStr">
        <is>
          <t>Clothing</t>
        </is>
      </c>
      <c r="D211" s="3" t="inlineStr">
        <is>
          <t>Jackets</t>
        </is>
      </c>
      <c r="E211" s="3" t="inlineStr">
        <is>
          <t>Ashanti</t>
        </is>
      </c>
      <c r="F211" s="3" t="inlineStr">
        <is>
          <t>Online</t>
        </is>
      </c>
      <c r="G211" s="3" t="inlineStr">
        <is>
          <t>Returning</t>
        </is>
      </c>
      <c r="H211" s="3" t="n">
        <v>6</v>
      </c>
      <c r="I211" s="8" t="n">
        <v>170</v>
      </c>
      <c r="J211" s="8" t="n">
        <v>82.90000000000001</v>
      </c>
      <c r="K211" s="9" t="n">
        <v>0</v>
      </c>
      <c r="L211" s="8" t="n">
        <v>34.01</v>
      </c>
      <c r="M211" s="8">
        <f>H211*I211*(1-K211)</f>
        <v/>
      </c>
      <c r="N211" s="8">
        <f>H211*J211</f>
        <v/>
      </c>
      <c r="O211" s="8">
        <f>M211-N211-L211</f>
        <v/>
      </c>
      <c r="P211" s="10">
        <f>IFERROR(O211/M211,0)</f>
        <v/>
      </c>
      <c r="Q211" s="3">
        <f>IF(H211&lt;=0,"Review: quantity &lt;= 0",IF(K211&gt;0.3,"Review: discount &gt; 30%",IF(G211="","Review: missing customer type","OK")))</f>
        <v/>
      </c>
    </row>
    <row r="212">
      <c r="A212" s="3" t="inlineStr">
        <is>
          <t>ORD-10211</t>
        </is>
      </c>
      <c r="B212" s="7" t="n">
        <v>45727</v>
      </c>
      <c r="C212" s="3" t="inlineStr">
        <is>
          <t>Clothing</t>
        </is>
      </c>
      <c r="D212" s="3" t="inlineStr">
        <is>
          <t>Dresses</t>
        </is>
      </c>
      <c r="E212" s="3" t="inlineStr">
        <is>
          <t>Greater Accra</t>
        </is>
      </c>
      <c r="F212" s="3" t="inlineStr">
        <is>
          <t>Online</t>
        </is>
      </c>
      <c r="G212" s="3" t="inlineStr">
        <is>
          <t>New</t>
        </is>
      </c>
      <c r="H212" s="3" t="n">
        <v>8</v>
      </c>
      <c r="I212" s="8" t="n">
        <v>175</v>
      </c>
      <c r="J212" s="8" t="n">
        <v>83.33</v>
      </c>
      <c r="K212" s="9" t="n">
        <v>0.05</v>
      </c>
      <c r="L212" s="8" t="n">
        <v>20.44</v>
      </c>
      <c r="M212" s="8">
        <f>H212*I212*(1-K212)</f>
        <v/>
      </c>
      <c r="N212" s="8">
        <f>H212*J212</f>
        <v/>
      </c>
      <c r="O212" s="8">
        <f>M212-N212-L212</f>
        <v/>
      </c>
      <c r="P212" s="10">
        <f>IFERROR(O212/M212,0)</f>
        <v/>
      </c>
      <c r="Q212" s="3">
        <f>IF(H212&lt;=0,"Review: quantity &lt;= 0",IF(K212&gt;0.3,"Review: discount &gt; 30%",IF(G212="","Review: missing customer type","OK")))</f>
        <v/>
      </c>
    </row>
    <row r="213">
      <c r="A213" s="3" t="inlineStr">
        <is>
          <t>ORD-10212</t>
        </is>
      </c>
      <c r="B213" s="7" t="n">
        <v>45941</v>
      </c>
      <c r="C213" s="3" t="inlineStr">
        <is>
          <t>Clothing</t>
        </is>
      </c>
      <c r="D213" s="3" t="inlineStr">
        <is>
          <t>Dresses</t>
        </is>
      </c>
      <c r="E213" s="3" t="inlineStr">
        <is>
          <t>Ashanti</t>
        </is>
      </c>
      <c r="F213" s="3" t="inlineStr">
        <is>
          <t>Online</t>
        </is>
      </c>
      <c r="G213" s="3" t="inlineStr">
        <is>
          <t>Returning</t>
        </is>
      </c>
      <c r="H213" s="3" t="n">
        <v>4</v>
      </c>
      <c r="I213" s="8" t="n">
        <v>185</v>
      </c>
      <c r="J213" s="8" t="n">
        <v>99.43000000000001</v>
      </c>
      <c r="K213" s="9" t="n">
        <v>0.05</v>
      </c>
      <c r="L213" s="8" t="n">
        <v>23.78</v>
      </c>
      <c r="M213" s="8">
        <f>H213*I213*(1-K213)</f>
        <v/>
      </c>
      <c r="N213" s="8">
        <f>H213*J213</f>
        <v/>
      </c>
      <c r="O213" s="8">
        <f>M213-N213-L213</f>
        <v/>
      </c>
      <c r="P213" s="10">
        <f>IFERROR(O213/M213,0)</f>
        <v/>
      </c>
      <c r="Q213" s="3">
        <f>IF(H213&lt;=0,"Review: quantity &lt;= 0",IF(K213&gt;0.3,"Review: discount &gt; 30%",IF(G213="","Review: missing customer type","OK")))</f>
        <v/>
      </c>
    </row>
    <row r="214">
      <c r="A214" s="3" t="inlineStr">
        <is>
          <t>ORD-10213</t>
        </is>
      </c>
      <c r="B214" s="7" t="n">
        <v>45856</v>
      </c>
      <c r="C214" s="3" t="inlineStr">
        <is>
          <t>Footwear</t>
        </is>
      </c>
      <c r="D214" s="3" t="inlineStr">
        <is>
          <t>Boots</t>
        </is>
      </c>
      <c r="E214" s="3" t="inlineStr">
        <is>
          <t>Greater Accra</t>
        </is>
      </c>
      <c r="F214" s="3" t="inlineStr">
        <is>
          <t>Online</t>
        </is>
      </c>
      <c r="G214" s="3" t="inlineStr">
        <is>
          <t>Returning</t>
        </is>
      </c>
      <c r="H214" s="3" t="n">
        <v>3</v>
      </c>
      <c r="I214" s="8" t="n">
        <v>340</v>
      </c>
      <c r="J214" s="8" t="n">
        <v>213.84</v>
      </c>
      <c r="K214" s="9" t="n">
        <v>0</v>
      </c>
      <c r="L214" s="8" t="n">
        <v>38.58</v>
      </c>
      <c r="M214" s="8">
        <f>H214*I214*(1-K214)</f>
        <v/>
      </c>
      <c r="N214" s="8">
        <f>H214*J214</f>
        <v/>
      </c>
      <c r="O214" s="8">
        <f>M214-N214-L214</f>
        <v/>
      </c>
      <c r="P214" s="10">
        <f>IFERROR(O214/M214,0)</f>
        <v/>
      </c>
      <c r="Q214" s="3">
        <f>IF(H214&lt;=0,"Review: quantity &lt;= 0",IF(K214&gt;0.3,"Review: discount &gt; 30%",IF(G214="","Review: missing customer type","OK")))</f>
        <v/>
      </c>
    </row>
    <row r="215">
      <c r="A215" s="3" t="inlineStr">
        <is>
          <t>ORD-10214</t>
        </is>
      </c>
      <c r="B215" s="7" t="n">
        <v>45923</v>
      </c>
      <c r="C215" s="3" t="inlineStr">
        <is>
          <t>Home &amp; Lifestyle</t>
        </is>
      </c>
      <c r="D215" s="3" t="inlineStr">
        <is>
          <t>Small Home Goods</t>
        </is>
      </c>
      <c r="E215" s="3" t="inlineStr">
        <is>
          <t>Greater Accra</t>
        </is>
      </c>
      <c r="F215" s="3" t="inlineStr">
        <is>
          <t>Retail Shop</t>
        </is>
      </c>
      <c r="G215" s="3" t="inlineStr">
        <is>
          <t>Returning</t>
        </is>
      </c>
      <c r="H215" s="3" t="n">
        <v>5</v>
      </c>
      <c r="I215" s="8" t="n">
        <v>125</v>
      </c>
      <c r="J215" s="8" t="n">
        <v>62.09</v>
      </c>
      <c r="K215" s="9" t="n">
        <v>0</v>
      </c>
      <c r="L215" s="8" t="n">
        <v>3.82</v>
      </c>
      <c r="M215" s="8">
        <f>H215*I215*(1-K215)</f>
        <v/>
      </c>
      <c r="N215" s="8">
        <f>H215*J215</f>
        <v/>
      </c>
      <c r="O215" s="8">
        <f>M215-N215-L215</f>
        <v/>
      </c>
      <c r="P215" s="10">
        <f>IFERROR(O215/M215,0)</f>
        <v/>
      </c>
      <c r="Q215" s="3">
        <f>IF(H215&lt;=0,"Review: quantity &lt;= 0",IF(K215&gt;0.3,"Review: discount &gt; 30%",IF(G215="","Review: missing customer type","OK")))</f>
        <v/>
      </c>
    </row>
    <row r="216">
      <c r="A216" s="3" t="inlineStr">
        <is>
          <t>ORD-10215</t>
        </is>
      </c>
      <c r="B216" s="7" t="n">
        <v>45713</v>
      </c>
      <c r="C216" s="3" t="inlineStr">
        <is>
          <t>Clothing</t>
        </is>
      </c>
      <c r="D216" s="3" t="inlineStr">
        <is>
          <t>Trousers</t>
        </is>
      </c>
      <c r="E216" s="3" t="inlineStr">
        <is>
          <t>Central</t>
        </is>
      </c>
      <c r="F216" s="3" t="inlineStr">
        <is>
          <t>Phone/WhatsApp</t>
        </is>
      </c>
      <c r="G216" s="3" t="inlineStr">
        <is>
          <t>Returning</t>
        </is>
      </c>
      <c r="H216" s="3" t="n">
        <v>1</v>
      </c>
      <c r="I216" s="8" t="n">
        <v>105</v>
      </c>
      <c r="J216" s="8" t="n">
        <v>49.26</v>
      </c>
      <c r="K216" s="9" t="n">
        <v>0.05</v>
      </c>
      <c r="L216" s="8" t="n">
        <v>10.93</v>
      </c>
      <c r="M216" s="8">
        <f>H216*I216*(1-K216)</f>
        <v/>
      </c>
      <c r="N216" s="8">
        <f>H216*J216</f>
        <v/>
      </c>
      <c r="O216" s="8">
        <f>M216-N216-L216</f>
        <v/>
      </c>
      <c r="P216" s="10">
        <f>IFERROR(O216/M216,0)</f>
        <v/>
      </c>
      <c r="Q216" s="3">
        <f>IF(H216&lt;=0,"Review: quantity &lt;= 0",IF(K216&gt;0.3,"Review: discount &gt; 30%",IF(G216="","Review: missing customer type","OK")))</f>
        <v/>
      </c>
    </row>
    <row r="217">
      <c r="A217" s="3" t="inlineStr">
        <is>
          <t>ORD-10216</t>
        </is>
      </c>
      <c r="B217" s="7" t="n">
        <v>45940</v>
      </c>
      <c r="C217" s="3" t="inlineStr">
        <is>
          <t>Clothing</t>
        </is>
      </c>
      <c r="D217" s="3" t="inlineStr">
        <is>
          <t>Dresses</t>
        </is>
      </c>
      <c r="E217" s="3" t="inlineStr">
        <is>
          <t>Central</t>
        </is>
      </c>
      <c r="F217" s="3" t="inlineStr">
        <is>
          <t>Phone/WhatsApp</t>
        </is>
      </c>
      <c r="G217" s="3" t="inlineStr">
        <is>
          <t>Returning</t>
        </is>
      </c>
      <c r="H217" s="3" t="n">
        <v>2</v>
      </c>
      <c r="I217" s="8" t="n">
        <v>165</v>
      </c>
      <c r="J217" s="8" t="n">
        <v>84.22</v>
      </c>
      <c r="K217" s="9" t="n">
        <v>0.15</v>
      </c>
      <c r="L217" s="8" t="n">
        <v>24.02</v>
      </c>
      <c r="M217" s="8">
        <f>H217*I217*(1-K217)</f>
        <v/>
      </c>
      <c r="N217" s="8">
        <f>H217*J217</f>
        <v/>
      </c>
      <c r="O217" s="8">
        <f>M217-N217-L217</f>
        <v/>
      </c>
      <c r="P217" s="10">
        <f>IFERROR(O217/M217,0)</f>
        <v/>
      </c>
      <c r="Q217" s="3">
        <f>IF(H217&lt;=0,"Review: quantity &lt;= 0",IF(K217&gt;0.3,"Review: discount &gt; 30%",IF(G217="","Review: missing customer type","OK")))</f>
        <v/>
      </c>
    </row>
    <row r="218">
      <c r="A218" s="3" t="inlineStr">
        <is>
          <t>ORD-10217</t>
        </is>
      </c>
      <c r="B218" s="7" t="n">
        <v>45929</v>
      </c>
      <c r="C218" s="3" t="inlineStr">
        <is>
          <t>Clothing</t>
        </is>
      </c>
      <c r="D218" s="3" t="inlineStr">
        <is>
          <t>Jackets</t>
        </is>
      </c>
      <c r="E218" s="3" t="inlineStr">
        <is>
          <t>Northern</t>
        </is>
      </c>
      <c r="F218" s="3" t="inlineStr">
        <is>
          <t>Retail Shop</t>
        </is>
      </c>
      <c r="G218" s="3" t="inlineStr">
        <is>
          <t>Returning</t>
        </is>
      </c>
      <c r="H218" s="3" t="n">
        <v>1</v>
      </c>
      <c r="I218" s="8" t="n">
        <v>155</v>
      </c>
      <c r="J218" s="8" t="n">
        <v>80.81</v>
      </c>
      <c r="K218" s="9" t="n">
        <v>0</v>
      </c>
      <c r="L218" s="8" t="n">
        <v>6.69</v>
      </c>
      <c r="M218" s="8">
        <f>H218*I218*(1-K218)</f>
        <v/>
      </c>
      <c r="N218" s="8">
        <f>H218*J218</f>
        <v/>
      </c>
      <c r="O218" s="8">
        <f>M218-N218-L218</f>
        <v/>
      </c>
      <c r="P218" s="10">
        <f>IFERROR(O218/M218,0)</f>
        <v/>
      </c>
      <c r="Q218" s="3">
        <f>IF(H218&lt;=0,"Review: quantity &lt;= 0",IF(K218&gt;0.3,"Review: discount &gt; 30%",IF(G218="","Review: missing customer type","OK")))</f>
        <v/>
      </c>
    </row>
    <row r="219">
      <c r="A219" s="3" t="inlineStr">
        <is>
          <t>ORD-10218</t>
        </is>
      </c>
      <c r="B219" s="7" t="n">
        <v>45821</v>
      </c>
      <c r="C219" s="3" t="inlineStr">
        <is>
          <t>Accessories</t>
        </is>
      </c>
      <c r="D219" s="3" t="inlineStr">
        <is>
          <t>Bags</t>
        </is>
      </c>
      <c r="E219" s="3" t="inlineStr">
        <is>
          <t>Central</t>
        </is>
      </c>
      <c r="F219" s="3" t="inlineStr">
        <is>
          <t>Retail Shop</t>
        </is>
      </c>
      <c r="G219" s="3" t="inlineStr">
        <is>
          <t>Returning</t>
        </is>
      </c>
      <c r="H219" s="3" t="n">
        <v>1</v>
      </c>
      <c r="I219" s="8" t="n">
        <v>75</v>
      </c>
      <c r="J219" s="8" t="n">
        <v>35.51</v>
      </c>
      <c r="K219" s="9" t="n">
        <v>0</v>
      </c>
      <c r="L219" s="8" t="n">
        <v>10.3</v>
      </c>
      <c r="M219" s="8">
        <f>H219*I219*(1-K219)</f>
        <v/>
      </c>
      <c r="N219" s="8">
        <f>H219*J219</f>
        <v/>
      </c>
      <c r="O219" s="8">
        <f>M219-N219-L219</f>
        <v/>
      </c>
      <c r="P219" s="10">
        <f>IFERROR(O219/M219,0)</f>
        <v/>
      </c>
      <c r="Q219" s="3">
        <f>IF(H219&lt;=0,"Review: quantity &lt;= 0",IF(K219&gt;0.3,"Review: discount &gt; 30%",IF(G219="","Review: missing customer type","OK")))</f>
        <v/>
      </c>
    </row>
    <row r="220">
      <c r="A220" s="3" t="inlineStr">
        <is>
          <t>ORD-10219</t>
        </is>
      </c>
      <c r="B220" s="7" t="n">
        <v>45910</v>
      </c>
      <c r="C220" s="3" t="inlineStr">
        <is>
          <t>Home &amp; Lifestyle</t>
        </is>
      </c>
      <c r="D220" s="3" t="inlineStr">
        <is>
          <t>Travel Mugs</t>
        </is>
      </c>
      <c r="E220" s="3" t="inlineStr">
        <is>
          <t>Western</t>
        </is>
      </c>
      <c r="F220" s="3" t="inlineStr">
        <is>
          <t>Retail Shop</t>
        </is>
      </c>
      <c r="G220" s="3" t="inlineStr">
        <is>
          <t>Returning</t>
        </is>
      </c>
      <c r="H220" s="3" t="n">
        <v>1</v>
      </c>
      <c r="I220" s="8" t="n">
        <v>150</v>
      </c>
      <c r="J220" s="8" t="n">
        <v>81.26000000000001</v>
      </c>
      <c r="K220" s="9" t="n">
        <v>0.1</v>
      </c>
      <c r="L220" s="8" t="n">
        <v>6.03</v>
      </c>
      <c r="M220" s="8">
        <f>H220*I220*(1-K220)</f>
        <v/>
      </c>
      <c r="N220" s="8">
        <f>H220*J220</f>
        <v/>
      </c>
      <c r="O220" s="8">
        <f>M220-N220-L220</f>
        <v/>
      </c>
      <c r="P220" s="10">
        <f>IFERROR(O220/M220,0)</f>
        <v/>
      </c>
      <c r="Q220" s="3">
        <f>IF(H220&lt;=0,"Review: quantity &lt;= 0",IF(K220&gt;0.3,"Review: discount &gt; 30%",IF(G220="","Review: missing customer type","OK")))</f>
        <v/>
      </c>
    </row>
    <row r="221">
      <c r="A221" s="3" t="inlineStr">
        <is>
          <t>ORD-10220</t>
        </is>
      </c>
      <c r="B221" s="7" t="n">
        <v>45777</v>
      </c>
      <c r="C221" s="3" t="inlineStr">
        <is>
          <t>Footwear</t>
        </is>
      </c>
      <c r="D221" s="3" t="inlineStr">
        <is>
          <t>Sneakers</t>
        </is>
      </c>
      <c r="E221" s="3" t="inlineStr">
        <is>
          <t>Greater Accra</t>
        </is>
      </c>
      <c r="F221" s="3" t="inlineStr">
        <is>
          <t>Retail Shop</t>
        </is>
      </c>
      <c r="G221" s="3" t="inlineStr">
        <is>
          <t>Returning</t>
        </is>
      </c>
      <c r="H221" s="3" t="n">
        <v>1</v>
      </c>
      <c r="I221" s="8" t="n">
        <v>210</v>
      </c>
      <c r="J221" s="8" t="n">
        <v>131.3</v>
      </c>
      <c r="K221" s="9" t="n">
        <v>0</v>
      </c>
      <c r="L221" s="8" t="n">
        <v>8.25</v>
      </c>
      <c r="M221" s="8">
        <f>H221*I221*(1-K221)</f>
        <v/>
      </c>
      <c r="N221" s="8">
        <f>H221*J221</f>
        <v/>
      </c>
      <c r="O221" s="8">
        <f>M221-N221-L221</f>
        <v/>
      </c>
      <c r="P221" s="10">
        <f>IFERROR(O221/M221,0)</f>
        <v/>
      </c>
      <c r="Q221" s="3">
        <f>IF(H221&lt;=0,"Review: quantity &lt;= 0",IF(K221&gt;0.3,"Review: discount &gt; 30%",IF(G221="","Review: missing customer type","OK")))</f>
        <v/>
      </c>
    </row>
    <row r="222">
      <c r="A222" s="3" t="inlineStr">
        <is>
          <t>ORD-10221</t>
        </is>
      </c>
      <c r="B222" s="7" t="n">
        <v>45798</v>
      </c>
      <c r="C222" s="3" t="inlineStr">
        <is>
          <t>Home &amp; Lifestyle</t>
        </is>
      </c>
      <c r="D222" s="3" t="inlineStr">
        <is>
          <t>Small Home Goods</t>
        </is>
      </c>
      <c r="E222" s="3" t="inlineStr">
        <is>
          <t>Ashanti</t>
        </is>
      </c>
      <c r="F222" s="3" t="inlineStr">
        <is>
          <t>Phone/WhatsApp</t>
        </is>
      </c>
      <c r="G222" s="3" t="inlineStr">
        <is>
          <t>New</t>
        </is>
      </c>
      <c r="H222" s="3" t="n">
        <v>4</v>
      </c>
      <c r="I222" s="8" t="n">
        <v>100</v>
      </c>
      <c r="J222" s="8" t="n">
        <v>50.12</v>
      </c>
      <c r="K222" s="9" t="n">
        <v>0</v>
      </c>
      <c r="L222" s="8" t="n">
        <v>15.12</v>
      </c>
      <c r="M222" s="8">
        <f>H222*I222*(1-K222)</f>
        <v/>
      </c>
      <c r="N222" s="8">
        <f>H222*J222</f>
        <v/>
      </c>
      <c r="O222" s="8">
        <f>M222-N222-L222</f>
        <v/>
      </c>
      <c r="P222" s="10">
        <f>IFERROR(O222/M222,0)</f>
        <v/>
      </c>
      <c r="Q222" s="3">
        <f>IF(H222&lt;=0,"Review: quantity &lt;= 0",IF(K222&gt;0.3,"Review: discount &gt; 30%",IF(G222="","Review: missing customer type","OK")))</f>
        <v/>
      </c>
    </row>
    <row r="223">
      <c r="A223" s="3" t="inlineStr">
        <is>
          <t>ORD-10222</t>
        </is>
      </c>
      <c r="B223" s="7" t="n">
        <v>45735</v>
      </c>
      <c r="C223" s="3" t="inlineStr">
        <is>
          <t>Home &amp; Lifestyle</t>
        </is>
      </c>
      <c r="D223" s="3" t="inlineStr">
        <is>
          <t>Small Home Goods</t>
        </is>
      </c>
      <c r="E223" s="3" t="inlineStr">
        <is>
          <t>Ashanti</t>
        </is>
      </c>
      <c r="F223" s="3" t="inlineStr">
        <is>
          <t>Retail Shop</t>
        </is>
      </c>
      <c r="G223" s="3" t="inlineStr">
        <is>
          <t>New</t>
        </is>
      </c>
      <c r="H223" s="3" t="n">
        <v>1</v>
      </c>
      <c r="I223" s="8" t="n">
        <v>135</v>
      </c>
      <c r="J223" s="8" t="n">
        <v>72.02</v>
      </c>
      <c r="K223" s="9" t="n">
        <v>0</v>
      </c>
      <c r="L223" s="8" t="n">
        <v>8.720000000000001</v>
      </c>
      <c r="M223" s="8">
        <f>H223*I223*(1-K223)</f>
        <v/>
      </c>
      <c r="N223" s="8">
        <f>H223*J223</f>
        <v/>
      </c>
      <c r="O223" s="8">
        <f>M223-N223-L223</f>
        <v/>
      </c>
      <c r="P223" s="10">
        <f>IFERROR(O223/M223,0)</f>
        <v/>
      </c>
      <c r="Q223" s="3">
        <f>IF(H223&lt;=0,"Review: quantity &lt;= 0",IF(K223&gt;0.3,"Review: discount &gt; 30%",IF(G223="","Review: missing customer type","OK")))</f>
        <v/>
      </c>
    </row>
    <row r="224">
      <c r="A224" s="3" t="inlineStr">
        <is>
          <t>ORD-10223</t>
        </is>
      </c>
      <c r="B224" s="7" t="n">
        <v>45837</v>
      </c>
      <c r="C224" s="3" t="inlineStr">
        <is>
          <t>Clothing</t>
        </is>
      </c>
      <c r="D224" s="3" t="inlineStr">
        <is>
          <t>Dresses</t>
        </is>
      </c>
      <c r="E224" s="3" t="inlineStr">
        <is>
          <t>Western</t>
        </is>
      </c>
      <c r="F224" s="3" t="inlineStr">
        <is>
          <t>Online</t>
        </is>
      </c>
      <c r="G224" s="3" t="inlineStr">
        <is>
          <t>Returning</t>
        </is>
      </c>
      <c r="H224" s="3" t="n">
        <v>4</v>
      </c>
      <c r="I224" s="8" t="n">
        <v>240</v>
      </c>
      <c r="J224" s="8" t="n">
        <v>114.49</v>
      </c>
      <c r="K224" s="9" t="n">
        <v>0</v>
      </c>
      <c r="L224" s="8" t="n">
        <v>11.83</v>
      </c>
      <c r="M224" s="8">
        <f>H224*I224*(1-K224)</f>
        <v/>
      </c>
      <c r="N224" s="8">
        <f>H224*J224</f>
        <v/>
      </c>
      <c r="O224" s="8">
        <f>M224-N224-L224</f>
        <v/>
      </c>
      <c r="P224" s="10">
        <f>IFERROR(O224/M224,0)</f>
        <v/>
      </c>
      <c r="Q224" s="3">
        <f>IF(H224&lt;=0,"Review: quantity &lt;= 0",IF(K224&gt;0.3,"Review: discount &gt; 30%",IF(G224="","Review: missing customer type","OK")))</f>
        <v/>
      </c>
    </row>
    <row r="225">
      <c r="A225" s="3" t="inlineStr">
        <is>
          <t>ORD-10224</t>
        </is>
      </c>
      <c r="B225" s="7" t="n">
        <v>45964</v>
      </c>
      <c r="C225" s="3" t="inlineStr">
        <is>
          <t>Clothing</t>
        </is>
      </c>
      <c r="D225" s="3" t="inlineStr">
        <is>
          <t>Shirts</t>
        </is>
      </c>
      <c r="E225" s="3" t="inlineStr">
        <is>
          <t>Western</t>
        </is>
      </c>
      <c r="F225" s="3" t="inlineStr">
        <is>
          <t>Retail Shop</t>
        </is>
      </c>
      <c r="G225" s="3" t="inlineStr">
        <is>
          <t>New</t>
        </is>
      </c>
      <c r="H225" s="3" t="n">
        <v>1</v>
      </c>
      <c r="I225" s="8" t="n">
        <v>130</v>
      </c>
      <c r="J225" s="8" t="n">
        <v>69.43000000000001</v>
      </c>
      <c r="K225" s="9" t="n">
        <v>0</v>
      </c>
      <c r="L225" s="8" t="n">
        <v>6.06</v>
      </c>
      <c r="M225" s="8">
        <f>H225*I225*(1-K225)</f>
        <v/>
      </c>
      <c r="N225" s="8">
        <f>H225*J225</f>
        <v/>
      </c>
      <c r="O225" s="8">
        <f>M225-N225-L225</f>
        <v/>
      </c>
      <c r="P225" s="10">
        <f>IFERROR(O225/M225,0)</f>
        <v/>
      </c>
      <c r="Q225" s="3">
        <f>IF(H225&lt;=0,"Review: quantity &lt;= 0",IF(K225&gt;0.3,"Review: discount &gt; 30%",IF(G225="","Review: missing customer type","OK")))</f>
        <v/>
      </c>
    </row>
    <row r="226">
      <c r="A226" s="3" t="inlineStr">
        <is>
          <t>ORD-10225</t>
        </is>
      </c>
      <c r="B226" s="7" t="n">
        <v>45666</v>
      </c>
      <c r="C226" s="3" t="inlineStr">
        <is>
          <t>Accessories</t>
        </is>
      </c>
      <c r="D226" s="3" t="inlineStr">
        <is>
          <t>Sunglasses</t>
        </is>
      </c>
      <c r="E226" s="3" t="inlineStr">
        <is>
          <t>Greater Accra</t>
        </is>
      </c>
      <c r="F226" s="3" t="inlineStr">
        <is>
          <t>Phone/WhatsApp</t>
        </is>
      </c>
      <c r="G226" s="3" t="inlineStr">
        <is>
          <t>Returning</t>
        </is>
      </c>
      <c r="H226" s="3" t="n">
        <v>8</v>
      </c>
      <c r="I226" s="8" t="n">
        <v>75</v>
      </c>
      <c r="J226" s="8" t="n">
        <v>36.68</v>
      </c>
      <c r="K226" s="9" t="n">
        <v>0</v>
      </c>
      <c r="L226" s="8" t="n">
        <v>24.51</v>
      </c>
      <c r="M226" s="8">
        <f>H226*I226*(1-K226)</f>
        <v/>
      </c>
      <c r="N226" s="8">
        <f>H226*J226</f>
        <v/>
      </c>
      <c r="O226" s="8">
        <f>M226-N226-L226</f>
        <v/>
      </c>
      <c r="P226" s="10">
        <f>IFERROR(O226/M226,0)</f>
        <v/>
      </c>
      <c r="Q226" s="3">
        <f>IF(H226&lt;=0,"Review: quantity &lt;= 0",IF(K226&gt;0.3,"Review: discount &gt; 30%",IF(G226="","Review: missing customer type","OK")))</f>
        <v/>
      </c>
    </row>
    <row r="227">
      <c r="A227" s="3" t="inlineStr">
        <is>
          <t>ORD-10226</t>
        </is>
      </c>
      <c r="B227" s="7" t="n">
        <v>45701</v>
      </c>
      <c r="C227" s="3" t="inlineStr">
        <is>
          <t>Clothing</t>
        </is>
      </c>
      <c r="D227" s="3" t="inlineStr">
        <is>
          <t>Dresses</t>
        </is>
      </c>
      <c r="E227" s="3" t="inlineStr">
        <is>
          <t>Ashanti</t>
        </is>
      </c>
      <c r="F227" s="3" t="inlineStr">
        <is>
          <t>Retail Shop</t>
        </is>
      </c>
      <c r="G227" s="3" t="inlineStr">
        <is>
          <t>Returning</t>
        </is>
      </c>
      <c r="H227" s="3" t="n">
        <v>2</v>
      </c>
      <c r="I227" s="8" t="n">
        <v>205</v>
      </c>
      <c r="J227" s="8" t="n">
        <v>108.51</v>
      </c>
      <c r="K227" s="9" t="n">
        <v>0</v>
      </c>
      <c r="L227" s="8" t="n">
        <v>8.140000000000001</v>
      </c>
      <c r="M227" s="8">
        <f>H227*I227*(1-K227)</f>
        <v/>
      </c>
      <c r="N227" s="8">
        <f>H227*J227</f>
        <v/>
      </c>
      <c r="O227" s="8">
        <f>M227-N227-L227</f>
        <v/>
      </c>
      <c r="P227" s="10">
        <f>IFERROR(O227/M227,0)</f>
        <v/>
      </c>
      <c r="Q227" s="3">
        <f>IF(H227&lt;=0,"Review: quantity &lt;= 0",IF(K227&gt;0.3,"Review: discount &gt; 30%",IF(G227="","Review: missing customer type","OK")))</f>
        <v/>
      </c>
    </row>
    <row r="228">
      <c r="A228" s="3" t="inlineStr">
        <is>
          <t>ORD-10227</t>
        </is>
      </c>
      <c r="B228" s="7" t="n">
        <v>45806</v>
      </c>
      <c r="C228" s="3" t="inlineStr">
        <is>
          <t>Clothing</t>
        </is>
      </c>
      <c r="D228" s="3" t="inlineStr">
        <is>
          <t>Jackets</t>
        </is>
      </c>
      <c r="E228" s="3" t="inlineStr">
        <is>
          <t>Ashanti</t>
        </is>
      </c>
      <c r="F228" s="3" t="inlineStr">
        <is>
          <t>Phone/WhatsApp</t>
        </is>
      </c>
      <c r="G228" s="3" t="inlineStr">
        <is>
          <t>Returning</t>
        </is>
      </c>
      <c r="H228" s="3" t="n">
        <v>1</v>
      </c>
      <c r="I228" s="8" t="n">
        <v>290</v>
      </c>
      <c r="J228" s="8" t="n">
        <v>145.79</v>
      </c>
      <c r="K228" s="9" t="n">
        <v>0.15</v>
      </c>
      <c r="L228" s="8" t="n">
        <v>9.109999999999999</v>
      </c>
      <c r="M228" s="8">
        <f>H228*I228*(1-K228)</f>
        <v/>
      </c>
      <c r="N228" s="8">
        <f>H228*J228</f>
        <v/>
      </c>
      <c r="O228" s="8">
        <f>M228-N228-L228</f>
        <v/>
      </c>
      <c r="P228" s="10">
        <f>IFERROR(O228/M228,0)</f>
        <v/>
      </c>
      <c r="Q228" s="3">
        <f>IF(H228&lt;=0,"Review: quantity &lt;= 0",IF(K228&gt;0.3,"Review: discount &gt; 30%",IF(G228="","Review: missing customer type","OK")))</f>
        <v/>
      </c>
    </row>
    <row r="229">
      <c r="A229" s="3" t="inlineStr">
        <is>
          <t>ORD-10228</t>
        </is>
      </c>
      <c r="B229" s="7" t="n">
        <v>45668</v>
      </c>
      <c r="C229" s="3" t="inlineStr">
        <is>
          <t>Clothing</t>
        </is>
      </c>
      <c r="D229" s="3" t="inlineStr">
        <is>
          <t>Trousers</t>
        </is>
      </c>
      <c r="E229" s="3" t="inlineStr">
        <is>
          <t>Greater Accra</t>
        </is>
      </c>
      <c r="F229" s="3" t="inlineStr">
        <is>
          <t>Phone/WhatsApp</t>
        </is>
      </c>
      <c r="G229" s="3" t="inlineStr">
        <is>
          <t>New</t>
        </is>
      </c>
      <c r="H229" s="3" t="n">
        <v>5</v>
      </c>
      <c r="I229" s="8" t="n">
        <v>185</v>
      </c>
      <c r="J229" s="8" t="n">
        <v>107.69</v>
      </c>
      <c r="K229" s="9" t="n">
        <v>0</v>
      </c>
      <c r="L229" s="8" t="n">
        <v>28.34</v>
      </c>
      <c r="M229" s="8">
        <f>H229*I229*(1-K229)</f>
        <v/>
      </c>
      <c r="N229" s="8">
        <f>H229*J229</f>
        <v/>
      </c>
      <c r="O229" s="8">
        <f>M229-N229-L229</f>
        <v/>
      </c>
      <c r="P229" s="10">
        <f>IFERROR(O229/M229,0)</f>
        <v/>
      </c>
      <c r="Q229" s="3">
        <f>IF(H229&lt;=0,"Review: quantity &lt;= 0",IF(K229&gt;0.3,"Review: discount &gt; 30%",IF(G229="","Review: missing customer type","OK")))</f>
        <v/>
      </c>
    </row>
    <row r="230">
      <c r="A230" s="3" t="inlineStr">
        <is>
          <t>ORD-10229</t>
        </is>
      </c>
      <c r="B230" s="7" t="n">
        <v>45684</v>
      </c>
      <c r="C230" s="3" t="inlineStr">
        <is>
          <t>Clothing</t>
        </is>
      </c>
      <c r="D230" s="3" t="inlineStr">
        <is>
          <t>Dresses</t>
        </is>
      </c>
      <c r="E230" s="3" t="inlineStr">
        <is>
          <t>Ashanti</t>
        </is>
      </c>
      <c r="F230" s="3" t="inlineStr">
        <is>
          <t>Phone/WhatsApp</t>
        </is>
      </c>
      <c r="G230" s="3" t="inlineStr">
        <is>
          <t>Returning</t>
        </is>
      </c>
      <c r="H230" s="3" t="n">
        <v>5</v>
      </c>
      <c r="I230" s="8" t="n">
        <v>150</v>
      </c>
      <c r="J230" s="8" t="n">
        <v>84.40000000000001</v>
      </c>
      <c r="K230" s="9" t="n">
        <v>0.05</v>
      </c>
      <c r="L230" s="8" t="n">
        <v>36.4</v>
      </c>
      <c r="M230" s="8">
        <f>H230*I230*(1-K230)</f>
        <v/>
      </c>
      <c r="N230" s="8">
        <f>H230*J230</f>
        <v/>
      </c>
      <c r="O230" s="8">
        <f>M230-N230-L230</f>
        <v/>
      </c>
      <c r="P230" s="10">
        <f>IFERROR(O230/M230,0)</f>
        <v/>
      </c>
      <c r="Q230" s="3">
        <f>IF(H230&lt;=0,"Review: quantity &lt;= 0",IF(K230&gt;0.3,"Review: discount &gt; 30%",IF(G230="","Review: missing customer type","OK")))</f>
        <v/>
      </c>
    </row>
    <row r="231">
      <c r="A231" s="3" t="inlineStr">
        <is>
          <t>ORD-10230</t>
        </is>
      </c>
      <c r="B231" s="7" t="n">
        <v>45824</v>
      </c>
      <c r="C231" s="3" t="inlineStr">
        <is>
          <t>Footwear</t>
        </is>
      </c>
      <c r="D231" s="3" t="inlineStr">
        <is>
          <t>Sneakers</t>
        </is>
      </c>
      <c r="E231" s="3" t="inlineStr">
        <is>
          <t>Northern</t>
        </is>
      </c>
      <c r="F231" s="3" t="inlineStr">
        <is>
          <t>Retail Shop</t>
        </is>
      </c>
      <c r="G231" s="3" t="inlineStr">
        <is>
          <t>New</t>
        </is>
      </c>
      <c r="H231" s="3" t="n">
        <v>1</v>
      </c>
      <c r="I231" s="8" t="n">
        <v>360</v>
      </c>
      <c r="J231" s="8" t="n">
        <v>221.41</v>
      </c>
      <c r="K231" s="9" t="n">
        <v>0.1</v>
      </c>
      <c r="L231" s="8" t="n">
        <v>4.41</v>
      </c>
      <c r="M231" s="8">
        <f>H231*I231*(1-K231)</f>
        <v/>
      </c>
      <c r="N231" s="8">
        <f>H231*J231</f>
        <v/>
      </c>
      <c r="O231" s="8">
        <f>M231-N231-L231</f>
        <v/>
      </c>
      <c r="P231" s="10">
        <f>IFERROR(O231/M231,0)</f>
        <v/>
      </c>
      <c r="Q231" s="3">
        <f>IF(H231&lt;=0,"Review: quantity &lt;= 0",IF(K231&gt;0.3,"Review: discount &gt; 30%",IF(G231="","Review: missing customer type","OK")))</f>
        <v/>
      </c>
    </row>
    <row r="232">
      <c r="A232" s="3" t="inlineStr">
        <is>
          <t>ORD-10231</t>
        </is>
      </c>
      <c r="B232" s="7" t="n">
        <v>45877</v>
      </c>
      <c r="C232" s="3" t="inlineStr">
        <is>
          <t>Clothing</t>
        </is>
      </c>
      <c r="D232" s="3" t="inlineStr">
        <is>
          <t>Shirts</t>
        </is>
      </c>
      <c r="E232" s="3" t="inlineStr">
        <is>
          <t>Greater Accra</t>
        </is>
      </c>
      <c r="F232" s="3" t="inlineStr">
        <is>
          <t>Online</t>
        </is>
      </c>
      <c r="G232" s="3" t="inlineStr">
        <is>
          <t>Returning</t>
        </is>
      </c>
      <c r="H232" s="3" t="n">
        <v>6</v>
      </c>
      <c r="I232" s="8" t="n">
        <v>125</v>
      </c>
      <c r="J232" s="8" t="n">
        <v>61.51</v>
      </c>
      <c r="K232" s="9" t="n">
        <v>0.15</v>
      </c>
      <c r="L232" s="8" t="n">
        <v>27.42</v>
      </c>
      <c r="M232" s="8">
        <f>H232*I232*(1-K232)</f>
        <v/>
      </c>
      <c r="N232" s="8">
        <f>H232*J232</f>
        <v/>
      </c>
      <c r="O232" s="8">
        <f>M232-N232-L232</f>
        <v/>
      </c>
      <c r="P232" s="10">
        <f>IFERROR(O232/M232,0)</f>
        <v/>
      </c>
      <c r="Q232" s="3">
        <f>IF(H232&lt;=0,"Review: quantity &lt;= 0",IF(K232&gt;0.3,"Review: discount &gt; 30%",IF(G232="","Review: missing customer type","OK")))</f>
        <v/>
      </c>
    </row>
    <row r="233">
      <c r="A233" s="3" t="inlineStr">
        <is>
          <t>ORD-10232</t>
        </is>
      </c>
      <c r="B233" s="7" t="n">
        <v>45995</v>
      </c>
      <c r="C233" s="3" t="inlineStr">
        <is>
          <t>Accessories</t>
        </is>
      </c>
      <c r="D233" s="3" t="inlineStr">
        <is>
          <t>Sunglasses</t>
        </is>
      </c>
      <c r="E233" s="3" t="inlineStr">
        <is>
          <t>Ashanti</t>
        </is>
      </c>
      <c r="F233" s="3" t="inlineStr">
        <is>
          <t>Retail Shop</t>
        </is>
      </c>
      <c r="G233" s="3" t="inlineStr">
        <is>
          <t>Returning</t>
        </is>
      </c>
      <c r="H233" s="3" t="n">
        <v>4</v>
      </c>
      <c r="I233" s="8" t="n">
        <v>130</v>
      </c>
      <c r="J233" s="8" t="n">
        <v>65.8</v>
      </c>
      <c r="K233" s="9" t="n">
        <v>0.05</v>
      </c>
      <c r="L233" s="8" t="n">
        <v>8.6</v>
      </c>
      <c r="M233" s="8">
        <f>H233*I233*(1-K233)</f>
        <v/>
      </c>
      <c r="N233" s="8">
        <f>H233*J233</f>
        <v/>
      </c>
      <c r="O233" s="8">
        <f>M233-N233-L233</f>
        <v/>
      </c>
      <c r="P233" s="10">
        <f>IFERROR(O233/M233,0)</f>
        <v/>
      </c>
      <c r="Q233" s="3">
        <f>IF(H233&lt;=0,"Review: quantity &lt;= 0",IF(K233&gt;0.3,"Review: discount &gt; 30%",IF(G233="","Review: missing customer type","OK")))</f>
        <v/>
      </c>
    </row>
    <row r="234">
      <c r="A234" s="3" t="inlineStr">
        <is>
          <t>ORD-10233</t>
        </is>
      </c>
      <c r="B234" s="7" t="n">
        <v>45786</v>
      </c>
      <c r="C234" s="3" t="inlineStr">
        <is>
          <t>Accessories</t>
        </is>
      </c>
      <c r="D234" s="3" t="inlineStr">
        <is>
          <t>Belts</t>
        </is>
      </c>
      <c r="E234" s="3" t="inlineStr">
        <is>
          <t>Central</t>
        </is>
      </c>
      <c r="F234" s="3" t="inlineStr">
        <is>
          <t>Retail Shop</t>
        </is>
      </c>
      <c r="G234" s="3" t="inlineStr">
        <is>
          <t>Returning</t>
        </is>
      </c>
      <c r="H234" s="3" t="n">
        <v>1</v>
      </c>
      <c r="I234" s="8" t="n">
        <v>60</v>
      </c>
      <c r="J234" s="8" t="n">
        <v>25.5</v>
      </c>
      <c r="K234" s="9" t="n">
        <v>0</v>
      </c>
      <c r="L234" s="8" t="n">
        <v>11.21</v>
      </c>
      <c r="M234" s="8">
        <f>H234*I234*(1-K234)</f>
        <v/>
      </c>
      <c r="N234" s="8">
        <f>H234*J234</f>
        <v/>
      </c>
      <c r="O234" s="8">
        <f>M234-N234-L234</f>
        <v/>
      </c>
      <c r="P234" s="10">
        <f>IFERROR(O234/M234,0)</f>
        <v/>
      </c>
      <c r="Q234" s="3">
        <f>IF(H234&lt;=0,"Review: quantity &lt;= 0",IF(K234&gt;0.3,"Review: discount &gt; 30%",IF(G234="","Review: missing customer type","OK")))</f>
        <v/>
      </c>
    </row>
    <row r="235">
      <c r="A235" s="3" t="inlineStr">
        <is>
          <t>ORD-10234</t>
        </is>
      </c>
      <c r="B235" s="7" t="n">
        <v>45658</v>
      </c>
      <c r="C235" s="3" t="inlineStr">
        <is>
          <t>Accessories</t>
        </is>
      </c>
      <c r="D235" s="3" t="inlineStr">
        <is>
          <t>Watches</t>
        </is>
      </c>
      <c r="E235" s="3" t="inlineStr">
        <is>
          <t>Ashanti</t>
        </is>
      </c>
      <c r="F235" s="3" t="inlineStr">
        <is>
          <t>Retail Shop</t>
        </is>
      </c>
      <c r="G235" s="3" t="inlineStr">
        <is>
          <t>Returning</t>
        </is>
      </c>
      <c r="H235" s="3" t="n">
        <v>2</v>
      </c>
      <c r="I235" s="8" t="n">
        <v>100</v>
      </c>
      <c r="J235" s="8" t="n">
        <v>44.93</v>
      </c>
      <c r="K235" s="9" t="n">
        <v>0</v>
      </c>
      <c r="L235" s="8" t="n">
        <v>0.86</v>
      </c>
      <c r="M235" s="8">
        <f>H235*I235*(1-K235)</f>
        <v/>
      </c>
      <c r="N235" s="8">
        <f>H235*J235</f>
        <v/>
      </c>
      <c r="O235" s="8">
        <f>M235-N235-L235</f>
        <v/>
      </c>
      <c r="P235" s="10">
        <f>IFERROR(O235/M235,0)</f>
        <v/>
      </c>
      <c r="Q235" s="3">
        <f>IF(H235&lt;=0,"Review: quantity &lt;= 0",IF(K235&gt;0.3,"Review: discount &gt; 30%",IF(G235="","Review: missing customer type","OK")))</f>
        <v/>
      </c>
    </row>
    <row r="236">
      <c r="A236" s="3" t="inlineStr">
        <is>
          <t>ORD-10235</t>
        </is>
      </c>
      <c r="B236" s="7" t="n">
        <v>45805</v>
      </c>
      <c r="C236" s="3" t="inlineStr">
        <is>
          <t>Footwear</t>
        </is>
      </c>
      <c r="D236" s="3" t="inlineStr">
        <is>
          <t>Formal Shoes</t>
        </is>
      </c>
      <c r="E236" s="3" t="inlineStr">
        <is>
          <t>Northern</t>
        </is>
      </c>
      <c r="F236" s="3" t="inlineStr">
        <is>
          <t>Online</t>
        </is>
      </c>
      <c r="G236" s="3" t="inlineStr">
        <is>
          <t>New</t>
        </is>
      </c>
      <c r="H236" s="3" t="n">
        <v>3</v>
      </c>
      <c r="I236" s="8" t="n">
        <v>235</v>
      </c>
      <c r="J236" s="8" t="n">
        <v>144.22</v>
      </c>
      <c r="K236" s="9" t="n">
        <v>0</v>
      </c>
      <c r="L236" s="8" t="n">
        <v>29.4</v>
      </c>
      <c r="M236" s="8">
        <f>H236*I236*(1-K236)</f>
        <v/>
      </c>
      <c r="N236" s="8">
        <f>H236*J236</f>
        <v/>
      </c>
      <c r="O236" s="8">
        <f>M236-N236-L236</f>
        <v/>
      </c>
      <c r="P236" s="10">
        <f>IFERROR(O236/M236,0)</f>
        <v/>
      </c>
      <c r="Q236" s="3">
        <f>IF(H236&lt;=0,"Review: quantity &lt;= 0",IF(K236&gt;0.3,"Review: discount &gt; 30%",IF(G236="","Review: missing customer type","OK")))</f>
        <v/>
      </c>
    </row>
    <row r="237">
      <c r="A237" s="3" t="inlineStr">
        <is>
          <t>ORD-10236</t>
        </is>
      </c>
      <c r="B237" s="7" t="n">
        <v>45854</v>
      </c>
      <c r="C237" s="3" t="inlineStr">
        <is>
          <t>Accessories</t>
        </is>
      </c>
      <c r="D237" s="3" t="inlineStr">
        <is>
          <t>Belts</t>
        </is>
      </c>
      <c r="E237" s="3" t="inlineStr">
        <is>
          <t>Ashanti</t>
        </is>
      </c>
      <c r="F237" s="3" t="inlineStr">
        <is>
          <t>Online</t>
        </is>
      </c>
      <c r="G237" s="3" t="inlineStr">
        <is>
          <t>Returning</t>
        </is>
      </c>
      <c r="H237" s="3" t="n">
        <v>2</v>
      </c>
      <c r="I237" s="8" t="n">
        <v>60</v>
      </c>
      <c r="J237" s="8" t="n">
        <v>28.14</v>
      </c>
      <c r="K237" s="9" t="n">
        <v>0</v>
      </c>
      <c r="L237" s="8" t="n">
        <v>29.32</v>
      </c>
      <c r="M237" s="8">
        <f>H237*I237*(1-K237)</f>
        <v/>
      </c>
      <c r="N237" s="8">
        <f>H237*J237</f>
        <v/>
      </c>
      <c r="O237" s="8">
        <f>M237-N237-L237</f>
        <v/>
      </c>
      <c r="P237" s="10">
        <f>IFERROR(O237/M237,0)</f>
        <v/>
      </c>
      <c r="Q237" s="3">
        <f>IF(H237&lt;=0,"Review: quantity &lt;= 0",IF(K237&gt;0.3,"Review: discount &gt; 30%",IF(G237="","Review: missing customer type","OK")))</f>
        <v/>
      </c>
    </row>
    <row r="238">
      <c r="A238" s="3" t="inlineStr">
        <is>
          <t>ORD-10237</t>
        </is>
      </c>
      <c r="B238" s="7" t="n">
        <v>45786</v>
      </c>
      <c r="C238" s="3" t="inlineStr">
        <is>
          <t>Footwear</t>
        </is>
      </c>
      <c r="D238" s="3" t="inlineStr">
        <is>
          <t>Boots</t>
        </is>
      </c>
      <c r="E238" s="3" t="inlineStr">
        <is>
          <t>Western</t>
        </is>
      </c>
      <c r="F238" s="3" t="inlineStr">
        <is>
          <t>Retail Shop</t>
        </is>
      </c>
      <c r="G238" s="3" t="inlineStr">
        <is>
          <t>New</t>
        </is>
      </c>
      <c r="H238" s="3" t="n">
        <v>2</v>
      </c>
      <c r="I238" s="8" t="n">
        <v>280</v>
      </c>
      <c r="J238" s="8" t="n">
        <v>172.78</v>
      </c>
      <c r="K238" s="9" t="n">
        <v>0.05</v>
      </c>
      <c r="L238" s="8" t="n">
        <v>5.26</v>
      </c>
      <c r="M238" s="8">
        <f>H238*I238*(1-K238)</f>
        <v/>
      </c>
      <c r="N238" s="8">
        <f>H238*J238</f>
        <v/>
      </c>
      <c r="O238" s="8">
        <f>M238-N238-L238</f>
        <v/>
      </c>
      <c r="P238" s="10">
        <f>IFERROR(O238/M238,0)</f>
        <v/>
      </c>
      <c r="Q238" s="3">
        <f>IF(H238&lt;=0,"Review: quantity &lt;= 0",IF(K238&gt;0.3,"Review: discount &gt; 30%",IF(G238="","Review: missing customer type","OK")))</f>
        <v/>
      </c>
    </row>
    <row r="239">
      <c r="A239" s="3" t="inlineStr">
        <is>
          <t>ORD-10238</t>
        </is>
      </c>
      <c r="B239" s="7" t="n">
        <v>45866</v>
      </c>
      <c r="C239" s="3" t="inlineStr">
        <is>
          <t>Footwear</t>
        </is>
      </c>
      <c r="D239" s="3" t="inlineStr">
        <is>
          <t>Sneakers</t>
        </is>
      </c>
      <c r="E239" s="3" t="inlineStr">
        <is>
          <t>Western</t>
        </is>
      </c>
      <c r="F239" s="3" t="inlineStr">
        <is>
          <t>Phone/WhatsApp</t>
        </is>
      </c>
      <c r="G239" s="3" t="inlineStr">
        <is>
          <t>New</t>
        </is>
      </c>
      <c r="H239" s="3" t="n">
        <v>1</v>
      </c>
      <c r="I239" s="8" t="n">
        <v>190</v>
      </c>
      <c r="J239" s="8" t="n">
        <v>111.24</v>
      </c>
      <c r="K239" s="9" t="n">
        <v>0.05</v>
      </c>
      <c r="L239" s="8" t="n">
        <v>31.22</v>
      </c>
      <c r="M239" s="8">
        <f>H239*I239*(1-K239)</f>
        <v/>
      </c>
      <c r="N239" s="8">
        <f>H239*J239</f>
        <v/>
      </c>
      <c r="O239" s="8">
        <f>M239-N239-L239</f>
        <v/>
      </c>
      <c r="P239" s="10">
        <f>IFERROR(O239/M239,0)</f>
        <v/>
      </c>
      <c r="Q239" s="3">
        <f>IF(H239&lt;=0,"Review: quantity &lt;= 0",IF(K239&gt;0.3,"Review: discount &gt; 30%",IF(G239="","Review: missing customer type","OK")))</f>
        <v/>
      </c>
    </row>
    <row r="240">
      <c r="A240" s="3" t="inlineStr">
        <is>
          <t>ORD-10239</t>
        </is>
      </c>
      <c r="B240" s="7" t="n">
        <v>45746</v>
      </c>
      <c r="C240" s="3" t="inlineStr">
        <is>
          <t>Footwear</t>
        </is>
      </c>
      <c r="D240" s="3" t="inlineStr">
        <is>
          <t>Sandals</t>
        </is>
      </c>
      <c r="E240" s="3" t="inlineStr">
        <is>
          <t>Greater Accra</t>
        </is>
      </c>
      <c r="F240" s="3" t="inlineStr">
        <is>
          <t>Online</t>
        </is>
      </c>
      <c r="G240" s="3" t="inlineStr">
        <is>
          <t>Returning</t>
        </is>
      </c>
      <c r="H240" s="3" t="n">
        <v>2</v>
      </c>
      <c r="I240" s="8" t="n">
        <v>195</v>
      </c>
      <c r="J240" s="8" t="n">
        <v>119.36</v>
      </c>
      <c r="K240" s="9" t="n">
        <v>0</v>
      </c>
      <c r="L240" s="8" t="n">
        <v>28.26</v>
      </c>
      <c r="M240" s="8">
        <f>H240*I240*(1-K240)</f>
        <v/>
      </c>
      <c r="N240" s="8">
        <f>H240*J240</f>
        <v/>
      </c>
      <c r="O240" s="8">
        <f>M240-N240-L240</f>
        <v/>
      </c>
      <c r="P240" s="10">
        <f>IFERROR(O240/M240,0)</f>
        <v/>
      </c>
      <c r="Q240" s="3">
        <f>IF(H240&lt;=0,"Review: quantity &lt;= 0",IF(K240&gt;0.3,"Review: discount &gt; 30%",IF(G240="","Review: missing customer type","OK")))</f>
        <v/>
      </c>
    </row>
    <row r="241">
      <c r="A241" s="3" t="inlineStr">
        <is>
          <t>ORD-10240</t>
        </is>
      </c>
      <c r="B241" s="7" t="n">
        <v>45963</v>
      </c>
      <c r="C241" s="3" t="inlineStr">
        <is>
          <t>Footwear</t>
        </is>
      </c>
      <c r="D241" s="3" t="inlineStr">
        <is>
          <t>Boots</t>
        </is>
      </c>
      <c r="E241" s="3" t="inlineStr">
        <is>
          <t>Ashanti</t>
        </is>
      </c>
      <c r="F241" s="3" t="inlineStr">
        <is>
          <t>Online</t>
        </is>
      </c>
      <c r="G241" s="3" t="inlineStr">
        <is>
          <t>Returning</t>
        </is>
      </c>
      <c r="H241" s="3" t="n">
        <v>1</v>
      </c>
      <c r="I241" s="8" t="n">
        <v>470</v>
      </c>
      <c r="J241" s="8" t="n">
        <v>274.28</v>
      </c>
      <c r="K241" s="9" t="n">
        <v>0.15</v>
      </c>
      <c r="L241" s="8" t="n">
        <v>31.48</v>
      </c>
      <c r="M241" s="8">
        <f>H241*I241*(1-K241)</f>
        <v/>
      </c>
      <c r="N241" s="8">
        <f>H241*J241</f>
        <v/>
      </c>
      <c r="O241" s="8">
        <f>M241-N241-L241</f>
        <v/>
      </c>
      <c r="P241" s="10">
        <f>IFERROR(O241/M241,0)</f>
        <v/>
      </c>
      <c r="Q241" s="3">
        <f>IF(H241&lt;=0,"Review: quantity &lt;= 0",IF(K241&gt;0.3,"Review: discount &gt; 30%",IF(G241="","Review: missing customer type","OK")))</f>
        <v/>
      </c>
    </row>
    <row r="242">
      <c r="A242" s="3" t="inlineStr">
        <is>
          <t>ORD-10241</t>
        </is>
      </c>
      <c r="B242" s="7" t="n">
        <v>45962</v>
      </c>
      <c r="C242" s="3" t="inlineStr">
        <is>
          <t>Footwear</t>
        </is>
      </c>
      <c r="D242" s="3" t="inlineStr">
        <is>
          <t>Formal Shoes</t>
        </is>
      </c>
      <c r="E242" s="3" t="inlineStr">
        <is>
          <t>Central</t>
        </is>
      </c>
      <c r="F242" s="3" t="inlineStr">
        <is>
          <t>Online</t>
        </is>
      </c>
      <c r="G242" s="3" t="inlineStr">
        <is>
          <t>Returning</t>
        </is>
      </c>
      <c r="H242" s="3" t="n">
        <v>1</v>
      </c>
      <c r="I242" s="8" t="n">
        <v>325</v>
      </c>
      <c r="J242" s="8" t="n">
        <v>174.67</v>
      </c>
      <c r="K242" s="9" t="n">
        <v>0</v>
      </c>
      <c r="L242" s="8" t="n">
        <v>14.86</v>
      </c>
      <c r="M242" s="8">
        <f>H242*I242*(1-K242)</f>
        <v/>
      </c>
      <c r="N242" s="8">
        <f>H242*J242</f>
        <v/>
      </c>
      <c r="O242" s="8">
        <f>M242-N242-L242</f>
        <v/>
      </c>
      <c r="P242" s="10">
        <f>IFERROR(O242/M242,0)</f>
        <v/>
      </c>
      <c r="Q242" s="3">
        <f>IF(H242&lt;=0,"Review: quantity &lt;= 0",IF(K242&gt;0.3,"Review: discount &gt; 30%",IF(G242="","Review: missing customer type","OK")))</f>
        <v/>
      </c>
    </row>
    <row r="243">
      <c r="A243" s="3" t="inlineStr">
        <is>
          <t>ORD-10242</t>
        </is>
      </c>
      <c r="B243" s="7" t="n">
        <v>45959</v>
      </c>
      <c r="C243" s="3" t="inlineStr">
        <is>
          <t>Clothing</t>
        </is>
      </c>
      <c r="D243" s="3" t="inlineStr">
        <is>
          <t>Jackets</t>
        </is>
      </c>
      <c r="E243" s="3" t="inlineStr">
        <is>
          <t>Greater Accra</t>
        </is>
      </c>
      <c r="F243" s="3" t="inlineStr">
        <is>
          <t>Online</t>
        </is>
      </c>
      <c r="G243" s="3" t="inlineStr">
        <is>
          <t>New</t>
        </is>
      </c>
      <c r="H243" s="3" t="n">
        <v>2</v>
      </c>
      <c r="I243" s="8" t="n">
        <v>130</v>
      </c>
      <c r="J243" s="8" t="n">
        <v>64.63</v>
      </c>
      <c r="K243" s="9" t="n">
        <v>0</v>
      </c>
      <c r="L243" s="8" t="n">
        <v>37.29</v>
      </c>
      <c r="M243" s="8">
        <f>H243*I243*(1-K243)</f>
        <v/>
      </c>
      <c r="N243" s="8">
        <f>H243*J243</f>
        <v/>
      </c>
      <c r="O243" s="8">
        <f>M243-N243-L243</f>
        <v/>
      </c>
      <c r="P243" s="10">
        <f>IFERROR(O243/M243,0)</f>
        <v/>
      </c>
      <c r="Q243" s="3">
        <f>IF(H243&lt;=0,"Review: quantity &lt;= 0",IF(K243&gt;0.3,"Review: discount &gt; 30%",IF(G243="","Review: missing customer type","OK")))</f>
        <v/>
      </c>
    </row>
    <row r="244">
      <c r="A244" s="3" t="inlineStr">
        <is>
          <t>ORD-10243</t>
        </is>
      </c>
      <c r="B244" s="7" t="n">
        <v>45705</v>
      </c>
      <c r="C244" s="3" t="inlineStr">
        <is>
          <t>Footwear</t>
        </is>
      </c>
      <c r="D244" s="3" t="inlineStr">
        <is>
          <t>Formal Shoes</t>
        </is>
      </c>
      <c r="E244" s="3" t="inlineStr">
        <is>
          <t>Greater Accra</t>
        </is>
      </c>
      <c r="F244" s="3" t="inlineStr">
        <is>
          <t>Retail Shop</t>
        </is>
      </c>
      <c r="G244" s="3" t="inlineStr">
        <is>
          <t>New</t>
        </is>
      </c>
      <c r="H244" s="3" t="n">
        <v>3</v>
      </c>
      <c r="I244" s="8" t="n">
        <v>205</v>
      </c>
      <c r="J244" s="8" t="n">
        <v>117.64</v>
      </c>
      <c r="K244" s="9" t="n">
        <v>0</v>
      </c>
      <c r="L244" s="8" t="n">
        <v>9.74</v>
      </c>
      <c r="M244" s="8">
        <f>H244*I244*(1-K244)</f>
        <v/>
      </c>
      <c r="N244" s="8">
        <f>H244*J244</f>
        <v/>
      </c>
      <c r="O244" s="8">
        <f>M244-N244-L244</f>
        <v/>
      </c>
      <c r="P244" s="10">
        <f>IFERROR(O244/M244,0)</f>
        <v/>
      </c>
      <c r="Q244" s="3">
        <f>IF(H244&lt;=0,"Review: quantity &lt;= 0",IF(K244&gt;0.3,"Review: discount &gt; 30%",IF(G244="","Review: missing customer type","OK")))</f>
        <v/>
      </c>
    </row>
    <row r="245">
      <c r="A245" s="3" t="inlineStr">
        <is>
          <t>ORD-10244</t>
        </is>
      </c>
      <c r="B245" s="7" t="n">
        <v>45681</v>
      </c>
      <c r="C245" s="3" t="inlineStr">
        <is>
          <t>Footwear</t>
        </is>
      </c>
      <c r="D245" s="3" t="inlineStr">
        <is>
          <t>Boots</t>
        </is>
      </c>
      <c r="E245" s="3" t="inlineStr">
        <is>
          <t>Greater Accra</t>
        </is>
      </c>
      <c r="F245" s="3" t="inlineStr">
        <is>
          <t>Online</t>
        </is>
      </c>
      <c r="G245" s="3" t="inlineStr">
        <is>
          <t>New</t>
        </is>
      </c>
      <c r="H245" s="3" t="n">
        <v>3</v>
      </c>
      <c r="I245" s="8" t="n">
        <v>270</v>
      </c>
      <c r="J245" s="8" t="n">
        <v>166.33</v>
      </c>
      <c r="K245" s="9" t="n">
        <v>0</v>
      </c>
      <c r="L245" s="8" t="n">
        <v>35.34</v>
      </c>
      <c r="M245" s="8">
        <f>H245*I245*(1-K245)</f>
        <v/>
      </c>
      <c r="N245" s="8">
        <f>H245*J245</f>
        <v/>
      </c>
      <c r="O245" s="8">
        <f>M245-N245-L245</f>
        <v/>
      </c>
      <c r="P245" s="10">
        <f>IFERROR(O245/M245,0)</f>
        <v/>
      </c>
      <c r="Q245" s="3">
        <f>IF(H245&lt;=0,"Review: quantity &lt;= 0",IF(K245&gt;0.3,"Review: discount &gt; 30%",IF(G245="","Review: missing customer type","OK")))</f>
        <v/>
      </c>
    </row>
    <row r="246">
      <c r="A246" s="3" t="inlineStr">
        <is>
          <t>ORD-10245</t>
        </is>
      </c>
      <c r="B246" s="7" t="n">
        <v>45659</v>
      </c>
      <c r="C246" s="3" t="inlineStr">
        <is>
          <t>Footwear</t>
        </is>
      </c>
      <c r="D246" s="3" t="inlineStr">
        <is>
          <t>Sandals</t>
        </is>
      </c>
      <c r="E246" s="3" t="inlineStr">
        <is>
          <t>Central</t>
        </is>
      </c>
      <c r="F246" s="3" t="inlineStr">
        <is>
          <t>Retail Shop</t>
        </is>
      </c>
      <c r="G246" s="3" t="inlineStr">
        <is>
          <t>New</t>
        </is>
      </c>
      <c r="H246" s="3" t="n">
        <v>4</v>
      </c>
      <c r="I246" s="8" t="n">
        <v>215</v>
      </c>
      <c r="J246" s="8" t="n">
        <v>109.64</v>
      </c>
      <c r="K246" s="9" t="n">
        <v>0.05</v>
      </c>
      <c r="L246" s="8" t="n">
        <v>9.460000000000001</v>
      </c>
      <c r="M246" s="8">
        <f>H246*I246*(1-K246)</f>
        <v/>
      </c>
      <c r="N246" s="8">
        <f>H246*J246</f>
        <v/>
      </c>
      <c r="O246" s="8">
        <f>M246-N246-L246</f>
        <v/>
      </c>
      <c r="P246" s="10">
        <f>IFERROR(O246/M246,0)</f>
        <v/>
      </c>
      <c r="Q246" s="3">
        <f>IF(H246&lt;=0,"Review: quantity &lt;= 0",IF(K246&gt;0.3,"Review: discount &gt; 30%",IF(G246="","Review: missing customer type","OK")))</f>
        <v/>
      </c>
    </row>
    <row r="247">
      <c r="A247" s="3" t="inlineStr">
        <is>
          <t>ORD-10246</t>
        </is>
      </c>
      <c r="B247" s="7" t="n">
        <v>45705</v>
      </c>
      <c r="C247" s="3" t="inlineStr">
        <is>
          <t>Footwear</t>
        </is>
      </c>
      <c r="D247" s="3" t="inlineStr">
        <is>
          <t>Sneakers</t>
        </is>
      </c>
      <c r="E247" s="3" t="inlineStr">
        <is>
          <t>Greater Accra</t>
        </is>
      </c>
      <c r="F247" s="3" t="inlineStr">
        <is>
          <t>Retail Shop</t>
        </is>
      </c>
      <c r="G247" s="3" t="inlineStr">
        <is>
          <t>Returning</t>
        </is>
      </c>
      <c r="H247" s="3" t="n">
        <v>1</v>
      </c>
      <c r="I247" s="8" t="n">
        <v>180</v>
      </c>
      <c r="J247" s="8" t="n">
        <v>104.59</v>
      </c>
      <c r="K247" s="9" t="n">
        <v>0.05</v>
      </c>
      <c r="L247" s="8" t="n">
        <v>10.89</v>
      </c>
      <c r="M247" s="8">
        <f>H247*I247*(1-K247)</f>
        <v/>
      </c>
      <c r="N247" s="8">
        <f>H247*J247</f>
        <v/>
      </c>
      <c r="O247" s="8">
        <f>M247-N247-L247</f>
        <v/>
      </c>
      <c r="P247" s="10">
        <f>IFERROR(O247/M247,0)</f>
        <v/>
      </c>
      <c r="Q247" s="3">
        <f>IF(H247&lt;=0,"Review: quantity &lt;= 0",IF(K247&gt;0.3,"Review: discount &gt; 30%",IF(G247="","Review: missing customer type","OK")))</f>
        <v/>
      </c>
    </row>
    <row r="248">
      <c r="A248" s="3" t="inlineStr">
        <is>
          <t>ORD-10247</t>
        </is>
      </c>
      <c r="B248" s="7" t="n">
        <v>45828</v>
      </c>
      <c r="C248" s="3" t="inlineStr">
        <is>
          <t>Home &amp; Lifestyle</t>
        </is>
      </c>
      <c r="D248" s="3" t="inlineStr">
        <is>
          <t>Wallets</t>
        </is>
      </c>
      <c r="E248" s="3" t="inlineStr">
        <is>
          <t>Western</t>
        </is>
      </c>
      <c r="F248" s="3" t="inlineStr">
        <is>
          <t>Online</t>
        </is>
      </c>
      <c r="G248" s="3" t="inlineStr">
        <is>
          <t>New</t>
        </is>
      </c>
      <c r="H248" s="3" t="n">
        <v>3</v>
      </c>
      <c r="I248" s="8" t="n">
        <v>130</v>
      </c>
      <c r="J248" s="8" t="n">
        <v>72.16</v>
      </c>
      <c r="K248" s="9" t="n">
        <v>0</v>
      </c>
      <c r="L248" s="8" t="n">
        <v>24.43</v>
      </c>
      <c r="M248" s="8">
        <f>H248*I248*(1-K248)</f>
        <v/>
      </c>
      <c r="N248" s="8">
        <f>H248*J248</f>
        <v/>
      </c>
      <c r="O248" s="8">
        <f>M248-N248-L248</f>
        <v/>
      </c>
      <c r="P248" s="10">
        <f>IFERROR(O248/M248,0)</f>
        <v/>
      </c>
      <c r="Q248" s="3">
        <f>IF(H248&lt;=0,"Review: quantity &lt;= 0",IF(K248&gt;0.3,"Review: discount &gt; 30%",IF(G248="","Review: missing customer type","OK")))</f>
        <v/>
      </c>
    </row>
    <row r="249">
      <c r="A249" s="3" t="inlineStr">
        <is>
          <t>ORD-10248</t>
        </is>
      </c>
      <c r="B249" s="7" t="n">
        <v>45762</v>
      </c>
      <c r="C249" s="3" t="inlineStr">
        <is>
          <t>Home &amp; Lifestyle</t>
        </is>
      </c>
      <c r="D249" s="3" t="inlineStr">
        <is>
          <t>Travel Mugs</t>
        </is>
      </c>
      <c r="E249" s="3" t="inlineStr">
        <is>
          <t>Western</t>
        </is>
      </c>
      <c r="F249" s="3" t="inlineStr">
        <is>
          <t>Online</t>
        </is>
      </c>
      <c r="G249" s="3" t="inlineStr">
        <is>
          <t>Returning</t>
        </is>
      </c>
      <c r="H249" s="3" t="n">
        <v>2</v>
      </c>
      <c r="I249" s="8" t="n">
        <v>165</v>
      </c>
      <c r="J249" s="8" t="n">
        <v>95.84999999999999</v>
      </c>
      <c r="K249" s="9" t="n">
        <v>0</v>
      </c>
      <c r="L249" s="8" t="n">
        <v>19.94</v>
      </c>
      <c r="M249" s="8">
        <f>H249*I249*(1-K249)</f>
        <v/>
      </c>
      <c r="N249" s="8">
        <f>H249*J249</f>
        <v/>
      </c>
      <c r="O249" s="8">
        <f>M249-N249-L249</f>
        <v/>
      </c>
      <c r="P249" s="10">
        <f>IFERROR(O249/M249,0)</f>
        <v/>
      </c>
      <c r="Q249" s="3">
        <f>IF(H249&lt;=0,"Review: quantity &lt;= 0",IF(K249&gt;0.3,"Review: discount &gt; 30%",IF(G249="","Review: missing customer type","OK")))</f>
        <v/>
      </c>
    </row>
    <row r="250">
      <c r="A250" s="3" t="inlineStr">
        <is>
          <t>ORD-10249</t>
        </is>
      </c>
      <c r="B250" s="7" t="n">
        <v>45704</v>
      </c>
      <c r="C250" s="3" t="inlineStr">
        <is>
          <t>Clothing</t>
        </is>
      </c>
      <c r="D250" s="3" t="inlineStr">
        <is>
          <t>Shirts</t>
        </is>
      </c>
      <c r="E250" s="3" t="inlineStr">
        <is>
          <t>Greater Accra</t>
        </is>
      </c>
      <c r="F250" s="3" t="inlineStr">
        <is>
          <t>Online</t>
        </is>
      </c>
      <c r="G250" s="3" t="inlineStr">
        <is>
          <t>New</t>
        </is>
      </c>
      <c r="H250" s="3" t="n">
        <v>1</v>
      </c>
      <c r="I250" s="8" t="n">
        <v>100</v>
      </c>
      <c r="J250" s="8" t="n">
        <v>48.83</v>
      </c>
      <c r="K250" s="9" t="n">
        <v>0.1</v>
      </c>
      <c r="L250" s="8" t="n">
        <v>8.880000000000001</v>
      </c>
      <c r="M250" s="8">
        <f>H250*I250*(1-K250)</f>
        <v/>
      </c>
      <c r="N250" s="8">
        <f>H250*J250</f>
        <v/>
      </c>
      <c r="O250" s="8">
        <f>M250-N250-L250</f>
        <v/>
      </c>
      <c r="P250" s="10">
        <f>IFERROR(O250/M250,0)</f>
        <v/>
      </c>
      <c r="Q250" s="3">
        <f>IF(H250&lt;=0,"Review: quantity &lt;= 0",IF(K250&gt;0.3,"Review: discount &gt; 30%",IF(G250="","Review: missing customer type","OK")))</f>
        <v/>
      </c>
    </row>
    <row r="251">
      <c r="A251" s="3" t="inlineStr">
        <is>
          <t>ORD-10250</t>
        </is>
      </c>
      <c r="B251" s="7" t="n">
        <v>45732</v>
      </c>
      <c r="C251" s="3" t="inlineStr">
        <is>
          <t>Clothing</t>
        </is>
      </c>
      <c r="D251" s="3" t="inlineStr">
        <is>
          <t>Shirts</t>
        </is>
      </c>
      <c r="E251" s="3" t="inlineStr">
        <is>
          <t>Greater Accra</t>
        </is>
      </c>
      <c r="F251" s="3" t="inlineStr">
        <is>
          <t>Online</t>
        </is>
      </c>
      <c r="G251" s="3" t="inlineStr">
        <is>
          <t>New</t>
        </is>
      </c>
      <c r="H251" s="3" t="n">
        <v>2</v>
      </c>
      <c r="I251" s="8" t="n">
        <v>110</v>
      </c>
      <c r="J251" s="8" t="n">
        <v>62.04</v>
      </c>
      <c r="K251" s="9" t="n">
        <v>0.1</v>
      </c>
      <c r="L251" s="8" t="n">
        <v>23.48</v>
      </c>
      <c r="M251" s="8">
        <f>H251*I251*(1-K251)</f>
        <v/>
      </c>
      <c r="N251" s="8">
        <f>H251*J251</f>
        <v/>
      </c>
      <c r="O251" s="8">
        <f>M251-N251-L251</f>
        <v/>
      </c>
      <c r="P251" s="10">
        <f>IFERROR(O251/M251,0)</f>
        <v/>
      </c>
      <c r="Q251" s="3">
        <f>IF(H251&lt;=0,"Review: quantity &lt;= 0",IF(K251&gt;0.3,"Review: discount &gt; 30%",IF(G251="","Review: missing customer type","OK")))</f>
        <v/>
      </c>
    </row>
    <row r="252">
      <c r="A252" s="3" t="inlineStr">
        <is>
          <t>ORD-10251</t>
        </is>
      </c>
      <c r="B252" s="7" t="n">
        <v>45816</v>
      </c>
      <c r="C252" s="3" t="inlineStr">
        <is>
          <t>Accessories</t>
        </is>
      </c>
      <c r="D252" s="3" t="inlineStr">
        <is>
          <t>Watches</t>
        </is>
      </c>
      <c r="E252" s="3" t="inlineStr">
        <is>
          <t>Greater Accra</t>
        </is>
      </c>
      <c r="F252" s="3" t="inlineStr">
        <is>
          <t>Retail Shop</t>
        </is>
      </c>
      <c r="G252" s="3" t="inlineStr">
        <is>
          <t>Returning</t>
        </is>
      </c>
      <c r="H252" s="3" t="n">
        <v>1</v>
      </c>
      <c r="I252" s="8" t="n">
        <v>50</v>
      </c>
      <c r="J252" s="8" t="n">
        <v>25.21</v>
      </c>
      <c r="K252" s="9" t="n">
        <v>0</v>
      </c>
      <c r="L252" s="8" t="n">
        <v>7.9</v>
      </c>
      <c r="M252" s="8">
        <f>H252*I252*(1-K252)</f>
        <v/>
      </c>
      <c r="N252" s="8">
        <f>H252*J252</f>
        <v/>
      </c>
      <c r="O252" s="8">
        <f>M252-N252-L252</f>
        <v/>
      </c>
      <c r="P252" s="10">
        <f>IFERROR(O252/M252,0)</f>
        <v/>
      </c>
      <c r="Q252" s="3">
        <f>IF(H252&lt;=0,"Review: quantity &lt;= 0",IF(K252&gt;0.3,"Review: discount &gt; 30%",IF(G252="","Review: missing customer type","OK")))</f>
        <v/>
      </c>
    </row>
    <row r="253">
      <c r="A253" s="3" t="inlineStr">
        <is>
          <t>ORD-10252</t>
        </is>
      </c>
      <c r="B253" s="7" t="n">
        <v>45813</v>
      </c>
      <c r="C253" s="3" t="inlineStr">
        <is>
          <t>Footwear</t>
        </is>
      </c>
      <c r="D253" s="3" t="inlineStr">
        <is>
          <t>Boots</t>
        </is>
      </c>
      <c r="E253" s="3" t="inlineStr">
        <is>
          <t>Central</t>
        </is>
      </c>
      <c r="F253" s="3" t="inlineStr">
        <is>
          <t>Online</t>
        </is>
      </c>
      <c r="G253" s="3" t="inlineStr">
        <is>
          <t>New</t>
        </is>
      </c>
      <c r="H253" s="3" t="n">
        <v>4</v>
      </c>
      <c r="I253" s="8" t="n">
        <v>180</v>
      </c>
      <c r="J253" s="8" t="n">
        <v>102.93</v>
      </c>
      <c r="K253" s="9" t="n">
        <v>0</v>
      </c>
      <c r="L253" s="8" t="n">
        <v>31.96</v>
      </c>
      <c r="M253" s="8">
        <f>H253*I253*(1-K253)</f>
        <v/>
      </c>
      <c r="N253" s="8">
        <f>H253*J253</f>
        <v/>
      </c>
      <c r="O253" s="8">
        <f>M253-N253-L253</f>
        <v/>
      </c>
      <c r="P253" s="10">
        <f>IFERROR(O253/M253,0)</f>
        <v/>
      </c>
      <c r="Q253" s="3">
        <f>IF(H253&lt;=0,"Review: quantity &lt;= 0",IF(K253&gt;0.3,"Review: discount &gt; 30%",IF(G253="","Review: missing customer type","OK")))</f>
        <v/>
      </c>
    </row>
    <row r="254">
      <c r="A254" s="3" t="inlineStr">
        <is>
          <t>ORD-10253</t>
        </is>
      </c>
      <c r="B254" s="7" t="n">
        <v>45992</v>
      </c>
      <c r="C254" s="3" t="inlineStr">
        <is>
          <t>Clothing</t>
        </is>
      </c>
      <c r="D254" s="3" t="inlineStr">
        <is>
          <t>Dresses</t>
        </is>
      </c>
      <c r="E254" s="3" t="inlineStr">
        <is>
          <t>Central</t>
        </is>
      </c>
      <c r="F254" s="3" t="inlineStr">
        <is>
          <t>Retail Shop</t>
        </is>
      </c>
      <c r="G254" s="3" t="inlineStr">
        <is>
          <t>New</t>
        </is>
      </c>
      <c r="H254" s="3" t="n">
        <v>5</v>
      </c>
      <c r="I254" s="8" t="n">
        <v>190</v>
      </c>
      <c r="J254" s="8" t="n">
        <v>91.31</v>
      </c>
      <c r="K254" s="9" t="n">
        <v>0.1</v>
      </c>
      <c r="L254" s="8" t="n">
        <v>9.76</v>
      </c>
      <c r="M254" s="8">
        <f>H254*I254*(1-K254)</f>
        <v/>
      </c>
      <c r="N254" s="8">
        <f>H254*J254</f>
        <v/>
      </c>
      <c r="O254" s="8">
        <f>M254-N254-L254</f>
        <v/>
      </c>
      <c r="P254" s="10">
        <f>IFERROR(O254/M254,0)</f>
        <v/>
      </c>
      <c r="Q254" s="3">
        <f>IF(H254&lt;=0,"Review: quantity &lt;= 0",IF(K254&gt;0.3,"Review: discount &gt; 30%",IF(G254="","Review: missing customer type","OK")))</f>
        <v/>
      </c>
    </row>
    <row r="255">
      <c r="A255" s="3" t="inlineStr">
        <is>
          <t>ORD-10254</t>
        </is>
      </c>
      <c r="B255" s="7" t="n">
        <v>45774</v>
      </c>
      <c r="C255" s="3" t="inlineStr">
        <is>
          <t>Clothing</t>
        </is>
      </c>
      <c r="D255" s="3" t="inlineStr">
        <is>
          <t>Jackets</t>
        </is>
      </c>
      <c r="E255" s="3" t="inlineStr">
        <is>
          <t>Greater Accra</t>
        </is>
      </c>
      <c r="F255" s="3" t="inlineStr">
        <is>
          <t>Retail Shop</t>
        </is>
      </c>
      <c r="G255" s="3" t="inlineStr">
        <is>
          <t>New</t>
        </is>
      </c>
      <c r="H255" s="3" t="n">
        <v>2</v>
      </c>
      <c r="I255" s="8" t="n">
        <v>190</v>
      </c>
      <c r="J255" s="8" t="n">
        <v>106.57</v>
      </c>
      <c r="K255" s="9" t="n">
        <v>0.05</v>
      </c>
      <c r="L255" s="8" t="n">
        <v>9.94</v>
      </c>
      <c r="M255" s="8">
        <f>H255*I255*(1-K255)</f>
        <v/>
      </c>
      <c r="N255" s="8">
        <f>H255*J255</f>
        <v/>
      </c>
      <c r="O255" s="8">
        <f>M255-N255-L255</f>
        <v/>
      </c>
      <c r="P255" s="10">
        <f>IFERROR(O255/M255,0)</f>
        <v/>
      </c>
      <c r="Q255" s="3">
        <f>IF(H255&lt;=0,"Review: quantity &lt;= 0",IF(K255&gt;0.3,"Review: discount &gt; 30%",IF(G255="","Review: missing customer type","OK")))</f>
        <v/>
      </c>
    </row>
    <row r="256">
      <c r="A256" s="3" t="inlineStr">
        <is>
          <t>ORD-10255</t>
        </is>
      </c>
      <c r="B256" s="7" t="n">
        <v>45953</v>
      </c>
      <c r="C256" s="3" t="inlineStr">
        <is>
          <t>Clothing</t>
        </is>
      </c>
      <c r="D256" s="3" t="inlineStr">
        <is>
          <t>Trousers</t>
        </is>
      </c>
      <c r="E256" s="3" t="inlineStr">
        <is>
          <t>Greater Accra</t>
        </is>
      </c>
      <c r="F256" s="3" t="inlineStr">
        <is>
          <t>Online</t>
        </is>
      </c>
      <c r="G256" s="3" t="inlineStr">
        <is>
          <t>Returning</t>
        </is>
      </c>
      <c r="H256" s="3" t="n">
        <v>5</v>
      </c>
      <c r="I256" s="8" t="n">
        <v>135</v>
      </c>
      <c r="J256" s="8" t="n">
        <v>77.83</v>
      </c>
      <c r="K256" s="9" t="n">
        <v>0.05</v>
      </c>
      <c r="L256" s="8" t="n">
        <v>34.33</v>
      </c>
      <c r="M256" s="8">
        <f>H256*I256*(1-K256)</f>
        <v/>
      </c>
      <c r="N256" s="8">
        <f>H256*J256</f>
        <v/>
      </c>
      <c r="O256" s="8">
        <f>M256-N256-L256</f>
        <v/>
      </c>
      <c r="P256" s="10">
        <f>IFERROR(O256/M256,0)</f>
        <v/>
      </c>
      <c r="Q256" s="3">
        <f>IF(H256&lt;=0,"Review: quantity &lt;= 0",IF(K256&gt;0.3,"Review: discount &gt; 30%",IF(G256="","Review: missing customer type","OK")))</f>
        <v/>
      </c>
    </row>
    <row r="257">
      <c r="A257" s="3" t="inlineStr">
        <is>
          <t>ORD-10256</t>
        </is>
      </c>
      <c r="B257" s="7" t="n">
        <v>45742</v>
      </c>
      <c r="C257" s="3" t="inlineStr">
        <is>
          <t>Clothing</t>
        </is>
      </c>
      <c r="D257" s="3" t="inlineStr">
        <is>
          <t>Trousers</t>
        </is>
      </c>
      <c r="E257" s="3" t="inlineStr">
        <is>
          <t>Ashanti</t>
        </is>
      </c>
      <c r="F257" s="3" t="inlineStr">
        <is>
          <t>Phone/WhatsApp</t>
        </is>
      </c>
      <c r="G257" s="3" t="inlineStr">
        <is>
          <t>Returning</t>
        </is>
      </c>
      <c r="H257" s="3" t="n">
        <v>10</v>
      </c>
      <c r="I257" s="8" t="n">
        <v>185</v>
      </c>
      <c r="J257" s="8" t="n">
        <v>97.72</v>
      </c>
      <c r="K257" s="9" t="n">
        <v>0.1</v>
      </c>
      <c r="L257" s="8" t="n">
        <v>13.25</v>
      </c>
      <c r="M257" s="8">
        <f>H257*I257*(1-K257)</f>
        <v/>
      </c>
      <c r="N257" s="8">
        <f>H257*J257</f>
        <v/>
      </c>
      <c r="O257" s="8">
        <f>M257-N257-L257</f>
        <v/>
      </c>
      <c r="P257" s="10">
        <f>IFERROR(O257/M257,0)</f>
        <v/>
      </c>
      <c r="Q257" s="3">
        <f>IF(H257&lt;=0,"Review: quantity &lt;= 0",IF(K257&gt;0.3,"Review: discount &gt; 30%",IF(G257="","Review: missing customer type","OK")))</f>
        <v/>
      </c>
    </row>
    <row r="258">
      <c r="A258" s="3" t="inlineStr">
        <is>
          <t>ORD-10257</t>
        </is>
      </c>
      <c r="B258" s="7" t="n">
        <v>45754</v>
      </c>
      <c r="C258" s="3" t="inlineStr">
        <is>
          <t>Footwear</t>
        </is>
      </c>
      <c r="D258" s="3" t="inlineStr">
        <is>
          <t>Formal Shoes</t>
        </is>
      </c>
      <c r="E258" s="3" t="inlineStr">
        <is>
          <t>Western</t>
        </is>
      </c>
      <c r="F258" s="3" t="inlineStr">
        <is>
          <t>Phone/WhatsApp</t>
        </is>
      </c>
      <c r="G258" s="3" t="inlineStr">
        <is>
          <t>Returning</t>
        </is>
      </c>
      <c r="H258" s="3" t="n">
        <v>2</v>
      </c>
      <c r="I258" s="8" t="n">
        <v>260</v>
      </c>
      <c r="J258" s="8" t="n">
        <v>141.85</v>
      </c>
      <c r="K258" s="9" t="n">
        <v>0</v>
      </c>
      <c r="L258" s="8" t="n">
        <v>12.54</v>
      </c>
      <c r="M258" s="8">
        <f>H258*I258*(1-K258)</f>
        <v/>
      </c>
      <c r="N258" s="8">
        <f>H258*J258</f>
        <v/>
      </c>
      <c r="O258" s="8">
        <f>M258-N258-L258</f>
        <v/>
      </c>
      <c r="P258" s="10">
        <f>IFERROR(O258/M258,0)</f>
        <v/>
      </c>
      <c r="Q258" s="3">
        <f>IF(H258&lt;=0,"Review: quantity &lt;= 0",IF(K258&gt;0.3,"Review: discount &gt; 30%",IF(G258="","Review: missing customer type","OK")))</f>
        <v/>
      </c>
    </row>
    <row r="259">
      <c r="A259" s="3" t="inlineStr">
        <is>
          <t>ORD-10258</t>
        </is>
      </c>
      <c r="B259" s="7" t="n">
        <v>46016</v>
      </c>
      <c r="C259" s="3" t="inlineStr">
        <is>
          <t>Clothing</t>
        </is>
      </c>
      <c r="D259" s="3" t="inlineStr">
        <is>
          <t>Shirts</t>
        </is>
      </c>
      <c r="E259" s="3" t="inlineStr">
        <is>
          <t>Western</t>
        </is>
      </c>
      <c r="F259" s="3" t="inlineStr">
        <is>
          <t>Online</t>
        </is>
      </c>
      <c r="G259" s="3" t="inlineStr">
        <is>
          <t>Returning</t>
        </is>
      </c>
      <c r="H259" s="3" t="n">
        <v>1</v>
      </c>
      <c r="I259" s="8" t="n">
        <v>135</v>
      </c>
      <c r="J259" s="8" t="n">
        <v>67.81</v>
      </c>
      <c r="K259" s="9" t="n">
        <v>0.15</v>
      </c>
      <c r="L259" s="8" t="n">
        <v>20.61</v>
      </c>
      <c r="M259" s="8">
        <f>H259*I259*(1-K259)</f>
        <v/>
      </c>
      <c r="N259" s="8">
        <f>H259*J259</f>
        <v/>
      </c>
      <c r="O259" s="8">
        <f>M259-N259-L259</f>
        <v/>
      </c>
      <c r="P259" s="10">
        <f>IFERROR(O259/M259,0)</f>
        <v/>
      </c>
      <c r="Q259" s="3">
        <f>IF(H259&lt;=0,"Review: quantity &lt;= 0",IF(K259&gt;0.3,"Review: discount &gt; 30%",IF(G259="","Review: missing customer type","OK")))</f>
        <v/>
      </c>
    </row>
    <row r="260">
      <c r="A260" s="3" t="inlineStr">
        <is>
          <t>ORD-10259</t>
        </is>
      </c>
      <c r="B260" s="7" t="n">
        <v>45952</v>
      </c>
      <c r="C260" s="3" t="inlineStr">
        <is>
          <t>Footwear</t>
        </is>
      </c>
      <c r="D260" s="3" t="inlineStr">
        <is>
          <t>Sandals</t>
        </is>
      </c>
      <c r="E260" s="3" t="inlineStr">
        <is>
          <t>Northern</t>
        </is>
      </c>
      <c r="F260" s="3" t="inlineStr">
        <is>
          <t>Phone/WhatsApp</t>
        </is>
      </c>
      <c r="G260" s="3" t="inlineStr">
        <is>
          <t>Returning</t>
        </is>
      </c>
      <c r="H260" s="3" t="n">
        <v>1</v>
      </c>
      <c r="I260" s="8" t="n">
        <v>220</v>
      </c>
      <c r="J260" s="8" t="n">
        <v>132.63</v>
      </c>
      <c r="K260" s="9" t="n">
        <v>0</v>
      </c>
      <c r="L260" s="8" t="n">
        <v>35.08</v>
      </c>
      <c r="M260" s="8">
        <f>H260*I260*(1-K260)</f>
        <v/>
      </c>
      <c r="N260" s="8">
        <f>H260*J260</f>
        <v/>
      </c>
      <c r="O260" s="8">
        <f>M260-N260-L260</f>
        <v/>
      </c>
      <c r="P260" s="10">
        <f>IFERROR(O260/M260,0)</f>
        <v/>
      </c>
      <c r="Q260" s="3">
        <f>IF(H260&lt;=0,"Review: quantity &lt;= 0",IF(K260&gt;0.3,"Review: discount &gt; 30%",IF(G260="","Review: missing customer type","OK")))</f>
        <v/>
      </c>
    </row>
    <row r="261">
      <c r="A261" s="3" t="inlineStr">
        <is>
          <t>ORD-10260</t>
        </is>
      </c>
      <c r="B261" s="7" t="n">
        <v>46007</v>
      </c>
      <c r="C261" s="3" t="inlineStr">
        <is>
          <t>Footwear</t>
        </is>
      </c>
      <c r="D261" s="3" t="inlineStr">
        <is>
          <t>Sneakers</t>
        </is>
      </c>
      <c r="E261" s="3" t="inlineStr">
        <is>
          <t>Ashanti</t>
        </is>
      </c>
      <c r="F261" s="3" t="inlineStr">
        <is>
          <t>Retail Shop</t>
        </is>
      </c>
      <c r="G261" s="3" t="inlineStr">
        <is>
          <t>Returning</t>
        </is>
      </c>
      <c r="H261" s="3" t="n">
        <v>2</v>
      </c>
      <c r="I261" s="8" t="n">
        <v>250</v>
      </c>
      <c r="J261" s="8" t="n">
        <v>132.77</v>
      </c>
      <c r="K261" s="9" t="n">
        <v>0.1</v>
      </c>
      <c r="L261" s="8" t="n">
        <v>3.45</v>
      </c>
      <c r="M261" s="8">
        <f>H261*I261*(1-K261)</f>
        <v/>
      </c>
      <c r="N261" s="8">
        <f>H261*J261</f>
        <v/>
      </c>
      <c r="O261" s="8">
        <f>M261-N261-L261</f>
        <v/>
      </c>
      <c r="P261" s="10">
        <f>IFERROR(O261/M261,0)</f>
        <v/>
      </c>
      <c r="Q261" s="3">
        <f>IF(H261&lt;=0,"Review: quantity &lt;= 0",IF(K261&gt;0.3,"Review: discount &gt; 30%",IF(G261="","Review: missing customer type","OK")))</f>
        <v/>
      </c>
    </row>
    <row r="262">
      <c r="A262" s="3" t="inlineStr">
        <is>
          <t>ORD-10261</t>
        </is>
      </c>
      <c r="B262" s="7" t="n">
        <v>45813</v>
      </c>
      <c r="C262" s="3" t="inlineStr">
        <is>
          <t>Footwear</t>
        </is>
      </c>
      <c r="D262" s="3" t="inlineStr">
        <is>
          <t>Sandals</t>
        </is>
      </c>
      <c r="E262" s="3" t="inlineStr">
        <is>
          <t>Central</t>
        </is>
      </c>
      <c r="F262" s="3" t="inlineStr">
        <is>
          <t>Phone/WhatsApp</t>
        </is>
      </c>
      <c r="G262" s="3" t="inlineStr">
        <is>
          <t>New</t>
        </is>
      </c>
      <c r="H262" s="3" t="n">
        <v>4</v>
      </c>
      <c r="I262" s="8" t="n">
        <v>205</v>
      </c>
      <c r="J262" s="8" t="n">
        <v>120.59</v>
      </c>
      <c r="K262" s="9" t="n">
        <v>0.05</v>
      </c>
      <c r="L262" s="8" t="n">
        <v>31.94</v>
      </c>
      <c r="M262" s="8">
        <f>H262*I262*(1-K262)</f>
        <v/>
      </c>
      <c r="N262" s="8">
        <f>H262*J262</f>
        <v/>
      </c>
      <c r="O262" s="8">
        <f>M262-N262-L262</f>
        <v/>
      </c>
      <c r="P262" s="10">
        <f>IFERROR(O262/M262,0)</f>
        <v/>
      </c>
      <c r="Q262" s="3">
        <f>IF(H262&lt;=0,"Review: quantity &lt;= 0",IF(K262&gt;0.3,"Review: discount &gt; 30%",IF(G262="","Review: missing customer type","OK")))</f>
        <v/>
      </c>
    </row>
    <row r="263">
      <c r="A263" s="3" t="inlineStr">
        <is>
          <t>ORD-10262</t>
        </is>
      </c>
      <c r="B263" s="7" t="n">
        <v>45986</v>
      </c>
      <c r="C263" s="3" t="inlineStr">
        <is>
          <t>Clothing</t>
        </is>
      </c>
      <c r="D263" s="3" t="inlineStr">
        <is>
          <t>Jackets</t>
        </is>
      </c>
      <c r="E263" s="3" t="inlineStr">
        <is>
          <t>Central</t>
        </is>
      </c>
      <c r="F263" s="3" t="inlineStr">
        <is>
          <t>Retail Shop</t>
        </is>
      </c>
      <c r="G263" s="3" t="inlineStr">
        <is>
          <t>New</t>
        </is>
      </c>
      <c r="H263" s="3" t="n">
        <v>2</v>
      </c>
      <c r="I263" s="8" t="n">
        <v>100</v>
      </c>
      <c r="J263" s="8" t="n">
        <v>55.42</v>
      </c>
      <c r="K263" s="9" t="n">
        <v>0.05</v>
      </c>
      <c r="L263" s="8" t="n">
        <v>5.64</v>
      </c>
      <c r="M263" s="8">
        <f>H263*I263*(1-K263)</f>
        <v/>
      </c>
      <c r="N263" s="8">
        <f>H263*J263</f>
        <v/>
      </c>
      <c r="O263" s="8">
        <f>M263-N263-L263</f>
        <v/>
      </c>
      <c r="P263" s="10">
        <f>IFERROR(O263/M263,0)</f>
        <v/>
      </c>
      <c r="Q263" s="3">
        <f>IF(H263&lt;=0,"Review: quantity &lt;= 0",IF(K263&gt;0.3,"Review: discount &gt; 30%",IF(G263="","Review: missing customer type","OK")))</f>
        <v/>
      </c>
    </row>
    <row r="264">
      <c r="A264" s="3" t="inlineStr">
        <is>
          <t>ORD-10263</t>
        </is>
      </c>
      <c r="B264" s="7" t="n">
        <v>45820</v>
      </c>
      <c r="C264" s="3" t="inlineStr">
        <is>
          <t>Footwear</t>
        </is>
      </c>
      <c r="D264" s="3" t="inlineStr">
        <is>
          <t>Sneakers</t>
        </is>
      </c>
      <c r="E264" s="3" t="inlineStr">
        <is>
          <t>Northern</t>
        </is>
      </c>
      <c r="F264" s="3" t="inlineStr">
        <is>
          <t>Online</t>
        </is>
      </c>
      <c r="G264" s="3" t="inlineStr">
        <is>
          <t>Returning</t>
        </is>
      </c>
      <c r="H264" s="3" t="n">
        <v>4</v>
      </c>
      <c r="I264" s="8" t="n">
        <v>285</v>
      </c>
      <c r="J264" s="8" t="n">
        <v>169.55</v>
      </c>
      <c r="K264" s="9" t="n">
        <v>0</v>
      </c>
      <c r="L264" s="8" t="n">
        <v>29.73</v>
      </c>
      <c r="M264" s="8">
        <f>H264*I264*(1-K264)</f>
        <v/>
      </c>
      <c r="N264" s="8">
        <f>H264*J264</f>
        <v/>
      </c>
      <c r="O264" s="8">
        <f>M264-N264-L264</f>
        <v/>
      </c>
      <c r="P264" s="10">
        <f>IFERROR(O264/M264,0)</f>
        <v/>
      </c>
      <c r="Q264" s="3">
        <f>IF(H264&lt;=0,"Review: quantity &lt;= 0",IF(K264&gt;0.3,"Review: discount &gt; 30%",IF(G264="","Review: missing customer type","OK")))</f>
        <v/>
      </c>
    </row>
    <row r="265">
      <c r="A265" s="3" t="inlineStr">
        <is>
          <t>ORD-10264</t>
        </is>
      </c>
      <c r="B265" s="7" t="n">
        <v>45758</v>
      </c>
      <c r="C265" s="3" t="inlineStr">
        <is>
          <t>Accessories</t>
        </is>
      </c>
      <c r="D265" s="3" t="inlineStr">
        <is>
          <t>Belts</t>
        </is>
      </c>
      <c r="E265" s="3" t="inlineStr">
        <is>
          <t>Greater Accra</t>
        </is>
      </c>
      <c r="F265" s="3" t="inlineStr">
        <is>
          <t>Phone/WhatsApp</t>
        </is>
      </c>
      <c r="G265" s="3" t="inlineStr">
        <is>
          <t>New</t>
        </is>
      </c>
      <c r="H265" s="3" t="n">
        <v>1</v>
      </c>
      <c r="I265" s="8" t="n">
        <v>120</v>
      </c>
      <c r="J265" s="8" t="n">
        <v>56.8</v>
      </c>
      <c r="K265" s="9" t="n">
        <v>0.05</v>
      </c>
      <c r="L265" s="8" t="n">
        <v>31.46</v>
      </c>
      <c r="M265" s="8">
        <f>H265*I265*(1-K265)</f>
        <v/>
      </c>
      <c r="N265" s="8">
        <f>H265*J265</f>
        <v/>
      </c>
      <c r="O265" s="8">
        <f>M265-N265-L265</f>
        <v/>
      </c>
      <c r="P265" s="10">
        <f>IFERROR(O265/M265,0)</f>
        <v/>
      </c>
      <c r="Q265" s="3">
        <f>IF(H265&lt;=0,"Review: quantity &lt;= 0",IF(K265&gt;0.3,"Review: discount &gt; 30%",IF(G265="","Review: missing customer type","OK")))</f>
        <v/>
      </c>
    </row>
    <row r="266">
      <c r="A266" s="3" t="inlineStr">
        <is>
          <t>ORD-10265</t>
        </is>
      </c>
      <c r="B266" s="7" t="n">
        <v>45947</v>
      </c>
      <c r="C266" s="3" t="inlineStr">
        <is>
          <t>Footwear</t>
        </is>
      </c>
      <c r="D266" s="3" t="inlineStr">
        <is>
          <t>Formal Shoes</t>
        </is>
      </c>
      <c r="E266" s="3" t="inlineStr">
        <is>
          <t>Western</t>
        </is>
      </c>
      <c r="F266" s="3" t="inlineStr">
        <is>
          <t>Phone/WhatsApp</t>
        </is>
      </c>
      <c r="G266" s="3" t="inlineStr">
        <is>
          <t>Returning</t>
        </is>
      </c>
      <c r="H266" s="3" t="n">
        <v>3</v>
      </c>
      <c r="I266" s="8" t="n">
        <v>235</v>
      </c>
      <c r="J266" s="8" t="n">
        <v>128.81</v>
      </c>
      <c r="K266" s="9" t="n">
        <v>0.05</v>
      </c>
      <c r="L266" s="8" t="n">
        <v>25.76</v>
      </c>
      <c r="M266" s="8">
        <f>H266*I266*(1-K266)</f>
        <v/>
      </c>
      <c r="N266" s="8">
        <f>H266*J266</f>
        <v/>
      </c>
      <c r="O266" s="8">
        <f>M266-N266-L266</f>
        <v/>
      </c>
      <c r="P266" s="10">
        <f>IFERROR(O266/M266,0)</f>
        <v/>
      </c>
      <c r="Q266" s="3">
        <f>IF(H266&lt;=0,"Review: quantity &lt;= 0",IF(K266&gt;0.3,"Review: discount &gt; 30%",IF(G266="","Review: missing customer type","OK")))</f>
        <v/>
      </c>
    </row>
    <row r="267">
      <c r="A267" s="3" t="inlineStr">
        <is>
          <t>ORD-10266</t>
        </is>
      </c>
      <c r="B267" s="7" t="n">
        <v>45987</v>
      </c>
      <c r="C267" s="3" t="inlineStr">
        <is>
          <t>Accessories</t>
        </is>
      </c>
      <c r="D267" s="3" t="inlineStr">
        <is>
          <t>Bags</t>
        </is>
      </c>
      <c r="E267" s="3" t="inlineStr">
        <is>
          <t>Greater Accra</t>
        </is>
      </c>
      <c r="F267" s="3" t="inlineStr">
        <is>
          <t>Online</t>
        </is>
      </c>
      <c r="G267" s="3" t="inlineStr">
        <is>
          <t>Returning</t>
        </is>
      </c>
      <c r="H267" s="3" t="n">
        <v>2</v>
      </c>
      <c r="I267" s="8" t="n">
        <v>100</v>
      </c>
      <c r="J267" s="8" t="n">
        <v>46.5</v>
      </c>
      <c r="K267" s="9" t="n">
        <v>0</v>
      </c>
      <c r="L267" s="8" t="n">
        <v>8.630000000000001</v>
      </c>
      <c r="M267" s="8">
        <f>H267*I267*(1-K267)</f>
        <v/>
      </c>
      <c r="N267" s="8">
        <f>H267*J267</f>
        <v/>
      </c>
      <c r="O267" s="8">
        <f>M267-N267-L267</f>
        <v/>
      </c>
      <c r="P267" s="10">
        <f>IFERROR(O267/M267,0)</f>
        <v/>
      </c>
      <c r="Q267" s="3">
        <f>IF(H267&lt;=0,"Review: quantity &lt;= 0",IF(K267&gt;0.3,"Review: discount &gt; 30%",IF(G267="","Review: missing customer type","OK")))</f>
        <v/>
      </c>
    </row>
    <row r="268">
      <c r="A268" s="3" t="inlineStr">
        <is>
          <t>ORD-10267</t>
        </is>
      </c>
      <c r="B268" s="7" t="n">
        <v>45673</v>
      </c>
      <c r="C268" s="3" t="inlineStr">
        <is>
          <t>Clothing</t>
        </is>
      </c>
      <c r="D268" s="3" t="inlineStr">
        <is>
          <t>Trousers</t>
        </is>
      </c>
      <c r="E268" s="3" t="inlineStr">
        <is>
          <t>Greater Accra</t>
        </is>
      </c>
      <c r="F268" s="3" t="inlineStr">
        <is>
          <t>Online</t>
        </is>
      </c>
      <c r="G268" s="3" t="inlineStr">
        <is>
          <t>New</t>
        </is>
      </c>
      <c r="H268" s="3" t="n">
        <v>1</v>
      </c>
      <c r="I268" s="8" t="n">
        <v>215</v>
      </c>
      <c r="J268" s="8" t="n">
        <v>120.85</v>
      </c>
      <c r="K268" s="9" t="n">
        <v>0.05</v>
      </c>
      <c r="L268" s="8" t="n">
        <v>14.15</v>
      </c>
      <c r="M268" s="8">
        <f>H268*I268*(1-K268)</f>
        <v/>
      </c>
      <c r="N268" s="8">
        <f>H268*J268</f>
        <v/>
      </c>
      <c r="O268" s="8">
        <f>M268-N268-L268</f>
        <v/>
      </c>
      <c r="P268" s="10">
        <f>IFERROR(O268/M268,0)</f>
        <v/>
      </c>
      <c r="Q268" s="3">
        <f>IF(H268&lt;=0,"Review: quantity &lt;= 0",IF(K268&gt;0.3,"Review: discount &gt; 30%",IF(G268="","Review: missing customer type","OK")))</f>
        <v/>
      </c>
    </row>
    <row r="269">
      <c r="A269" s="3" t="inlineStr">
        <is>
          <t>ORD-10268</t>
        </is>
      </c>
      <c r="B269" s="7" t="n">
        <v>45876</v>
      </c>
      <c r="C269" s="3" t="inlineStr">
        <is>
          <t>Clothing</t>
        </is>
      </c>
      <c r="D269" s="3" t="inlineStr">
        <is>
          <t>Trousers</t>
        </is>
      </c>
      <c r="E269" s="3" t="inlineStr">
        <is>
          <t>Greater Accra</t>
        </is>
      </c>
      <c r="F269" s="3" t="inlineStr">
        <is>
          <t>Retail Shop</t>
        </is>
      </c>
      <c r="G269" s="3" t="inlineStr">
        <is>
          <t>Returning</t>
        </is>
      </c>
      <c r="H269" s="3" t="n">
        <v>2</v>
      </c>
      <c r="I269" s="8" t="n">
        <v>125</v>
      </c>
      <c r="J269" s="8" t="n">
        <v>63.6</v>
      </c>
      <c r="K269" s="9" t="n">
        <v>0</v>
      </c>
      <c r="L269" s="8" t="n">
        <v>7.03</v>
      </c>
      <c r="M269" s="8">
        <f>H269*I269*(1-K269)</f>
        <v/>
      </c>
      <c r="N269" s="8">
        <f>H269*J269</f>
        <v/>
      </c>
      <c r="O269" s="8">
        <f>M269-N269-L269</f>
        <v/>
      </c>
      <c r="P269" s="10">
        <f>IFERROR(O269/M269,0)</f>
        <v/>
      </c>
      <c r="Q269" s="3">
        <f>IF(H269&lt;=0,"Review: quantity &lt;= 0",IF(K269&gt;0.3,"Review: discount &gt; 30%",IF(G269="","Review: missing customer type","OK")))</f>
        <v/>
      </c>
    </row>
    <row r="270">
      <c r="A270" s="3" t="inlineStr">
        <is>
          <t>ORD-10269</t>
        </is>
      </c>
      <c r="B270" s="7" t="n">
        <v>45807</v>
      </c>
      <c r="C270" s="3" t="inlineStr">
        <is>
          <t>Footwear</t>
        </is>
      </c>
      <c r="D270" s="3" t="inlineStr">
        <is>
          <t>Formal Shoes</t>
        </is>
      </c>
      <c r="E270" s="3" t="inlineStr">
        <is>
          <t>Ashanti</t>
        </is>
      </c>
      <c r="F270" s="3" t="inlineStr">
        <is>
          <t>Retail Shop</t>
        </is>
      </c>
      <c r="G270" s="3" t="inlineStr">
        <is>
          <t>New</t>
        </is>
      </c>
      <c r="H270" s="3" t="n">
        <v>2</v>
      </c>
      <c r="I270" s="8" t="n">
        <v>260</v>
      </c>
      <c r="J270" s="8" t="n">
        <v>134.83</v>
      </c>
      <c r="K270" s="9" t="n">
        <v>0</v>
      </c>
      <c r="L270" s="8" t="n">
        <v>11.14</v>
      </c>
      <c r="M270" s="8">
        <f>H270*I270*(1-K270)</f>
        <v/>
      </c>
      <c r="N270" s="8">
        <f>H270*J270</f>
        <v/>
      </c>
      <c r="O270" s="8">
        <f>M270-N270-L270</f>
        <v/>
      </c>
      <c r="P270" s="10">
        <f>IFERROR(O270/M270,0)</f>
        <v/>
      </c>
      <c r="Q270" s="3">
        <f>IF(H270&lt;=0,"Review: quantity &lt;= 0",IF(K270&gt;0.3,"Review: discount &gt; 30%",IF(G270="","Review: missing customer type","OK")))</f>
        <v/>
      </c>
    </row>
    <row r="271">
      <c r="A271" s="3" t="inlineStr">
        <is>
          <t>ORD-10270</t>
        </is>
      </c>
      <c r="B271" s="7" t="n">
        <v>45983</v>
      </c>
      <c r="C271" s="3" t="inlineStr">
        <is>
          <t>Footwear</t>
        </is>
      </c>
      <c r="D271" s="3" t="inlineStr">
        <is>
          <t>Sandals</t>
        </is>
      </c>
      <c r="E271" s="3" t="inlineStr">
        <is>
          <t>Greater Accra</t>
        </is>
      </c>
      <c r="F271" s="3" t="inlineStr">
        <is>
          <t>Retail Shop</t>
        </is>
      </c>
      <c r="G271" s="3" t="inlineStr">
        <is>
          <t>New</t>
        </is>
      </c>
      <c r="H271" s="3" t="n">
        <v>3</v>
      </c>
      <c r="I271" s="8" t="n">
        <v>295</v>
      </c>
      <c r="J271" s="8" t="n">
        <v>186.9</v>
      </c>
      <c r="K271" s="9" t="n">
        <v>0</v>
      </c>
      <c r="L271" s="8" t="n">
        <v>5.64</v>
      </c>
      <c r="M271" s="8">
        <f>H271*I271*(1-K271)</f>
        <v/>
      </c>
      <c r="N271" s="8">
        <f>H271*J271</f>
        <v/>
      </c>
      <c r="O271" s="8">
        <f>M271-N271-L271</f>
        <v/>
      </c>
      <c r="P271" s="10">
        <f>IFERROR(O271/M271,0)</f>
        <v/>
      </c>
      <c r="Q271" s="3">
        <f>IF(H271&lt;=0,"Review: quantity &lt;= 0",IF(K271&gt;0.3,"Review: discount &gt; 30%",IF(G271="","Review: missing customer type","OK")))</f>
        <v/>
      </c>
    </row>
    <row r="272">
      <c r="A272" s="3" t="inlineStr">
        <is>
          <t>ORD-10271</t>
        </is>
      </c>
      <c r="B272" s="7" t="n">
        <v>45695</v>
      </c>
      <c r="C272" s="3" t="inlineStr">
        <is>
          <t>Footwear</t>
        </is>
      </c>
      <c r="D272" s="3" t="inlineStr">
        <is>
          <t>Sneakers</t>
        </is>
      </c>
      <c r="E272" s="3" t="inlineStr">
        <is>
          <t>Northern</t>
        </is>
      </c>
      <c r="F272" s="3" t="inlineStr">
        <is>
          <t>Phone/WhatsApp</t>
        </is>
      </c>
      <c r="G272" s="3" t="inlineStr">
        <is>
          <t>Returning</t>
        </is>
      </c>
      <c r="H272" s="3" t="n">
        <v>4</v>
      </c>
      <c r="I272" s="8" t="n">
        <v>280</v>
      </c>
      <c r="J272" s="8" t="n">
        <v>150.95</v>
      </c>
      <c r="K272" s="9" t="n">
        <v>0.05</v>
      </c>
      <c r="L272" s="8" t="n">
        <v>17.75</v>
      </c>
      <c r="M272" s="8">
        <f>H272*I272*(1-K272)</f>
        <v/>
      </c>
      <c r="N272" s="8">
        <f>H272*J272</f>
        <v/>
      </c>
      <c r="O272" s="8">
        <f>M272-N272-L272</f>
        <v/>
      </c>
      <c r="P272" s="10">
        <f>IFERROR(O272/M272,0)</f>
        <v/>
      </c>
      <c r="Q272" s="3">
        <f>IF(H272&lt;=0,"Review: quantity &lt;= 0",IF(K272&gt;0.3,"Review: discount &gt; 30%",IF(G272="","Review: missing customer type","OK")))</f>
        <v/>
      </c>
    </row>
    <row r="273">
      <c r="A273" s="3" t="inlineStr">
        <is>
          <t>ORD-10272</t>
        </is>
      </c>
      <c r="B273" s="7" t="n">
        <v>45987</v>
      </c>
      <c r="C273" s="3" t="inlineStr">
        <is>
          <t>Home &amp; Lifestyle</t>
        </is>
      </c>
      <c r="D273" s="3" t="inlineStr">
        <is>
          <t>Small Home Goods</t>
        </is>
      </c>
      <c r="E273" s="3" t="inlineStr">
        <is>
          <t>Western</t>
        </is>
      </c>
      <c r="F273" s="3" t="inlineStr">
        <is>
          <t>Online</t>
        </is>
      </c>
      <c r="G273" s="3" t="inlineStr">
        <is>
          <t>Returning</t>
        </is>
      </c>
      <c r="H273" s="3" t="n">
        <v>1</v>
      </c>
      <c r="I273" s="8" t="n">
        <v>145</v>
      </c>
      <c r="J273" s="8" t="n">
        <v>79.38</v>
      </c>
      <c r="K273" s="9" t="n">
        <v>0.05</v>
      </c>
      <c r="L273" s="8" t="n">
        <v>14.82</v>
      </c>
      <c r="M273" s="8">
        <f>H273*I273*(1-K273)</f>
        <v/>
      </c>
      <c r="N273" s="8">
        <f>H273*J273</f>
        <v/>
      </c>
      <c r="O273" s="8">
        <f>M273-N273-L273</f>
        <v/>
      </c>
      <c r="P273" s="10">
        <f>IFERROR(O273/M273,0)</f>
        <v/>
      </c>
      <c r="Q273" s="3">
        <f>IF(H273&lt;=0,"Review: quantity &lt;= 0",IF(K273&gt;0.3,"Review: discount &gt; 30%",IF(G273="","Review: missing customer type","OK")))</f>
        <v/>
      </c>
    </row>
    <row r="274">
      <c r="A274" s="3" t="inlineStr">
        <is>
          <t>ORD-10273</t>
        </is>
      </c>
      <c r="B274" s="7" t="n">
        <v>45858</v>
      </c>
      <c r="C274" s="3" t="inlineStr">
        <is>
          <t>Clothing</t>
        </is>
      </c>
      <c r="D274" s="3" t="inlineStr">
        <is>
          <t>Jackets</t>
        </is>
      </c>
      <c r="E274" s="3" t="inlineStr">
        <is>
          <t>Ashanti</t>
        </is>
      </c>
      <c r="F274" s="3" t="inlineStr">
        <is>
          <t>Phone/WhatsApp</t>
        </is>
      </c>
      <c r="G274" s="3" t="inlineStr">
        <is>
          <t>New</t>
        </is>
      </c>
      <c r="H274" s="3" t="n">
        <v>2</v>
      </c>
      <c r="I274" s="8" t="n">
        <v>165</v>
      </c>
      <c r="J274" s="8" t="n">
        <v>85.87</v>
      </c>
      <c r="K274" s="9" t="n">
        <v>0.15</v>
      </c>
      <c r="L274" s="8" t="n">
        <v>26.45</v>
      </c>
      <c r="M274" s="8">
        <f>H274*I274*(1-K274)</f>
        <v/>
      </c>
      <c r="N274" s="8">
        <f>H274*J274</f>
        <v/>
      </c>
      <c r="O274" s="8">
        <f>M274-N274-L274</f>
        <v/>
      </c>
      <c r="P274" s="10">
        <f>IFERROR(O274/M274,0)</f>
        <v/>
      </c>
      <c r="Q274" s="3">
        <f>IF(H274&lt;=0,"Review: quantity &lt;= 0",IF(K274&gt;0.3,"Review: discount &gt; 30%",IF(G274="","Review: missing customer type","OK")))</f>
        <v/>
      </c>
    </row>
    <row r="275">
      <c r="A275" s="3" t="inlineStr">
        <is>
          <t>ORD-10274</t>
        </is>
      </c>
      <c r="B275" s="7" t="n">
        <v>45774</v>
      </c>
      <c r="C275" s="3" t="inlineStr">
        <is>
          <t>Accessories</t>
        </is>
      </c>
      <c r="D275" s="3" t="inlineStr">
        <is>
          <t>Bags</t>
        </is>
      </c>
      <c r="E275" s="3" t="inlineStr">
        <is>
          <t>Greater Accra</t>
        </is>
      </c>
      <c r="F275" s="3" t="inlineStr">
        <is>
          <t>Phone/WhatsApp</t>
        </is>
      </c>
      <c r="G275" s="3" t="inlineStr">
        <is>
          <t>Returning</t>
        </is>
      </c>
      <c r="H275" s="3" t="n">
        <v>1</v>
      </c>
      <c r="I275" s="8" t="n">
        <v>115</v>
      </c>
      <c r="J275" s="8" t="n">
        <v>54.14</v>
      </c>
      <c r="K275" s="9" t="n">
        <v>0.05</v>
      </c>
      <c r="L275" s="8" t="n">
        <v>23.28</v>
      </c>
      <c r="M275" s="8">
        <f>H275*I275*(1-K275)</f>
        <v/>
      </c>
      <c r="N275" s="8">
        <f>H275*J275</f>
        <v/>
      </c>
      <c r="O275" s="8">
        <f>M275-N275-L275</f>
        <v/>
      </c>
      <c r="P275" s="10">
        <f>IFERROR(O275/M275,0)</f>
        <v/>
      </c>
      <c r="Q275" s="3">
        <f>IF(H275&lt;=0,"Review: quantity &lt;= 0",IF(K275&gt;0.3,"Review: discount &gt; 30%",IF(G275="","Review: missing customer type","OK")))</f>
        <v/>
      </c>
    </row>
    <row r="276">
      <c r="A276" s="3" t="inlineStr">
        <is>
          <t>ORD-10275</t>
        </is>
      </c>
      <c r="B276" s="7" t="n">
        <v>45723</v>
      </c>
      <c r="C276" s="3" t="inlineStr">
        <is>
          <t>Home &amp; Lifestyle</t>
        </is>
      </c>
      <c r="D276" s="3" t="inlineStr">
        <is>
          <t>Backpacks</t>
        </is>
      </c>
      <c r="E276" s="3" t="inlineStr">
        <is>
          <t>Northern</t>
        </is>
      </c>
      <c r="F276" s="3" t="inlineStr">
        <is>
          <t>Retail Shop</t>
        </is>
      </c>
      <c r="G276" s="3" t="inlineStr">
        <is>
          <t>Returning</t>
        </is>
      </c>
      <c r="H276" s="3" t="n">
        <v>3</v>
      </c>
      <c r="I276" s="8" t="n">
        <v>125</v>
      </c>
      <c r="J276" s="8" t="n">
        <v>61.31</v>
      </c>
      <c r="K276" s="9" t="n">
        <v>0</v>
      </c>
      <c r="L276" s="8" t="n">
        <v>2.91</v>
      </c>
      <c r="M276" s="8">
        <f>H276*I276*(1-K276)</f>
        <v/>
      </c>
      <c r="N276" s="8">
        <f>H276*J276</f>
        <v/>
      </c>
      <c r="O276" s="8">
        <f>M276-N276-L276</f>
        <v/>
      </c>
      <c r="P276" s="10">
        <f>IFERROR(O276/M276,0)</f>
        <v/>
      </c>
      <c r="Q276" s="3">
        <f>IF(H276&lt;=0,"Review: quantity &lt;= 0",IF(K276&gt;0.3,"Review: discount &gt; 30%",IF(G276="","Review: missing customer type","OK")))</f>
        <v/>
      </c>
    </row>
    <row r="277">
      <c r="A277" s="3" t="inlineStr">
        <is>
          <t>ORD-10276</t>
        </is>
      </c>
      <c r="B277" s="7" t="n">
        <v>45875</v>
      </c>
      <c r="C277" s="3" t="inlineStr">
        <is>
          <t>Footwear</t>
        </is>
      </c>
      <c r="D277" s="3" t="inlineStr">
        <is>
          <t>Boots</t>
        </is>
      </c>
      <c r="E277" s="3" t="inlineStr">
        <is>
          <t>Greater Accra</t>
        </is>
      </c>
      <c r="F277" s="3" t="inlineStr">
        <is>
          <t>Online</t>
        </is>
      </c>
      <c r="G277" s="3" t="inlineStr">
        <is>
          <t>Returning</t>
        </is>
      </c>
      <c r="H277" s="3" t="n">
        <v>1</v>
      </c>
      <c r="I277" s="8" t="n">
        <v>230</v>
      </c>
      <c r="J277" s="8" t="n">
        <v>142.66</v>
      </c>
      <c r="K277" s="9" t="n">
        <v>0.15</v>
      </c>
      <c r="L277" s="8" t="n">
        <v>15.78</v>
      </c>
      <c r="M277" s="8">
        <f>H277*I277*(1-K277)</f>
        <v/>
      </c>
      <c r="N277" s="8">
        <f>H277*J277</f>
        <v/>
      </c>
      <c r="O277" s="8">
        <f>M277-N277-L277</f>
        <v/>
      </c>
      <c r="P277" s="10">
        <f>IFERROR(O277/M277,0)</f>
        <v/>
      </c>
      <c r="Q277" s="3">
        <f>IF(H277&lt;=0,"Review: quantity &lt;= 0",IF(K277&gt;0.3,"Review: discount &gt; 30%",IF(G277="","Review: missing customer type","OK")))</f>
        <v/>
      </c>
    </row>
    <row r="278">
      <c r="A278" s="3" t="inlineStr">
        <is>
          <t>ORD-10277</t>
        </is>
      </c>
      <c r="B278" s="7" t="n">
        <v>45830</v>
      </c>
      <c r="C278" s="3" t="inlineStr">
        <is>
          <t>Footwear</t>
        </is>
      </c>
      <c r="D278" s="3" t="inlineStr">
        <is>
          <t>Formal Shoes</t>
        </is>
      </c>
      <c r="E278" s="3" t="inlineStr">
        <is>
          <t>Greater Accra</t>
        </is>
      </c>
      <c r="F278" s="3" t="inlineStr">
        <is>
          <t>Online</t>
        </is>
      </c>
      <c r="G278" s="3" t="inlineStr">
        <is>
          <t>New</t>
        </is>
      </c>
      <c r="H278" s="3" t="n">
        <v>6</v>
      </c>
      <c r="I278" s="8" t="n">
        <v>290</v>
      </c>
      <c r="J278" s="8" t="n">
        <v>149.81</v>
      </c>
      <c r="K278" s="9" t="n">
        <v>0</v>
      </c>
      <c r="L278" s="8" t="n">
        <v>18.12</v>
      </c>
      <c r="M278" s="8">
        <f>H278*I278*(1-K278)</f>
        <v/>
      </c>
      <c r="N278" s="8">
        <f>H278*J278</f>
        <v/>
      </c>
      <c r="O278" s="8">
        <f>M278-N278-L278</f>
        <v/>
      </c>
      <c r="P278" s="10">
        <f>IFERROR(O278/M278,0)</f>
        <v/>
      </c>
      <c r="Q278" s="3">
        <f>IF(H278&lt;=0,"Review: quantity &lt;= 0",IF(K278&gt;0.3,"Review: discount &gt; 30%",IF(G278="","Review: missing customer type","OK")))</f>
        <v/>
      </c>
    </row>
    <row r="279">
      <c r="A279" s="3" t="inlineStr">
        <is>
          <t>ORD-10278</t>
        </is>
      </c>
      <c r="B279" s="7" t="n">
        <v>45786</v>
      </c>
      <c r="C279" s="3" t="inlineStr">
        <is>
          <t>Footwear</t>
        </is>
      </c>
      <c r="D279" s="3" t="inlineStr">
        <is>
          <t>Sandals</t>
        </is>
      </c>
      <c r="E279" s="3" t="inlineStr">
        <is>
          <t>Western</t>
        </is>
      </c>
      <c r="F279" s="3" t="inlineStr">
        <is>
          <t>Phone/WhatsApp</t>
        </is>
      </c>
      <c r="G279" s="3" t="inlineStr">
        <is>
          <t>Returning</t>
        </is>
      </c>
      <c r="H279" s="3" t="n">
        <v>1</v>
      </c>
      <c r="I279" s="8" t="n">
        <v>205</v>
      </c>
      <c r="J279" s="8" t="n">
        <v>109.17</v>
      </c>
      <c r="K279" s="9" t="n">
        <v>0</v>
      </c>
      <c r="L279" s="8" t="n">
        <v>29.63</v>
      </c>
      <c r="M279" s="8">
        <f>H279*I279*(1-K279)</f>
        <v/>
      </c>
      <c r="N279" s="8">
        <f>H279*J279</f>
        <v/>
      </c>
      <c r="O279" s="8">
        <f>M279-N279-L279</f>
        <v/>
      </c>
      <c r="P279" s="10">
        <f>IFERROR(O279/M279,0)</f>
        <v/>
      </c>
      <c r="Q279" s="3">
        <f>IF(H279&lt;=0,"Review: quantity &lt;= 0",IF(K279&gt;0.3,"Review: discount &gt; 30%",IF(G279="","Review: missing customer type","OK")))</f>
        <v/>
      </c>
    </row>
    <row r="280">
      <c r="A280" s="3" t="inlineStr">
        <is>
          <t>ORD-10279</t>
        </is>
      </c>
      <c r="B280" s="7" t="n">
        <v>45795</v>
      </c>
      <c r="C280" s="3" t="inlineStr">
        <is>
          <t>Clothing</t>
        </is>
      </c>
      <c r="D280" s="3" t="inlineStr">
        <is>
          <t>Shirts</t>
        </is>
      </c>
      <c r="E280" s="3" t="inlineStr">
        <is>
          <t>Greater Accra</t>
        </is>
      </c>
      <c r="F280" s="3" t="inlineStr">
        <is>
          <t>Online</t>
        </is>
      </c>
      <c r="G280" s="3" t="inlineStr">
        <is>
          <t>Returning</t>
        </is>
      </c>
      <c r="H280" s="3" t="n">
        <v>3</v>
      </c>
      <c r="I280" s="8" t="n">
        <v>125</v>
      </c>
      <c r="J280" s="8" t="n">
        <v>64.28</v>
      </c>
      <c r="K280" s="9" t="n">
        <v>0</v>
      </c>
      <c r="L280" s="8" t="n">
        <v>9.880000000000001</v>
      </c>
      <c r="M280" s="8">
        <f>H280*I280*(1-K280)</f>
        <v/>
      </c>
      <c r="N280" s="8">
        <f>H280*J280</f>
        <v/>
      </c>
      <c r="O280" s="8">
        <f>M280-N280-L280</f>
        <v/>
      </c>
      <c r="P280" s="10">
        <f>IFERROR(O280/M280,0)</f>
        <v/>
      </c>
      <c r="Q280" s="3">
        <f>IF(H280&lt;=0,"Review: quantity &lt;= 0",IF(K280&gt;0.3,"Review: discount &gt; 30%",IF(G280="","Review: missing customer type","OK")))</f>
        <v/>
      </c>
    </row>
    <row r="281">
      <c r="A281" s="3" t="inlineStr">
        <is>
          <t>ORD-10280</t>
        </is>
      </c>
      <c r="B281" s="7" t="n">
        <v>45844</v>
      </c>
      <c r="C281" s="3" t="inlineStr">
        <is>
          <t>Clothing</t>
        </is>
      </c>
      <c r="D281" s="3" t="inlineStr">
        <is>
          <t>Shirts</t>
        </is>
      </c>
      <c r="E281" s="3" t="inlineStr">
        <is>
          <t>Western</t>
        </is>
      </c>
      <c r="F281" s="3" t="inlineStr">
        <is>
          <t>Retail Shop</t>
        </is>
      </c>
      <c r="G281" s="3" t="inlineStr">
        <is>
          <t>Returning</t>
        </is>
      </c>
      <c r="H281" s="3" t="n">
        <v>1</v>
      </c>
      <c r="I281" s="8" t="n">
        <v>155</v>
      </c>
      <c r="J281" s="8" t="n">
        <v>81.17</v>
      </c>
      <c r="K281" s="9" t="n">
        <v>0</v>
      </c>
      <c r="L281" s="8" t="n">
        <v>4.9</v>
      </c>
      <c r="M281" s="8">
        <f>H281*I281*(1-K281)</f>
        <v/>
      </c>
      <c r="N281" s="8">
        <f>H281*J281</f>
        <v/>
      </c>
      <c r="O281" s="8">
        <f>M281-N281-L281</f>
        <v/>
      </c>
      <c r="P281" s="10">
        <f>IFERROR(O281/M281,0)</f>
        <v/>
      </c>
      <c r="Q281" s="3">
        <f>IF(H281&lt;=0,"Review: quantity &lt;= 0",IF(K281&gt;0.3,"Review: discount &gt; 30%",IF(G281="","Review: missing customer type","OK")))</f>
        <v/>
      </c>
    </row>
    <row r="282">
      <c r="A282" s="3" t="inlineStr">
        <is>
          <t>ORD-10281</t>
        </is>
      </c>
      <c r="B282" s="7" t="n">
        <v>45876</v>
      </c>
      <c r="C282" s="3" t="inlineStr">
        <is>
          <t>Footwear</t>
        </is>
      </c>
      <c r="D282" s="3" t="inlineStr">
        <is>
          <t>Boots</t>
        </is>
      </c>
      <c r="E282" s="3" t="inlineStr">
        <is>
          <t>Central</t>
        </is>
      </c>
      <c r="F282" s="3" t="inlineStr">
        <is>
          <t>Online</t>
        </is>
      </c>
      <c r="G282" s="3" t="inlineStr">
        <is>
          <t>Returning</t>
        </is>
      </c>
      <c r="H282" s="3" t="n">
        <v>2</v>
      </c>
      <c r="I282" s="8" t="n">
        <v>250</v>
      </c>
      <c r="J282" s="8" t="n">
        <v>136.66</v>
      </c>
      <c r="K282" s="9" t="n">
        <v>0</v>
      </c>
      <c r="L282" s="8" t="n">
        <v>27.4</v>
      </c>
      <c r="M282" s="8">
        <f>H282*I282*(1-K282)</f>
        <v/>
      </c>
      <c r="N282" s="8">
        <f>H282*J282</f>
        <v/>
      </c>
      <c r="O282" s="8">
        <f>M282-N282-L282</f>
        <v/>
      </c>
      <c r="P282" s="10">
        <f>IFERROR(O282/M282,0)</f>
        <v/>
      </c>
      <c r="Q282" s="3">
        <f>IF(H282&lt;=0,"Review: quantity &lt;= 0",IF(K282&gt;0.3,"Review: discount &gt; 30%",IF(G282="","Review: missing customer type","OK")))</f>
        <v/>
      </c>
    </row>
    <row r="283">
      <c r="A283" s="3" t="inlineStr">
        <is>
          <t>ORD-10282</t>
        </is>
      </c>
      <c r="B283" s="7" t="n">
        <v>45920</v>
      </c>
      <c r="C283" s="3" t="inlineStr">
        <is>
          <t>Accessories</t>
        </is>
      </c>
      <c r="D283" s="3" t="inlineStr">
        <is>
          <t>Sunglasses</t>
        </is>
      </c>
      <c r="E283" s="3" t="inlineStr">
        <is>
          <t>Greater Accra</t>
        </is>
      </c>
      <c r="F283" s="3" t="inlineStr">
        <is>
          <t>Retail Shop</t>
        </is>
      </c>
      <c r="G283" s="3" t="inlineStr">
        <is>
          <t>New</t>
        </is>
      </c>
      <c r="H283" s="3" t="n">
        <v>3</v>
      </c>
      <c r="I283" s="8" t="n">
        <v>60</v>
      </c>
      <c r="J283" s="8" t="n">
        <v>25.82</v>
      </c>
      <c r="K283" s="9" t="n">
        <v>0.05</v>
      </c>
      <c r="L283" s="8" t="n">
        <v>8.609999999999999</v>
      </c>
      <c r="M283" s="8">
        <f>H283*I283*(1-K283)</f>
        <v/>
      </c>
      <c r="N283" s="8">
        <f>H283*J283</f>
        <v/>
      </c>
      <c r="O283" s="8">
        <f>M283-N283-L283</f>
        <v/>
      </c>
      <c r="P283" s="10">
        <f>IFERROR(O283/M283,0)</f>
        <v/>
      </c>
      <c r="Q283" s="3">
        <f>IF(H283&lt;=0,"Review: quantity &lt;= 0",IF(K283&gt;0.3,"Review: discount &gt; 30%",IF(G283="","Review: missing customer type","OK")))</f>
        <v/>
      </c>
    </row>
    <row r="284">
      <c r="A284" s="3" t="inlineStr">
        <is>
          <t>ORD-10283</t>
        </is>
      </c>
      <c r="B284" s="7" t="n">
        <v>45829</v>
      </c>
      <c r="C284" s="3" t="inlineStr">
        <is>
          <t>Footwear</t>
        </is>
      </c>
      <c r="D284" s="3" t="inlineStr">
        <is>
          <t>Sneakers</t>
        </is>
      </c>
      <c r="E284" s="3" t="inlineStr">
        <is>
          <t>Northern</t>
        </is>
      </c>
      <c r="F284" s="3" t="inlineStr">
        <is>
          <t>Retail Shop</t>
        </is>
      </c>
      <c r="G284" s="3" t="inlineStr">
        <is>
          <t>Returning</t>
        </is>
      </c>
      <c r="H284" s="3" t="n">
        <v>3</v>
      </c>
      <c r="I284" s="8" t="n">
        <v>295</v>
      </c>
      <c r="J284" s="8" t="n">
        <v>169.81</v>
      </c>
      <c r="K284" s="9" t="n">
        <v>0.1</v>
      </c>
      <c r="L284" s="8" t="n">
        <v>0.59</v>
      </c>
      <c r="M284" s="8">
        <f>H284*I284*(1-K284)</f>
        <v/>
      </c>
      <c r="N284" s="8">
        <f>H284*J284</f>
        <v/>
      </c>
      <c r="O284" s="8">
        <f>M284-N284-L284</f>
        <v/>
      </c>
      <c r="P284" s="10">
        <f>IFERROR(O284/M284,0)</f>
        <v/>
      </c>
      <c r="Q284" s="3">
        <f>IF(H284&lt;=0,"Review: quantity &lt;= 0",IF(K284&gt;0.3,"Review: discount &gt; 30%",IF(G284="","Review: missing customer type","OK")))</f>
        <v/>
      </c>
    </row>
    <row r="285">
      <c r="A285" s="3" t="inlineStr">
        <is>
          <t>ORD-10284</t>
        </is>
      </c>
      <c r="B285" s="7" t="n">
        <v>45920</v>
      </c>
      <c r="C285" s="3" t="inlineStr">
        <is>
          <t>Home &amp; Lifestyle</t>
        </is>
      </c>
      <c r="D285" s="3" t="inlineStr">
        <is>
          <t>Travel Mugs</t>
        </is>
      </c>
      <c r="E285" s="3" t="inlineStr">
        <is>
          <t>Ashanti</t>
        </is>
      </c>
      <c r="F285" s="3" t="inlineStr">
        <is>
          <t>Retail Shop</t>
        </is>
      </c>
      <c r="G285" s="3" t="inlineStr">
        <is>
          <t>Returning</t>
        </is>
      </c>
      <c r="H285" s="3" t="n">
        <v>4</v>
      </c>
      <c r="I285" s="8" t="n">
        <v>120</v>
      </c>
      <c r="J285" s="8" t="n">
        <v>61.44</v>
      </c>
      <c r="K285" s="9" t="n">
        <v>0</v>
      </c>
      <c r="L285" s="8" t="n">
        <v>9.23</v>
      </c>
      <c r="M285" s="8">
        <f>H285*I285*(1-K285)</f>
        <v/>
      </c>
      <c r="N285" s="8">
        <f>H285*J285</f>
        <v/>
      </c>
      <c r="O285" s="8">
        <f>M285-N285-L285</f>
        <v/>
      </c>
      <c r="P285" s="10">
        <f>IFERROR(O285/M285,0)</f>
        <v/>
      </c>
      <c r="Q285" s="3">
        <f>IF(H285&lt;=0,"Review: quantity &lt;= 0",IF(K285&gt;0.3,"Review: discount &gt; 30%",IF(G285="","Review: missing customer type","OK")))</f>
        <v/>
      </c>
    </row>
    <row r="286">
      <c r="A286" s="3" t="inlineStr">
        <is>
          <t>ORD-10285</t>
        </is>
      </c>
      <c r="B286" s="7" t="n">
        <v>45680</v>
      </c>
      <c r="C286" s="3" t="inlineStr">
        <is>
          <t>Accessories</t>
        </is>
      </c>
      <c r="D286" s="3" t="inlineStr">
        <is>
          <t>Belts</t>
        </is>
      </c>
      <c r="E286" s="3" t="inlineStr">
        <is>
          <t>Greater Accra</t>
        </is>
      </c>
      <c r="F286" s="3" t="inlineStr">
        <is>
          <t>Online</t>
        </is>
      </c>
      <c r="G286" s="3" t="inlineStr">
        <is>
          <t>Returning</t>
        </is>
      </c>
      <c r="H286" s="3" t="n">
        <v>1</v>
      </c>
      <c r="I286" s="8" t="n">
        <v>95</v>
      </c>
      <c r="J286" s="8" t="n">
        <v>43.36</v>
      </c>
      <c r="K286" s="9" t="n">
        <v>0</v>
      </c>
      <c r="L286" s="8" t="n">
        <v>35.23</v>
      </c>
      <c r="M286" s="8">
        <f>H286*I286*(1-K286)</f>
        <v/>
      </c>
      <c r="N286" s="8">
        <f>H286*J286</f>
        <v/>
      </c>
      <c r="O286" s="8">
        <f>M286-N286-L286</f>
        <v/>
      </c>
      <c r="P286" s="10">
        <f>IFERROR(O286/M286,0)</f>
        <v/>
      </c>
      <c r="Q286" s="3">
        <f>IF(H286&lt;=0,"Review: quantity &lt;= 0",IF(K286&gt;0.3,"Review: discount &gt; 30%",IF(G286="","Review: missing customer type","OK")))</f>
        <v/>
      </c>
    </row>
    <row r="287">
      <c r="A287" s="3" t="inlineStr">
        <is>
          <t>ORD-10286</t>
        </is>
      </c>
      <c r="B287" s="7" t="n">
        <v>45901</v>
      </c>
      <c r="C287" s="3" t="inlineStr">
        <is>
          <t>Home &amp; Lifestyle</t>
        </is>
      </c>
      <c r="D287" s="3" t="inlineStr">
        <is>
          <t>Travel Mugs</t>
        </is>
      </c>
      <c r="E287" s="3" t="inlineStr">
        <is>
          <t>Western</t>
        </is>
      </c>
      <c r="F287" s="3" t="inlineStr">
        <is>
          <t>Phone/WhatsApp</t>
        </is>
      </c>
      <c r="G287" s="3" t="inlineStr">
        <is>
          <t>Returning</t>
        </is>
      </c>
      <c r="H287" s="3" t="n">
        <v>2</v>
      </c>
      <c r="I287" s="8" t="n">
        <v>70</v>
      </c>
      <c r="J287" s="8" t="n">
        <v>40.46</v>
      </c>
      <c r="K287" s="9" t="n">
        <v>0</v>
      </c>
      <c r="L287" s="8" t="n">
        <v>15.34</v>
      </c>
      <c r="M287" s="8">
        <f>H287*I287*(1-K287)</f>
        <v/>
      </c>
      <c r="N287" s="8">
        <f>H287*J287</f>
        <v/>
      </c>
      <c r="O287" s="8">
        <f>M287-N287-L287</f>
        <v/>
      </c>
      <c r="P287" s="10">
        <f>IFERROR(O287/M287,0)</f>
        <v/>
      </c>
      <c r="Q287" s="3">
        <f>IF(H287&lt;=0,"Review: quantity &lt;= 0",IF(K287&gt;0.3,"Review: discount &gt; 30%",IF(G287="","Review: missing customer type","OK")))</f>
        <v/>
      </c>
    </row>
    <row r="288">
      <c r="A288" s="3" t="inlineStr">
        <is>
          <t>ORD-10287</t>
        </is>
      </c>
      <c r="B288" s="7" t="n">
        <v>45742</v>
      </c>
      <c r="C288" s="3" t="inlineStr">
        <is>
          <t>Clothing</t>
        </is>
      </c>
      <c r="D288" s="3" t="inlineStr">
        <is>
          <t>Dresses</t>
        </is>
      </c>
      <c r="E288" s="3" t="inlineStr">
        <is>
          <t>Greater Accra</t>
        </is>
      </c>
      <c r="F288" s="3" t="inlineStr">
        <is>
          <t>Online</t>
        </is>
      </c>
      <c r="G288" s="3" t="inlineStr">
        <is>
          <t>Returning</t>
        </is>
      </c>
      <c r="H288" s="3" t="n">
        <v>2</v>
      </c>
      <c r="I288" s="8" t="n">
        <v>180</v>
      </c>
      <c r="J288" s="8" t="n">
        <v>89.54000000000001</v>
      </c>
      <c r="K288" s="9" t="n">
        <v>0</v>
      </c>
      <c r="L288" s="8" t="n">
        <v>12.1</v>
      </c>
      <c r="M288" s="8">
        <f>H288*I288*(1-K288)</f>
        <v/>
      </c>
      <c r="N288" s="8">
        <f>H288*J288</f>
        <v/>
      </c>
      <c r="O288" s="8">
        <f>M288-N288-L288</f>
        <v/>
      </c>
      <c r="P288" s="10">
        <f>IFERROR(O288/M288,0)</f>
        <v/>
      </c>
      <c r="Q288" s="3">
        <f>IF(H288&lt;=0,"Review: quantity &lt;= 0",IF(K288&gt;0.3,"Review: discount &gt; 30%",IF(G288="","Review: missing customer type","OK")))</f>
        <v/>
      </c>
    </row>
    <row r="289">
      <c r="A289" s="3" t="inlineStr">
        <is>
          <t>ORD-10288</t>
        </is>
      </c>
      <c r="B289" s="7" t="n">
        <v>45945</v>
      </c>
      <c r="C289" s="3" t="inlineStr">
        <is>
          <t>Accessories</t>
        </is>
      </c>
      <c r="D289" s="3" t="inlineStr">
        <is>
          <t>Sunglasses</t>
        </is>
      </c>
      <c r="E289" s="3" t="inlineStr">
        <is>
          <t>Unknown</t>
        </is>
      </c>
      <c r="F289" s="3" t="inlineStr">
        <is>
          <t>Retail Shop</t>
        </is>
      </c>
      <c r="G289" s="3" t="inlineStr">
        <is>
          <t>New</t>
        </is>
      </c>
      <c r="H289" s="3" t="n">
        <v>1</v>
      </c>
      <c r="I289" s="8" t="n">
        <v>85</v>
      </c>
      <c r="J289" s="8" t="n">
        <v>39.05</v>
      </c>
      <c r="K289" s="9" t="n">
        <v>0</v>
      </c>
      <c r="L289" s="8" t="n">
        <v>4.76</v>
      </c>
      <c r="M289" s="8">
        <f>H289*I289*(1-K289)</f>
        <v/>
      </c>
      <c r="N289" s="8">
        <f>H289*J289</f>
        <v/>
      </c>
      <c r="O289" s="8">
        <f>M289-N289-L289</f>
        <v/>
      </c>
      <c r="P289" s="10">
        <f>IFERROR(O289/M289,0)</f>
        <v/>
      </c>
      <c r="Q289" s="3">
        <f>IF(H289&lt;=0,"Review: quantity &lt;= 0",IF(K289&gt;0.3,"Review: discount &gt; 30%",IF(G289="","Review: missing customer type","OK")))</f>
        <v/>
      </c>
    </row>
    <row r="290">
      <c r="A290" s="3" t="inlineStr">
        <is>
          <t>ORD-10289</t>
        </is>
      </c>
      <c r="B290" s="7" t="n">
        <v>45750</v>
      </c>
      <c r="C290" s="3" t="inlineStr">
        <is>
          <t>Accessories</t>
        </is>
      </c>
      <c r="D290" s="3" t="inlineStr">
        <is>
          <t>Sunglasses</t>
        </is>
      </c>
      <c r="E290" s="3" t="inlineStr">
        <is>
          <t>Western</t>
        </is>
      </c>
      <c r="F290" s="3" t="inlineStr">
        <is>
          <t>Retail Shop</t>
        </is>
      </c>
      <c r="G290" s="3" t="inlineStr">
        <is>
          <t>Returning</t>
        </is>
      </c>
      <c r="H290" s="3" t="n">
        <v>4</v>
      </c>
      <c r="I290" s="8" t="n">
        <v>105</v>
      </c>
      <c r="J290" s="8" t="n">
        <v>52.12</v>
      </c>
      <c r="K290" s="9" t="n">
        <v>0</v>
      </c>
      <c r="L290" s="8" t="n">
        <v>8.449999999999999</v>
      </c>
      <c r="M290" s="8">
        <f>H290*I290*(1-K290)</f>
        <v/>
      </c>
      <c r="N290" s="8">
        <f>H290*J290</f>
        <v/>
      </c>
      <c r="O290" s="8">
        <f>M290-N290-L290</f>
        <v/>
      </c>
      <c r="P290" s="10">
        <f>IFERROR(O290/M290,0)</f>
        <v/>
      </c>
      <c r="Q290" s="3">
        <f>IF(H290&lt;=0,"Review: quantity &lt;= 0",IF(K290&gt;0.3,"Review: discount &gt; 30%",IF(G290="","Review: missing customer type","OK")))</f>
        <v/>
      </c>
    </row>
    <row r="291">
      <c r="A291" s="3" t="inlineStr">
        <is>
          <t>ORD-10290</t>
        </is>
      </c>
      <c r="B291" s="7" t="n">
        <v>45981</v>
      </c>
      <c r="C291" s="3" t="inlineStr">
        <is>
          <t>Clothing</t>
        </is>
      </c>
      <c r="D291" s="3" t="inlineStr">
        <is>
          <t>Dresses</t>
        </is>
      </c>
      <c r="E291" s="3" t="inlineStr">
        <is>
          <t>Western</t>
        </is>
      </c>
      <c r="F291" s="3" t="inlineStr">
        <is>
          <t>Online</t>
        </is>
      </c>
      <c r="G291" s="3" t="inlineStr">
        <is>
          <t>Returning</t>
        </is>
      </c>
      <c r="H291" s="3" t="n">
        <v>2</v>
      </c>
      <c r="I291" s="8" t="n">
        <v>155</v>
      </c>
      <c r="J291" s="8" t="n">
        <v>83.95999999999999</v>
      </c>
      <c r="K291" s="9" t="n">
        <v>0</v>
      </c>
      <c r="L291" s="8" t="n">
        <v>25.89</v>
      </c>
      <c r="M291" s="8">
        <f>H291*I291*(1-K291)</f>
        <v/>
      </c>
      <c r="N291" s="8">
        <f>H291*J291</f>
        <v/>
      </c>
      <c r="O291" s="8">
        <f>M291-N291-L291</f>
        <v/>
      </c>
      <c r="P291" s="10">
        <f>IFERROR(O291/M291,0)</f>
        <v/>
      </c>
      <c r="Q291" s="3">
        <f>IF(H291&lt;=0,"Review: quantity &lt;= 0",IF(K291&gt;0.3,"Review: discount &gt; 30%",IF(G291="","Review: missing customer type","OK")))</f>
        <v/>
      </c>
    </row>
    <row r="292">
      <c r="A292" s="3" t="inlineStr">
        <is>
          <t>ORD-10291</t>
        </is>
      </c>
      <c r="B292" s="7" t="n">
        <v>45892</v>
      </c>
      <c r="C292" s="3" t="inlineStr">
        <is>
          <t>Clothing</t>
        </is>
      </c>
      <c r="D292" s="3" t="inlineStr">
        <is>
          <t>Trousers</t>
        </is>
      </c>
      <c r="E292" s="3" t="inlineStr">
        <is>
          <t>Ashanti</t>
        </is>
      </c>
      <c r="F292" s="3" t="inlineStr">
        <is>
          <t>Retail Shop</t>
        </is>
      </c>
      <c r="G292" s="3" t="inlineStr">
        <is>
          <t>Returning</t>
        </is>
      </c>
      <c r="H292" s="3" t="n">
        <v>3</v>
      </c>
      <c r="I292" s="8" t="n">
        <v>110</v>
      </c>
      <c r="J292" s="8" t="n">
        <v>63.95</v>
      </c>
      <c r="K292" s="9" t="n">
        <v>0</v>
      </c>
      <c r="L292" s="8" t="n">
        <v>6.39</v>
      </c>
      <c r="M292" s="8">
        <f>H292*I292*(1-K292)</f>
        <v/>
      </c>
      <c r="N292" s="8">
        <f>H292*J292</f>
        <v/>
      </c>
      <c r="O292" s="8">
        <f>M292-N292-L292</f>
        <v/>
      </c>
      <c r="P292" s="10">
        <f>IFERROR(O292/M292,0)</f>
        <v/>
      </c>
      <c r="Q292" s="3">
        <f>IF(H292&lt;=0,"Review: quantity &lt;= 0",IF(K292&gt;0.3,"Review: discount &gt; 30%",IF(G292="","Review: missing customer type","OK")))</f>
        <v/>
      </c>
    </row>
    <row r="293">
      <c r="A293" s="3" t="inlineStr">
        <is>
          <t>ORD-10292</t>
        </is>
      </c>
      <c r="B293" s="7" t="n">
        <v>45898</v>
      </c>
      <c r="C293" s="3" t="inlineStr">
        <is>
          <t>Clothing</t>
        </is>
      </c>
      <c r="D293" s="3" t="inlineStr">
        <is>
          <t>Jackets</t>
        </is>
      </c>
      <c r="E293" s="3" t="inlineStr">
        <is>
          <t>Northern</t>
        </is>
      </c>
      <c r="F293" s="3" t="inlineStr">
        <is>
          <t>Phone/WhatsApp</t>
        </is>
      </c>
      <c r="G293" s="3" t="inlineStr">
        <is>
          <t>New</t>
        </is>
      </c>
      <c r="H293" s="3" t="n">
        <v>1</v>
      </c>
      <c r="I293" s="8" t="n">
        <v>170</v>
      </c>
      <c r="J293" s="8" t="n">
        <v>92.68000000000001</v>
      </c>
      <c r="K293" s="9" t="n">
        <v>0</v>
      </c>
      <c r="L293" s="8" t="n">
        <v>33.69</v>
      </c>
      <c r="M293" s="8">
        <f>H293*I293*(1-K293)</f>
        <v/>
      </c>
      <c r="N293" s="8">
        <f>H293*J293</f>
        <v/>
      </c>
      <c r="O293" s="8">
        <f>M293-N293-L293</f>
        <v/>
      </c>
      <c r="P293" s="10">
        <f>IFERROR(O293/M293,0)</f>
        <v/>
      </c>
      <c r="Q293" s="3">
        <f>IF(H293&lt;=0,"Review: quantity &lt;= 0",IF(K293&gt;0.3,"Review: discount &gt; 30%",IF(G293="","Review: missing customer type","OK")))</f>
        <v/>
      </c>
    </row>
    <row r="294">
      <c r="A294" s="3" t="inlineStr">
        <is>
          <t>ORD-10293</t>
        </is>
      </c>
      <c r="B294" s="7" t="n">
        <v>45719</v>
      </c>
      <c r="C294" s="3" t="inlineStr">
        <is>
          <t>Footwear</t>
        </is>
      </c>
      <c r="D294" s="3" t="inlineStr">
        <is>
          <t>Formal Shoes</t>
        </is>
      </c>
      <c r="E294" s="3" t="inlineStr">
        <is>
          <t>Western</t>
        </is>
      </c>
      <c r="F294" s="3" t="inlineStr">
        <is>
          <t>Online</t>
        </is>
      </c>
      <c r="G294" s="3" t="inlineStr">
        <is>
          <t>Returning</t>
        </is>
      </c>
      <c r="H294" s="3" t="n">
        <v>2</v>
      </c>
      <c r="I294" s="8" t="n">
        <v>275</v>
      </c>
      <c r="J294" s="8" t="n">
        <v>154.83</v>
      </c>
      <c r="K294" s="9" t="n">
        <v>0.05</v>
      </c>
      <c r="L294" s="8" t="n">
        <v>9.31</v>
      </c>
      <c r="M294" s="8">
        <f>H294*I294*(1-K294)</f>
        <v/>
      </c>
      <c r="N294" s="8">
        <f>H294*J294</f>
        <v/>
      </c>
      <c r="O294" s="8">
        <f>M294-N294-L294</f>
        <v/>
      </c>
      <c r="P294" s="10">
        <f>IFERROR(O294/M294,0)</f>
        <v/>
      </c>
      <c r="Q294" s="3">
        <f>IF(H294&lt;=0,"Review: quantity &lt;= 0",IF(K294&gt;0.3,"Review: discount &gt; 30%",IF(G294="","Review: missing customer type","OK")))</f>
        <v/>
      </c>
    </row>
    <row r="295">
      <c r="A295" s="3" t="inlineStr">
        <is>
          <t>ORD-10294</t>
        </is>
      </c>
      <c r="B295" s="7" t="n">
        <v>45926</v>
      </c>
      <c r="C295" s="3" t="inlineStr">
        <is>
          <t>Footwear</t>
        </is>
      </c>
      <c r="D295" s="3" t="inlineStr">
        <is>
          <t>Formal Shoes</t>
        </is>
      </c>
      <c r="E295" s="3" t="inlineStr">
        <is>
          <t>Western</t>
        </is>
      </c>
      <c r="F295" s="3" t="inlineStr">
        <is>
          <t>Online</t>
        </is>
      </c>
      <c r="G295" s="3" t="inlineStr">
        <is>
          <t>Returning</t>
        </is>
      </c>
      <c r="H295" s="3" t="n">
        <v>1</v>
      </c>
      <c r="I295" s="8" t="n">
        <v>265</v>
      </c>
      <c r="J295" s="8" t="n">
        <v>148.94</v>
      </c>
      <c r="K295" s="9" t="n">
        <v>0.1</v>
      </c>
      <c r="L295" s="8" t="n">
        <v>21.46</v>
      </c>
      <c r="M295" s="8">
        <f>H295*I295*(1-K295)</f>
        <v/>
      </c>
      <c r="N295" s="8">
        <f>H295*J295</f>
        <v/>
      </c>
      <c r="O295" s="8">
        <f>M295-N295-L295</f>
        <v/>
      </c>
      <c r="P295" s="10">
        <f>IFERROR(O295/M295,0)</f>
        <v/>
      </c>
      <c r="Q295" s="3">
        <f>IF(H295&lt;=0,"Review: quantity &lt;= 0",IF(K295&gt;0.3,"Review: discount &gt; 30%",IF(G295="","Review: missing customer type","OK")))</f>
        <v/>
      </c>
    </row>
    <row r="296">
      <c r="A296" s="3" t="inlineStr">
        <is>
          <t>ORD-10295</t>
        </is>
      </c>
      <c r="B296" s="7" t="n">
        <v>45776</v>
      </c>
      <c r="C296" s="3" t="inlineStr">
        <is>
          <t>Footwear</t>
        </is>
      </c>
      <c r="D296" s="3" t="inlineStr">
        <is>
          <t>Formal Shoes</t>
        </is>
      </c>
      <c r="E296" s="3" t="inlineStr">
        <is>
          <t>Greater Accra</t>
        </is>
      </c>
      <c r="F296" s="3" t="inlineStr">
        <is>
          <t>Retail Shop</t>
        </is>
      </c>
      <c r="G296" s="3" t="inlineStr">
        <is>
          <t>New</t>
        </is>
      </c>
      <c r="H296" s="3" t="n">
        <v>1</v>
      </c>
      <c r="I296" s="8" t="n">
        <v>340</v>
      </c>
      <c r="J296" s="8" t="n">
        <v>189.18</v>
      </c>
      <c r="K296" s="9" t="n">
        <v>0</v>
      </c>
      <c r="L296" s="8" t="n">
        <v>0.17</v>
      </c>
      <c r="M296" s="8">
        <f>H296*I296*(1-K296)</f>
        <v/>
      </c>
      <c r="N296" s="8">
        <f>H296*J296</f>
        <v/>
      </c>
      <c r="O296" s="8">
        <f>M296-N296-L296</f>
        <v/>
      </c>
      <c r="P296" s="10">
        <f>IFERROR(O296/M296,0)</f>
        <v/>
      </c>
      <c r="Q296" s="3">
        <f>IF(H296&lt;=0,"Review: quantity &lt;= 0",IF(K296&gt;0.3,"Review: discount &gt; 30%",IF(G296="","Review: missing customer type","OK")))</f>
        <v/>
      </c>
    </row>
    <row r="297">
      <c r="A297" s="3" t="inlineStr">
        <is>
          <t>ORD-10296</t>
        </is>
      </c>
      <c r="B297" s="7" t="n">
        <v>45924</v>
      </c>
      <c r="C297" s="3" t="inlineStr">
        <is>
          <t>Accessories</t>
        </is>
      </c>
      <c r="D297" s="3" t="inlineStr">
        <is>
          <t>Bags</t>
        </is>
      </c>
      <c r="E297" s="3" t="inlineStr">
        <is>
          <t>Greater Accra</t>
        </is>
      </c>
      <c r="F297" s="3" t="inlineStr">
        <is>
          <t>Phone/WhatsApp</t>
        </is>
      </c>
      <c r="G297" s="3" t="inlineStr">
        <is>
          <t>Returning</t>
        </is>
      </c>
      <c r="H297" s="3" t="n">
        <v>2</v>
      </c>
      <c r="I297" s="8" t="n">
        <v>125</v>
      </c>
      <c r="J297" s="8" t="n">
        <v>65.59999999999999</v>
      </c>
      <c r="K297" s="9" t="n">
        <v>0</v>
      </c>
      <c r="L297" s="8" t="n">
        <v>12.83</v>
      </c>
      <c r="M297" s="8">
        <f>H297*I297*(1-K297)</f>
        <v/>
      </c>
      <c r="N297" s="8">
        <f>H297*J297</f>
        <v/>
      </c>
      <c r="O297" s="8">
        <f>M297-N297-L297</f>
        <v/>
      </c>
      <c r="P297" s="10">
        <f>IFERROR(O297/M297,0)</f>
        <v/>
      </c>
      <c r="Q297" s="3">
        <f>IF(H297&lt;=0,"Review: quantity &lt;= 0",IF(K297&gt;0.3,"Review: discount &gt; 30%",IF(G297="","Review: missing customer type","OK")))</f>
        <v/>
      </c>
    </row>
    <row r="298">
      <c r="A298" s="3" t="inlineStr">
        <is>
          <t>ORD-10297</t>
        </is>
      </c>
      <c r="B298" s="7" t="n">
        <v>45756</v>
      </c>
      <c r="C298" s="3" t="inlineStr">
        <is>
          <t>Accessories</t>
        </is>
      </c>
      <c r="D298" s="3" t="inlineStr">
        <is>
          <t>Sunglasses</t>
        </is>
      </c>
      <c r="E298" s="3" t="inlineStr">
        <is>
          <t>Ashanti</t>
        </is>
      </c>
      <c r="F298" s="3" t="inlineStr">
        <is>
          <t>Online</t>
        </is>
      </c>
      <c r="G298" s="3" t="inlineStr">
        <is>
          <t>Returning</t>
        </is>
      </c>
      <c r="H298" s="3" t="n">
        <v>3</v>
      </c>
      <c r="I298" s="8" t="n">
        <v>140</v>
      </c>
      <c r="J298" s="8" t="n">
        <v>60.73</v>
      </c>
      <c r="K298" s="9" t="n">
        <v>0.05</v>
      </c>
      <c r="L298" s="8" t="n">
        <v>26.9</v>
      </c>
      <c r="M298" s="8">
        <f>H298*I298*(1-K298)</f>
        <v/>
      </c>
      <c r="N298" s="8">
        <f>H298*J298</f>
        <v/>
      </c>
      <c r="O298" s="8">
        <f>M298-N298-L298</f>
        <v/>
      </c>
      <c r="P298" s="10">
        <f>IFERROR(O298/M298,0)</f>
        <v/>
      </c>
      <c r="Q298" s="3">
        <f>IF(H298&lt;=0,"Review: quantity &lt;= 0",IF(K298&gt;0.3,"Review: discount &gt; 30%",IF(G298="","Review: missing customer type","OK")))</f>
        <v/>
      </c>
    </row>
    <row r="299">
      <c r="A299" s="3" t="inlineStr">
        <is>
          <t>ORD-10298</t>
        </is>
      </c>
      <c r="B299" s="7" t="n">
        <v>45815</v>
      </c>
      <c r="C299" s="3" t="inlineStr">
        <is>
          <t>Clothing</t>
        </is>
      </c>
      <c r="D299" s="3" t="inlineStr">
        <is>
          <t>Trousers</t>
        </is>
      </c>
      <c r="E299" s="3" t="inlineStr">
        <is>
          <t>Greater Accra</t>
        </is>
      </c>
      <c r="F299" s="3" t="inlineStr">
        <is>
          <t>Phone/WhatsApp</t>
        </is>
      </c>
      <c r="G299" s="3" t="inlineStr">
        <is>
          <t>Returning</t>
        </is>
      </c>
      <c r="H299" s="3" t="n">
        <v>5</v>
      </c>
      <c r="I299" s="8" t="n">
        <v>160</v>
      </c>
      <c r="J299" s="8" t="n">
        <v>92.69</v>
      </c>
      <c r="K299" s="9" t="n">
        <v>0.1</v>
      </c>
      <c r="L299" s="8" t="n">
        <v>25.86</v>
      </c>
      <c r="M299" s="8">
        <f>H299*I299*(1-K299)</f>
        <v/>
      </c>
      <c r="N299" s="8">
        <f>H299*J299</f>
        <v/>
      </c>
      <c r="O299" s="8">
        <f>M299-N299-L299</f>
        <v/>
      </c>
      <c r="P299" s="10">
        <f>IFERROR(O299/M299,0)</f>
        <v/>
      </c>
      <c r="Q299" s="3">
        <f>IF(H299&lt;=0,"Review: quantity &lt;= 0",IF(K299&gt;0.3,"Review: discount &gt; 30%",IF(G299="","Review: missing customer type","OK")))</f>
        <v/>
      </c>
    </row>
    <row r="300">
      <c r="A300" s="3" t="inlineStr">
        <is>
          <t>ORD-10299</t>
        </is>
      </c>
      <c r="B300" s="7" t="n">
        <v>45864</v>
      </c>
      <c r="C300" s="3" t="inlineStr">
        <is>
          <t>Home &amp; Lifestyle</t>
        </is>
      </c>
      <c r="D300" s="3" t="inlineStr">
        <is>
          <t>Travel Mugs</t>
        </is>
      </c>
      <c r="E300" s="3" t="inlineStr">
        <is>
          <t>Greater Accra</t>
        </is>
      </c>
      <c r="F300" s="3" t="inlineStr">
        <is>
          <t>Online</t>
        </is>
      </c>
      <c r="G300" s="3" t="inlineStr">
        <is>
          <t>Returning</t>
        </is>
      </c>
      <c r="H300" s="3" t="n">
        <v>1</v>
      </c>
      <c r="I300" s="8" t="n">
        <v>85</v>
      </c>
      <c r="J300" s="8" t="n">
        <v>45.17</v>
      </c>
      <c r="K300" s="9" t="n">
        <v>0.2</v>
      </c>
      <c r="L300" s="8" t="n">
        <v>39.64</v>
      </c>
      <c r="M300" s="8">
        <f>H300*I300*(1-K300)</f>
        <v/>
      </c>
      <c r="N300" s="8">
        <f>H300*J300</f>
        <v/>
      </c>
      <c r="O300" s="8">
        <f>M300-N300-L300</f>
        <v/>
      </c>
      <c r="P300" s="10">
        <f>IFERROR(O300/M300,0)</f>
        <v/>
      </c>
      <c r="Q300" s="3">
        <f>IF(H300&lt;=0,"Review: quantity &lt;= 0",IF(K300&gt;0.3,"Review: discount &gt; 30%",IF(G300="","Review: missing customer type","OK")))</f>
        <v/>
      </c>
    </row>
    <row r="301">
      <c r="A301" s="3" t="inlineStr">
        <is>
          <t>ORD-10300</t>
        </is>
      </c>
      <c r="B301" s="7" t="n">
        <v>45682</v>
      </c>
      <c r="C301" s="3" t="inlineStr">
        <is>
          <t>Footwear</t>
        </is>
      </c>
      <c r="D301" s="3" t="inlineStr">
        <is>
          <t>Sneakers</t>
        </is>
      </c>
      <c r="E301" s="3" t="inlineStr">
        <is>
          <t>Ashanti</t>
        </is>
      </c>
      <c r="F301" s="3" t="inlineStr">
        <is>
          <t>Retail Shop</t>
        </is>
      </c>
      <c r="G301" s="3" t="inlineStr">
        <is>
          <t>Returning</t>
        </is>
      </c>
      <c r="H301" s="3" t="n">
        <v>2</v>
      </c>
      <c r="I301" s="8" t="n">
        <v>205</v>
      </c>
      <c r="J301" s="8" t="n">
        <v>124.29</v>
      </c>
      <c r="K301" s="9" t="n">
        <v>0</v>
      </c>
      <c r="L301" s="8" t="n">
        <v>5.7</v>
      </c>
      <c r="M301" s="8">
        <f>H301*I301*(1-K301)</f>
        <v/>
      </c>
      <c r="N301" s="8">
        <f>H301*J301</f>
        <v/>
      </c>
      <c r="O301" s="8">
        <f>M301-N301-L301</f>
        <v/>
      </c>
      <c r="P301" s="10">
        <f>IFERROR(O301/M301,0)</f>
        <v/>
      </c>
      <c r="Q301" s="3">
        <f>IF(H301&lt;=0,"Review: quantity &lt;= 0",IF(K301&gt;0.3,"Review: discount &gt; 30%",IF(G301="","Review: missing customer type","OK")))</f>
        <v/>
      </c>
    </row>
    <row r="302">
      <c r="A302" s="3" t="inlineStr">
        <is>
          <t>ORD-10301</t>
        </is>
      </c>
      <c r="B302" s="7" t="n">
        <v>45903</v>
      </c>
      <c r="C302" s="3" t="inlineStr">
        <is>
          <t>Clothing</t>
        </is>
      </c>
      <c r="D302" s="3" t="inlineStr">
        <is>
          <t>Dresses</t>
        </is>
      </c>
      <c r="E302" s="3" t="inlineStr">
        <is>
          <t>Greater Accra</t>
        </is>
      </c>
      <c r="F302" s="3" t="inlineStr">
        <is>
          <t>Online</t>
        </is>
      </c>
      <c r="G302" s="3" t="inlineStr">
        <is>
          <t>Returning</t>
        </is>
      </c>
      <c r="H302" s="3" t="n">
        <v>8</v>
      </c>
      <c r="I302" s="8" t="n">
        <v>100</v>
      </c>
      <c r="J302" s="8" t="n">
        <v>50.64</v>
      </c>
      <c r="K302" s="9" t="n">
        <v>0.15</v>
      </c>
      <c r="L302" s="8" t="n">
        <v>33.23</v>
      </c>
      <c r="M302" s="8">
        <f>H302*I302*(1-K302)</f>
        <v/>
      </c>
      <c r="N302" s="8">
        <f>H302*J302</f>
        <v/>
      </c>
      <c r="O302" s="8">
        <f>M302-N302-L302</f>
        <v/>
      </c>
      <c r="P302" s="10">
        <f>IFERROR(O302/M302,0)</f>
        <v/>
      </c>
      <c r="Q302" s="3">
        <f>IF(H302&lt;=0,"Review: quantity &lt;= 0",IF(K302&gt;0.3,"Review: discount &gt; 30%",IF(G302="","Review: missing customer type","OK")))</f>
        <v/>
      </c>
    </row>
    <row r="303">
      <c r="A303" s="3" t="inlineStr">
        <is>
          <t>ORD-10302</t>
        </is>
      </c>
      <c r="B303" s="7" t="n">
        <v>45921</v>
      </c>
      <c r="C303" s="3" t="inlineStr">
        <is>
          <t>Clothing</t>
        </is>
      </c>
      <c r="D303" s="3" t="inlineStr">
        <is>
          <t>Jackets</t>
        </is>
      </c>
      <c r="E303" s="3" t="inlineStr">
        <is>
          <t>Greater Accra</t>
        </is>
      </c>
      <c r="F303" s="3" t="inlineStr">
        <is>
          <t>Retail Shop</t>
        </is>
      </c>
      <c r="G303" s="3" t="inlineStr">
        <is>
          <t>New</t>
        </is>
      </c>
      <c r="H303" s="3" t="n">
        <v>1</v>
      </c>
      <c r="I303" s="8" t="n">
        <v>90</v>
      </c>
      <c r="J303" s="8" t="n">
        <v>45.52</v>
      </c>
      <c r="K303" s="9" t="n">
        <v>0.2</v>
      </c>
      <c r="L303" s="8" t="n">
        <v>7.61</v>
      </c>
      <c r="M303" s="8">
        <f>H303*I303*(1-K303)</f>
        <v/>
      </c>
      <c r="N303" s="8">
        <f>H303*J303</f>
        <v/>
      </c>
      <c r="O303" s="8">
        <f>M303-N303-L303</f>
        <v/>
      </c>
      <c r="P303" s="10">
        <f>IFERROR(O303/M303,0)</f>
        <v/>
      </c>
      <c r="Q303" s="3">
        <f>IF(H303&lt;=0,"Review: quantity &lt;= 0",IF(K303&gt;0.3,"Review: discount &gt; 30%",IF(G303="","Review: missing customer type","OK")))</f>
        <v/>
      </c>
    </row>
    <row r="304">
      <c r="A304" s="3" t="inlineStr">
        <is>
          <t>ORD-10303</t>
        </is>
      </c>
      <c r="B304" s="7" t="n">
        <v>45743</v>
      </c>
      <c r="C304" s="3" t="inlineStr">
        <is>
          <t>Clothing</t>
        </is>
      </c>
      <c r="D304" s="3" t="inlineStr">
        <is>
          <t>Shirts</t>
        </is>
      </c>
      <c r="E304" s="3" t="inlineStr">
        <is>
          <t>Western</t>
        </is>
      </c>
      <c r="F304" s="3" t="inlineStr">
        <is>
          <t>Retail Shop</t>
        </is>
      </c>
      <c r="G304" s="3" t="inlineStr">
        <is>
          <t>New</t>
        </is>
      </c>
      <c r="H304" s="3" t="n">
        <v>1</v>
      </c>
      <c r="I304" s="8" t="n">
        <v>180</v>
      </c>
      <c r="J304" s="8" t="n">
        <v>104.67</v>
      </c>
      <c r="K304" s="9" t="n">
        <v>0.05</v>
      </c>
      <c r="L304" s="8" t="n">
        <v>5.06</v>
      </c>
      <c r="M304" s="8">
        <f>H304*I304*(1-K304)</f>
        <v/>
      </c>
      <c r="N304" s="8">
        <f>H304*J304</f>
        <v/>
      </c>
      <c r="O304" s="8">
        <f>M304-N304-L304</f>
        <v/>
      </c>
      <c r="P304" s="10">
        <f>IFERROR(O304/M304,0)</f>
        <v/>
      </c>
      <c r="Q304" s="3">
        <f>IF(H304&lt;=0,"Review: quantity &lt;= 0",IF(K304&gt;0.3,"Review: discount &gt; 30%",IF(G304="","Review: missing customer type","OK")))</f>
        <v/>
      </c>
    </row>
    <row r="305">
      <c r="A305" s="3" t="inlineStr">
        <is>
          <t>ORD-10304</t>
        </is>
      </c>
      <c r="B305" s="7" t="n">
        <v>46017</v>
      </c>
      <c r="C305" s="3" t="inlineStr">
        <is>
          <t>Footwear</t>
        </is>
      </c>
      <c r="D305" s="3" t="inlineStr">
        <is>
          <t>Formal Shoes</t>
        </is>
      </c>
      <c r="E305" s="3" t="inlineStr">
        <is>
          <t>Greater Accra</t>
        </is>
      </c>
      <c r="F305" s="3" t="inlineStr">
        <is>
          <t>Online</t>
        </is>
      </c>
      <c r="G305" s="3" t="inlineStr">
        <is>
          <t>Returning</t>
        </is>
      </c>
      <c r="H305" s="3" t="n">
        <v>2</v>
      </c>
      <c r="I305" s="8" t="n">
        <v>280</v>
      </c>
      <c r="J305" s="8" t="n">
        <v>151.55</v>
      </c>
      <c r="K305" s="9" t="n">
        <v>0</v>
      </c>
      <c r="L305" s="8" t="n">
        <v>37.64</v>
      </c>
      <c r="M305" s="8">
        <f>H305*I305*(1-K305)</f>
        <v/>
      </c>
      <c r="N305" s="8">
        <f>H305*J305</f>
        <v/>
      </c>
      <c r="O305" s="8">
        <f>M305-N305-L305</f>
        <v/>
      </c>
      <c r="P305" s="10">
        <f>IFERROR(O305/M305,0)</f>
        <v/>
      </c>
      <c r="Q305" s="3">
        <f>IF(H305&lt;=0,"Review: quantity &lt;= 0",IF(K305&gt;0.3,"Review: discount &gt; 30%",IF(G305="","Review: missing customer type","OK")))</f>
        <v/>
      </c>
    </row>
    <row r="306">
      <c r="A306" s="3" t="inlineStr">
        <is>
          <t>ORD-10305</t>
        </is>
      </c>
      <c r="B306" s="7" t="n">
        <v>45748</v>
      </c>
      <c r="C306" s="3" t="inlineStr">
        <is>
          <t>Footwear</t>
        </is>
      </c>
      <c r="D306" s="3" t="inlineStr">
        <is>
          <t>Sneakers</t>
        </is>
      </c>
      <c r="E306" s="3" t="inlineStr">
        <is>
          <t>Western</t>
        </is>
      </c>
      <c r="F306" s="3" t="inlineStr">
        <is>
          <t>Retail Shop</t>
        </is>
      </c>
      <c r="G306" s="3" t="inlineStr">
        <is>
          <t>Returning</t>
        </is>
      </c>
      <c r="H306" s="3" t="n">
        <v>5</v>
      </c>
      <c r="I306" s="8" t="n">
        <v>415</v>
      </c>
      <c r="J306" s="8" t="n">
        <v>213.54</v>
      </c>
      <c r="K306" s="9" t="n">
        <v>0.1</v>
      </c>
      <c r="L306" s="8" t="n">
        <v>6.64</v>
      </c>
      <c r="M306" s="8">
        <f>H306*I306*(1-K306)</f>
        <v/>
      </c>
      <c r="N306" s="8">
        <f>H306*J306</f>
        <v/>
      </c>
      <c r="O306" s="8">
        <f>M306-N306-L306</f>
        <v/>
      </c>
      <c r="P306" s="10">
        <f>IFERROR(O306/M306,0)</f>
        <v/>
      </c>
      <c r="Q306" s="3">
        <f>IF(H306&lt;=0,"Review: quantity &lt;= 0",IF(K306&gt;0.3,"Review: discount &gt; 30%",IF(G306="","Review: missing customer type","OK")))</f>
        <v/>
      </c>
    </row>
    <row r="307">
      <c r="A307" s="3" t="inlineStr">
        <is>
          <t>ORD-10306</t>
        </is>
      </c>
      <c r="B307" s="7" t="n">
        <v>45916</v>
      </c>
      <c r="C307" s="3" t="inlineStr">
        <is>
          <t>Clothing</t>
        </is>
      </c>
      <c r="D307" s="3" t="inlineStr">
        <is>
          <t>Shirts</t>
        </is>
      </c>
      <c r="E307" s="3" t="inlineStr">
        <is>
          <t>Ashanti</t>
        </is>
      </c>
      <c r="F307" s="3" t="inlineStr">
        <is>
          <t>Phone/WhatsApp</t>
        </is>
      </c>
      <c r="G307" s="3" t="inlineStr">
        <is>
          <t>Returning</t>
        </is>
      </c>
      <c r="H307" s="3" t="n">
        <v>1</v>
      </c>
      <c r="I307" s="8" t="n">
        <v>255</v>
      </c>
      <c r="J307" s="8" t="n">
        <v>117.22</v>
      </c>
      <c r="K307" s="9" t="n">
        <v>0.05</v>
      </c>
      <c r="L307" s="8" t="n">
        <v>40.46</v>
      </c>
      <c r="M307" s="8">
        <f>H307*I307*(1-K307)</f>
        <v/>
      </c>
      <c r="N307" s="8">
        <f>H307*J307</f>
        <v/>
      </c>
      <c r="O307" s="8">
        <f>M307-N307-L307</f>
        <v/>
      </c>
      <c r="P307" s="10">
        <f>IFERROR(O307/M307,0)</f>
        <v/>
      </c>
      <c r="Q307" s="3">
        <f>IF(H307&lt;=0,"Review: quantity &lt;= 0",IF(K307&gt;0.3,"Review: discount &gt; 30%",IF(G307="","Review: missing customer type","OK")))</f>
        <v/>
      </c>
    </row>
    <row r="308">
      <c r="A308" s="3" t="inlineStr">
        <is>
          <t>ORD-10307</t>
        </is>
      </c>
      <c r="B308" s="7" t="n">
        <v>45836</v>
      </c>
      <c r="C308" s="3" t="inlineStr">
        <is>
          <t>Clothing</t>
        </is>
      </c>
      <c r="D308" s="3" t="inlineStr">
        <is>
          <t>Shirts</t>
        </is>
      </c>
      <c r="E308" s="3" t="inlineStr">
        <is>
          <t>Western</t>
        </is>
      </c>
      <c r="F308" s="3" t="inlineStr">
        <is>
          <t>Retail Shop</t>
        </is>
      </c>
      <c r="G308" s="3" t="inlineStr">
        <is>
          <t>New</t>
        </is>
      </c>
      <c r="H308" s="3" t="n">
        <v>4</v>
      </c>
      <c r="I308" s="8" t="n">
        <v>160</v>
      </c>
      <c r="J308" s="8" t="n">
        <v>74.04000000000001</v>
      </c>
      <c r="K308" s="9" t="n">
        <v>0.05</v>
      </c>
      <c r="L308" s="8" t="n">
        <v>10.87</v>
      </c>
      <c r="M308" s="8">
        <f>H308*I308*(1-K308)</f>
        <v/>
      </c>
      <c r="N308" s="8">
        <f>H308*J308</f>
        <v/>
      </c>
      <c r="O308" s="8">
        <f>M308-N308-L308</f>
        <v/>
      </c>
      <c r="P308" s="10">
        <f>IFERROR(O308/M308,0)</f>
        <v/>
      </c>
      <c r="Q308" s="3">
        <f>IF(H308&lt;=0,"Review: quantity &lt;= 0",IF(K308&gt;0.3,"Review: discount &gt; 30%",IF(G308="","Review: missing customer type","OK")))</f>
        <v/>
      </c>
    </row>
    <row r="309">
      <c r="A309" s="3" t="inlineStr">
        <is>
          <t>ORD-10308</t>
        </is>
      </c>
      <c r="B309" s="7" t="n">
        <v>45933</v>
      </c>
      <c r="C309" s="3" t="inlineStr">
        <is>
          <t>Clothing</t>
        </is>
      </c>
      <c r="D309" s="3" t="inlineStr">
        <is>
          <t>Shirts</t>
        </is>
      </c>
      <c r="E309" s="3" t="inlineStr">
        <is>
          <t>Greater Accra</t>
        </is>
      </c>
      <c r="F309" s="3" t="inlineStr">
        <is>
          <t>Online</t>
        </is>
      </c>
      <c r="G309" s="3" t="inlineStr">
        <is>
          <t>Returning</t>
        </is>
      </c>
      <c r="H309" s="3" t="n">
        <v>1</v>
      </c>
      <c r="I309" s="8" t="n">
        <v>125</v>
      </c>
      <c r="J309" s="8" t="n">
        <v>62.81</v>
      </c>
      <c r="K309" s="9" t="n">
        <v>0</v>
      </c>
      <c r="L309" s="8" t="n">
        <v>9.92</v>
      </c>
      <c r="M309" s="8">
        <f>H309*I309*(1-K309)</f>
        <v/>
      </c>
      <c r="N309" s="8">
        <f>H309*J309</f>
        <v/>
      </c>
      <c r="O309" s="8">
        <f>M309-N309-L309</f>
        <v/>
      </c>
      <c r="P309" s="10">
        <f>IFERROR(O309/M309,0)</f>
        <v/>
      </c>
      <c r="Q309" s="3">
        <f>IF(H309&lt;=0,"Review: quantity &lt;= 0",IF(K309&gt;0.3,"Review: discount &gt; 30%",IF(G309="","Review: missing customer type","OK")))</f>
        <v/>
      </c>
    </row>
    <row r="310">
      <c r="A310" s="3" t="inlineStr">
        <is>
          <t>ORD-10309</t>
        </is>
      </c>
      <c r="B310" s="7" t="n">
        <v>45751</v>
      </c>
      <c r="C310" s="3" t="inlineStr">
        <is>
          <t>Clothing</t>
        </is>
      </c>
      <c r="D310" s="3" t="inlineStr">
        <is>
          <t>Jackets</t>
        </is>
      </c>
      <c r="E310" s="3" t="inlineStr">
        <is>
          <t>Greater Accra</t>
        </is>
      </c>
      <c r="F310" s="3" t="inlineStr">
        <is>
          <t>Online</t>
        </is>
      </c>
      <c r="G310" s="3" t="inlineStr">
        <is>
          <t>New</t>
        </is>
      </c>
      <c r="H310" s="3" t="n">
        <v>1</v>
      </c>
      <c r="I310" s="8" t="n">
        <v>190</v>
      </c>
      <c r="J310" s="8" t="n">
        <v>91.25</v>
      </c>
      <c r="K310" s="9" t="n">
        <v>0</v>
      </c>
      <c r="L310" s="8" t="n">
        <v>24</v>
      </c>
      <c r="M310" s="8">
        <f>H310*I310*(1-K310)</f>
        <v/>
      </c>
      <c r="N310" s="8">
        <f>H310*J310</f>
        <v/>
      </c>
      <c r="O310" s="8">
        <f>M310-N310-L310</f>
        <v/>
      </c>
      <c r="P310" s="10">
        <f>IFERROR(O310/M310,0)</f>
        <v/>
      </c>
      <c r="Q310" s="3">
        <f>IF(H310&lt;=0,"Review: quantity &lt;= 0",IF(K310&gt;0.3,"Review: discount &gt; 30%",IF(G310="","Review: missing customer type","OK")))</f>
        <v/>
      </c>
    </row>
    <row r="311">
      <c r="A311" s="3" t="inlineStr">
        <is>
          <t>ORD-10310</t>
        </is>
      </c>
      <c r="B311" s="7" t="n">
        <v>45819</v>
      </c>
      <c r="C311" s="3" t="inlineStr">
        <is>
          <t>Clothing</t>
        </is>
      </c>
      <c r="D311" s="3" t="inlineStr">
        <is>
          <t>Jackets</t>
        </is>
      </c>
      <c r="E311" s="3" t="inlineStr">
        <is>
          <t>Ashanti</t>
        </is>
      </c>
      <c r="F311" s="3" t="inlineStr">
        <is>
          <t>Retail Shop</t>
        </is>
      </c>
      <c r="G311" s="3" t="inlineStr">
        <is>
          <t>Returning</t>
        </is>
      </c>
      <c r="H311" s="3" t="n">
        <v>3</v>
      </c>
      <c r="I311" s="8" t="n">
        <v>215</v>
      </c>
      <c r="J311" s="8" t="n">
        <v>118.02</v>
      </c>
      <c r="K311" s="9" t="n">
        <v>0.1</v>
      </c>
      <c r="L311" s="8" t="n">
        <v>7.56</v>
      </c>
      <c r="M311" s="8">
        <f>H311*I311*(1-K311)</f>
        <v/>
      </c>
      <c r="N311" s="8">
        <f>H311*J311</f>
        <v/>
      </c>
      <c r="O311" s="8">
        <f>M311-N311-L311</f>
        <v/>
      </c>
      <c r="P311" s="10">
        <f>IFERROR(O311/M311,0)</f>
        <v/>
      </c>
      <c r="Q311" s="3">
        <f>IF(H311&lt;=0,"Review: quantity &lt;= 0",IF(K311&gt;0.3,"Review: discount &gt; 30%",IF(G311="","Review: missing customer type","OK")))</f>
        <v/>
      </c>
    </row>
    <row r="312">
      <c r="A312" s="3" t="inlineStr">
        <is>
          <t>ORD-10311</t>
        </is>
      </c>
      <c r="B312" s="7" t="n">
        <v>45695</v>
      </c>
      <c r="C312" s="3" t="inlineStr">
        <is>
          <t>Footwear</t>
        </is>
      </c>
      <c r="D312" s="3" t="inlineStr">
        <is>
          <t>Boots</t>
        </is>
      </c>
      <c r="E312" s="3" t="inlineStr">
        <is>
          <t>Greater Accra</t>
        </is>
      </c>
      <c r="F312" s="3" t="inlineStr">
        <is>
          <t>Retail Shop</t>
        </is>
      </c>
      <c r="G312" s="3" t="inlineStr">
        <is>
          <t>Returning</t>
        </is>
      </c>
      <c r="H312" s="3" t="n">
        <v>5</v>
      </c>
      <c r="I312" s="8" t="n">
        <v>275</v>
      </c>
      <c r="J312" s="8" t="n">
        <v>145.03</v>
      </c>
      <c r="K312" s="9" t="n">
        <v>0</v>
      </c>
      <c r="L312" s="8" t="n">
        <v>3.7</v>
      </c>
      <c r="M312" s="8">
        <f>H312*I312*(1-K312)</f>
        <v/>
      </c>
      <c r="N312" s="8">
        <f>H312*J312</f>
        <v/>
      </c>
      <c r="O312" s="8">
        <f>M312-N312-L312</f>
        <v/>
      </c>
      <c r="P312" s="10">
        <f>IFERROR(O312/M312,0)</f>
        <v/>
      </c>
      <c r="Q312" s="3">
        <f>IF(H312&lt;=0,"Review: quantity &lt;= 0",IF(K312&gt;0.3,"Review: discount &gt; 30%",IF(G312="","Review: missing customer type","OK")))</f>
        <v/>
      </c>
    </row>
    <row r="313">
      <c r="A313" s="3" t="inlineStr">
        <is>
          <t>ORD-10312</t>
        </is>
      </c>
      <c r="B313" s="7" t="n">
        <v>45840</v>
      </c>
      <c r="C313" s="3" t="inlineStr">
        <is>
          <t>Clothing</t>
        </is>
      </c>
      <c r="D313" s="3" t="inlineStr">
        <is>
          <t>Shirts</t>
        </is>
      </c>
      <c r="E313" s="3" t="inlineStr">
        <is>
          <t>Ashanti</t>
        </is>
      </c>
      <c r="F313" s="3" t="inlineStr">
        <is>
          <t>Phone/WhatsApp</t>
        </is>
      </c>
      <c r="G313" s="3" t="inlineStr">
        <is>
          <t>Returning</t>
        </is>
      </c>
      <c r="H313" s="3" t="n">
        <v>5</v>
      </c>
      <c r="I313" s="8" t="n">
        <v>215</v>
      </c>
      <c r="J313" s="8" t="n">
        <v>122.8</v>
      </c>
      <c r="K313" s="9" t="n">
        <v>0.15</v>
      </c>
      <c r="L313" s="8" t="n">
        <v>19.2</v>
      </c>
      <c r="M313" s="8">
        <f>H313*I313*(1-K313)</f>
        <v/>
      </c>
      <c r="N313" s="8">
        <f>H313*J313</f>
        <v/>
      </c>
      <c r="O313" s="8">
        <f>M313-N313-L313</f>
        <v/>
      </c>
      <c r="P313" s="10">
        <f>IFERROR(O313/M313,0)</f>
        <v/>
      </c>
      <c r="Q313" s="3">
        <f>IF(H313&lt;=0,"Review: quantity &lt;= 0",IF(K313&gt;0.3,"Review: discount &gt; 30%",IF(G313="","Review: missing customer type","OK")))</f>
        <v/>
      </c>
    </row>
    <row r="314">
      <c r="A314" s="3" t="inlineStr">
        <is>
          <t>ORD-10313</t>
        </is>
      </c>
      <c r="B314" s="7" t="n">
        <v>45690</v>
      </c>
      <c r="C314" s="3" t="inlineStr">
        <is>
          <t>Home &amp; Lifestyle</t>
        </is>
      </c>
      <c r="D314" s="3" t="inlineStr">
        <is>
          <t>Travel Mugs</t>
        </is>
      </c>
      <c r="E314" s="3" t="inlineStr">
        <is>
          <t>Greater Accra</t>
        </is>
      </c>
      <c r="F314" s="3" t="inlineStr">
        <is>
          <t>Phone/WhatsApp</t>
        </is>
      </c>
      <c r="G314" s="3" t="inlineStr">
        <is>
          <t>New</t>
        </is>
      </c>
      <c r="H314" s="3" t="n">
        <v>1</v>
      </c>
      <c r="I314" s="8" t="n">
        <v>80</v>
      </c>
      <c r="J314" s="8" t="n">
        <v>40.03</v>
      </c>
      <c r="K314" s="9" t="n">
        <v>0</v>
      </c>
      <c r="L314" s="8" t="n">
        <v>9.630000000000001</v>
      </c>
      <c r="M314" s="8">
        <f>H314*I314*(1-K314)</f>
        <v/>
      </c>
      <c r="N314" s="8">
        <f>H314*J314</f>
        <v/>
      </c>
      <c r="O314" s="8">
        <f>M314-N314-L314</f>
        <v/>
      </c>
      <c r="P314" s="10">
        <f>IFERROR(O314/M314,0)</f>
        <v/>
      </c>
      <c r="Q314" s="3">
        <f>IF(H314&lt;=0,"Review: quantity &lt;= 0",IF(K314&gt;0.3,"Review: discount &gt; 30%",IF(G314="","Review: missing customer type","OK")))</f>
        <v/>
      </c>
    </row>
    <row r="315">
      <c r="A315" s="3" t="inlineStr">
        <is>
          <t>ORD-10314</t>
        </is>
      </c>
      <c r="B315" s="7" t="n">
        <v>45768</v>
      </c>
      <c r="C315" s="3" t="inlineStr">
        <is>
          <t>Home &amp; Lifestyle</t>
        </is>
      </c>
      <c r="D315" s="3" t="inlineStr">
        <is>
          <t>Backpacks</t>
        </is>
      </c>
      <c r="E315" s="3" t="inlineStr">
        <is>
          <t>Greater Accra</t>
        </is>
      </c>
      <c r="F315" s="3" t="inlineStr">
        <is>
          <t>Phone/WhatsApp</t>
        </is>
      </c>
      <c r="G315" s="3" t="inlineStr">
        <is>
          <t>New</t>
        </is>
      </c>
      <c r="H315" s="3" t="n">
        <v>1</v>
      </c>
      <c r="I315" s="8" t="n">
        <v>180</v>
      </c>
      <c r="J315" s="8" t="n">
        <v>101.79</v>
      </c>
      <c r="K315" s="9" t="n">
        <v>0.05</v>
      </c>
      <c r="L315" s="8" t="n">
        <v>39.38</v>
      </c>
      <c r="M315" s="8">
        <f>H315*I315*(1-K315)</f>
        <v/>
      </c>
      <c r="N315" s="8">
        <f>H315*J315</f>
        <v/>
      </c>
      <c r="O315" s="8">
        <f>M315-N315-L315</f>
        <v/>
      </c>
      <c r="P315" s="10">
        <f>IFERROR(O315/M315,0)</f>
        <v/>
      </c>
      <c r="Q315" s="3">
        <f>IF(H315&lt;=0,"Review: quantity &lt;= 0",IF(K315&gt;0.3,"Review: discount &gt; 30%",IF(G315="","Review: missing customer type","OK")))</f>
        <v/>
      </c>
    </row>
    <row r="316">
      <c r="A316" s="3" t="inlineStr">
        <is>
          <t>ORD-10315</t>
        </is>
      </c>
      <c r="B316" s="7" t="n">
        <v>45820</v>
      </c>
      <c r="C316" s="3" t="inlineStr">
        <is>
          <t>Footwear</t>
        </is>
      </c>
      <c r="D316" s="3" t="inlineStr">
        <is>
          <t>Boots</t>
        </is>
      </c>
      <c r="E316" s="3" t="inlineStr">
        <is>
          <t>Western</t>
        </is>
      </c>
      <c r="F316" s="3" t="inlineStr">
        <is>
          <t>Online</t>
        </is>
      </c>
      <c r="G316" s="3" t="inlineStr">
        <is>
          <t>Returning</t>
        </is>
      </c>
      <c r="H316" s="3" t="n">
        <v>3</v>
      </c>
      <c r="I316" s="8" t="n">
        <v>230</v>
      </c>
      <c r="J316" s="8" t="n">
        <v>125.02</v>
      </c>
      <c r="K316" s="9" t="n">
        <v>0.05</v>
      </c>
      <c r="L316" s="8" t="n">
        <v>16.98</v>
      </c>
      <c r="M316" s="8">
        <f>H316*I316*(1-K316)</f>
        <v/>
      </c>
      <c r="N316" s="8">
        <f>H316*J316</f>
        <v/>
      </c>
      <c r="O316" s="8">
        <f>M316-N316-L316</f>
        <v/>
      </c>
      <c r="P316" s="10">
        <f>IFERROR(O316/M316,0)</f>
        <v/>
      </c>
      <c r="Q316" s="3">
        <f>IF(H316&lt;=0,"Review: quantity &lt;= 0",IF(K316&gt;0.3,"Review: discount &gt; 30%",IF(G316="","Review: missing customer type","OK")))</f>
        <v/>
      </c>
    </row>
    <row r="317">
      <c r="A317" s="3" t="inlineStr">
        <is>
          <t>ORD-10316</t>
        </is>
      </c>
      <c r="B317" s="7" t="n">
        <v>45777</v>
      </c>
      <c r="C317" s="3" t="inlineStr">
        <is>
          <t>Footwear</t>
        </is>
      </c>
      <c r="D317" s="3" t="inlineStr">
        <is>
          <t>Boots</t>
        </is>
      </c>
      <c r="E317" s="3" t="inlineStr">
        <is>
          <t>Western</t>
        </is>
      </c>
      <c r="F317" s="3" t="inlineStr">
        <is>
          <t>Retail Shop</t>
        </is>
      </c>
      <c r="G317" s="3" t="inlineStr">
        <is>
          <t>New</t>
        </is>
      </c>
      <c r="H317" s="3" t="n">
        <v>1</v>
      </c>
      <c r="I317" s="8" t="n">
        <v>375</v>
      </c>
      <c r="J317" s="8" t="n">
        <v>208.2</v>
      </c>
      <c r="K317" s="9" t="n">
        <v>0</v>
      </c>
      <c r="L317" s="8" t="n">
        <v>0.1</v>
      </c>
      <c r="M317" s="8">
        <f>H317*I317*(1-K317)</f>
        <v/>
      </c>
      <c r="N317" s="8">
        <f>H317*J317</f>
        <v/>
      </c>
      <c r="O317" s="8">
        <f>M317-N317-L317</f>
        <v/>
      </c>
      <c r="P317" s="10">
        <f>IFERROR(O317/M317,0)</f>
        <v/>
      </c>
      <c r="Q317" s="3">
        <f>IF(H317&lt;=0,"Review: quantity &lt;= 0",IF(K317&gt;0.3,"Review: discount &gt; 30%",IF(G317="","Review: missing customer type","OK")))</f>
        <v/>
      </c>
    </row>
    <row r="318">
      <c r="A318" s="3" t="inlineStr">
        <is>
          <t>ORD-10317</t>
        </is>
      </c>
      <c r="B318" s="7" t="n">
        <v>45759</v>
      </c>
      <c r="C318" s="3" t="inlineStr">
        <is>
          <t>Clothing</t>
        </is>
      </c>
      <c r="D318" s="3" t="inlineStr">
        <is>
          <t>Dresses</t>
        </is>
      </c>
      <c r="E318" s="3" t="inlineStr">
        <is>
          <t>Greater Accra</t>
        </is>
      </c>
      <c r="F318" s="3" t="inlineStr">
        <is>
          <t>Retail Shop</t>
        </is>
      </c>
      <c r="G318" s="3" t="inlineStr">
        <is>
          <t>Returning</t>
        </is>
      </c>
      <c r="H318" s="3" t="n">
        <v>4</v>
      </c>
      <c r="I318" s="8" t="n">
        <v>235</v>
      </c>
      <c r="J318" s="8" t="n">
        <v>131.79</v>
      </c>
      <c r="K318" s="9" t="n">
        <v>0.15</v>
      </c>
      <c r="L318" s="8" t="n">
        <v>3.16</v>
      </c>
      <c r="M318" s="8">
        <f>H318*I318*(1-K318)</f>
        <v/>
      </c>
      <c r="N318" s="8">
        <f>H318*J318</f>
        <v/>
      </c>
      <c r="O318" s="8">
        <f>M318-N318-L318</f>
        <v/>
      </c>
      <c r="P318" s="10">
        <f>IFERROR(O318/M318,0)</f>
        <v/>
      </c>
      <c r="Q318" s="3">
        <f>IF(H318&lt;=0,"Review: quantity &lt;= 0",IF(K318&gt;0.3,"Review: discount &gt; 30%",IF(G318="","Review: missing customer type","OK")))</f>
        <v/>
      </c>
    </row>
    <row r="319">
      <c r="A319" s="3" t="inlineStr">
        <is>
          <t>ORD-10318</t>
        </is>
      </c>
      <c r="B319" s="7" t="n">
        <v>45931</v>
      </c>
      <c r="C319" s="3" t="inlineStr">
        <is>
          <t>Clothing</t>
        </is>
      </c>
      <c r="D319" s="3" t="inlineStr">
        <is>
          <t>Dresses</t>
        </is>
      </c>
      <c r="E319" s="3" t="inlineStr">
        <is>
          <t>Western</t>
        </is>
      </c>
      <c r="F319" s="3" t="inlineStr">
        <is>
          <t>Phone/WhatsApp</t>
        </is>
      </c>
      <c r="G319" s="3" t="inlineStr">
        <is>
          <t>Returning</t>
        </is>
      </c>
      <c r="H319" s="3" t="n">
        <v>1</v>
      </c>
      <c r="I319" s="8" t="n">
        <v>110</v>
      </c>
      <c r="J319" s="8" t="n">
        <v>60.87</v>
      </c>
      <c r="K319" s="9" t="n">
        <v>0.05</v>
      </c>
      <c r="L319" s="8" t="n">
        <v>30.57</v>
      </c>
      <c r="M319" s="8">
        <f>H319*I319*(1-K319)</f>
        <v/>
      </c>
      <c r="N319" s="8">
        <f>H319*J319</f>
        <v/>
      </c>
      <c r="O319" s="8">
        <f>M319-N319-L319</f>
        <v/>
      </c>
      <c r="P319" s="10">
        <f>IFERROR(O319/M319,0)</f>
        <v/>
      </c>
      <c r="Q319" s="3">
        <f>IF(H319&lt;=0,"Review: quantity &lt;= 0",IF(K319&gt;0.3,"Review: discount &gt; 30%",IF(G319="","Review: missing customer type","OK")))</f>
        <v/>
      </c>
    </row>
    <row r="320">
      <c r="A320" s="3" t="inlineStr">
        <is>
          <t>ORD-10319</t>
        </is>
      </c>
      <c r="B320" s="7" t="n">
        <v>45925</v>
      </c>
      <c r="C320" s="3" t="inlineStr">
        <is>
          <t>Clothing</t>
        </is>
      </c>
      <c r="D320" s="3" t="inlineStr">
        <is>
          <t>Shirts</t>
        </is>
      </c>
      <c r="E320" s="3" t="inlineStr">
        <is>
          <t>Ashanti</t>
        </is>
      </c>
      <c r="F320" s="3" t="inlineStr">
        <is>
          <t>Phone/WhatsApp</t>
        </is>
      </c>
      <c r="G320" s="3" t="inlineStr">
        <is>
          <t>New</t>
        </is>
      </c>
      <c r="H320" s="3" t="n">
        <v>3</v>
      </c>
      <c r="I320" s="8" t="n">
        <v>105</v>
      </c>
      <c r="J320" s="8" t="n">
        <v>59.19</v>
      </c>
      <c r="K320" s="9" t="n">
        <v>0.05</v>
      </c>
      <c r="L320" s="8" t="n">
        <v>42.45</v>
      </c>
      <c r="M320" s="8">
        <f>H320*I320*(1-K320)</f>
        <v/>
      </c>
      <c r="N320" s="8">
        <f>H320*J320</f>
        <v/>
      </c>
      <c r="O320" s="8">
        <f>M320-N320-L320</f>
        <v/>
      </c>
      <c r="P320" s="10">
        <f>IFERROR(O320/M320,0)</f>
        <v/>
      </c>
      <c r="Q320" s="3">
        <f>IF(H320&lt;=0,"Review: quantity &lt;= 0",IF(K320&gt;0.3,"Review: discount &gt; 30%",IF(G320="","Review: missing customer type","OK")))</f>
        <v/>
      </c>
    </row>
    <row r="321">
      <c r="A321" s="3" t="inlineStr">
        <is>
          <t>ORD-10320</t>
        </is>
      </c>
      <c r="B321" s="7" t="n">
        <v>45777</v>
      </c>
      <c r="C321" s="3" t="inlineStr">
        <is>
          <t>Clothing</t>
        </is>
      </c>
      <c r="D321" s="3" t="inlineStr">
        <is>
          <t>Shirts</t>
        </is>
      </c>
      <c r="E321" s="3" t="inlineStr">
        <is>
          <t>Greater Accra</t>
        </is>
      </c>
      <c r="F321" s="3" t="inlineStr">
        <is>
          <t>Phone/WhatsApp</t>
        </is>
      </c>
      <c r="G321" s="3" t="inlineStr">
        <is>
          <t>New</t>
        </is>
      </c>
      <c r="H321" s="3" t="n">
        <v>1</v>
      </c>
      <c r="I321" s="8" t="n">
        <v>225</v>
      </c>
      <c r="J321" s="8" t="n">
        <v>122.23</v>
      </c>
      <c r="K321" s="9" t="n">
        <v>0.15</v>
      </c>
      <c r="L321" s="8" t="n">
        <v>31.26</v>
      </c>
      <c r="M321" s="8">
        <f>H321*I321*(1-K321)</f>
        <v/>
      </c>
      <c r="N321" s="8">
        <f>H321*J321</f>
        <v/>
      </c>
      <c r="O321" s="8">
        <f>M321-N321-L321</f>
        <v/>
      </c>
      <c r="P321" s="10">
        <f>IFERROR(O321/M321,0)</f>
        <v/>
      </c>
      <c r="Q321" s="3">
        <f>IF(H321&lt;=0,"Review: quantity &lt;= 0",IF(K321&gt;0.3,"Review: discount &gt; 30%",IF(G321="","Review: missing customer type","OK")))</f>
        <v/>
      </c>
    </row>
    <row r="322">
      <c r="A322" s="3" t="inlineStr">
        <is>
          <t>ORD-10321</t>
        </is>
      </c>
      <c r="B322" s="7" t="n">
        <v>45979</v>
      </c>
      <c r="C322" s="3" t="inlineStr">
        <is>
          <t>Accessories</t>
        </is>
      </c>
      <c r="D322" s="3" t="inlineStr">
        <is>
          <t>Belts</t>
        </is>
      </c>
      <c r="E322" s="3" t="inlineStr">
        <is>
          <t>Greater Accra</t>
        </is>
      </c>
      <c r="F322" s="3" t="inlineStr">
        <is>
          <t>Online</t>
        </is>
      </c>
      <c r="G322" s="3" t="inlineStr">
        <is>
          <t>New</t>
        </is>
      </c>
      <c r="H322" s="3" t="n">
        <v>9</v>
      </c>
      <c r="I322" s="8" t="n">
        <v>100</v>
      </c>
      <c r="J322" s="8" t="n">
        <v>50.82</v>
      </c>
      <c r="K322" s="9" t="n">
        <v>0</v>
      </c>
      <c r="L322" s="8" t="n">
        <v>21.91</v>
      </c>
      <c r="M322" s="8">
        <f>H322*I322*(1-K322)</f>
        <v/>
      </c>
      <c r="N322" s="8">
        <f>H322*J322</f>
        <v/>
      </c>
      <c r="O322" s="8">
        <f>M322-N322-L322</f>
        <v/>
      </c>
      <c r="P322" s="10">
        <f>IFERROR(O322/M322,0)</f>
        <v/>
      </c>
      <c r="Q322" s="3">
        <f>IF(H322&lt;=0,"Review: quantity &lt;= 0",IF(K322&gt;0.3,"Review: discount &gt; 30%",IF(G322="","Review: missing customer type","OK")))</f>
        <v/>
      </c>
    </row>
    <row r="323">
      <c r="A323" s="3" t="inlineStr">
        <is>
          <t>ORD-10322</t>
        </is>
      </c>
      <c r="B323" s="7" t="n">
        <v>45971</v>
      </c>
      <c r="C323" s="3" t="inlineStr">
        <is>
          <t>Clothing</t>
        </is>
      </c>
      <c r="D323" s="3" t="inlineStr">
        <is>
          <t>Jackets</t>
        </is>
      </c>
      <c r="E323" s="3" t="inlineStr">
        <is>
          <t>Greater Accra</t>
        </is>
      </c>
      <c r="F323" s="3" t="inlineStr">
        <is>
          <t>Retail Shop</t>
        </is>
      </c>
      <c r="G323" s="3" t="inlineStr">
        <is>
          <t>New</t>
        </is>
      </c>
      <c r="H323" s="3" t="n">
        <v>3</v>
      </c>
      <c r="I323" s="8" t="n">
        <v>150</v>
      </c>
      <c r="J323" s="8" t="n">
        <v>73.63</v>
      </c>
      <c r="K323" s="9" t="n">
        <v>0.15</v>
      </c>
      <c r="L323" s="8" t="n">
        <v>8.93</v>
      </c>
      <c r="M323" s="8">
        <f>H323*I323*(1-K323)</f>
        <v/>
      </c>
      <c r="N323" s="8">
        <f>H323*J323</f>
        <v/>
      </c>
      <c r="O323" s="8">
        <f>M323-N323-L323</f>
        <v/>
      </c>
      <c r="P323" s="10">
        <f>IFERROR(O323/M323,0)</f>
        <v/>
      </c>
      <c r="Q323" s="3">
        <f>IF(H323&lt;=0,"Review: quantity &lt;= 0",IF(K323&gt;0.3,"Review: discount &gt; 30%",IF(G323="","Review: missing customer type","OK")))</f>
        <v/>
      </c>
    </row>
    <row r="324">
      <c r="A324" s="3" t="inlineStr">
        <is>
          <t>ORD-10323</t>
        </is>
      </c>
      <c r="B324" s="7" t="n">
        <v>45761</v>
      </c>
      <c r="C324" s="3" t="inlineStr">
        <is>
          <t>Clothing</t>
        </is>
      </c>
      <c r="D324" s="3" t="inlineStr">
        <is>
          <t>Jackets</t>
        </is>
      </c>
      <c r="E324" s="3" t="inlineStr">
        <is>
          <t>Western</t>
        </is>
      </c>
      <c r="F324" s="3" t="inlineStr">
        <is>
          <t>Online</t>
        </is>
      </c>
      <c r="G324" s="3" t="inlineStr">
        <is>
          <t>Returning</t>
        </is>
      </c>
      <c r="H324" s="3" t="n">
        <v>1</v>
      </c>
      <c r="I324" s="8" t="n">
        <v>85</v>
      </c>
      <c r="J324" s="8" t="n">
        <v>41.57</v>
      </c>
      <c r="K324" s="9" t="n">
        <v>0</v>
      </c>
      <c r="L324" s="8" t="n">
        <v>14.05</v>
      </c>
      <c r="M324" s="8">
        <f>H324*I324*(1-K324)</f>
        <v/>
      </c>
      <c r="N324" s="8">
        <f>H324*J324</f>
        <v/>
      </c>
      <c r="O324" s="8">
        <f>M324-N324-L324</f>
        <v/>
      </c>
      <c r="P324" s="10">
        <f>IFERROR(O324/M324,0)</f>
        <v/>
      </c>
      <c r="Q324" s="3">
        <f>IF(H324&lt;=0,"Review: quantity &lt;= 0",IF(K324&gt;0.3,"Review: discount &gt; 30%",IF(G324="","Review: missing customer type","OK")))</f>
        <v/>
      </c>
    </row>
    <row r="325">
      <c r="A325" s="3" t="inlineStr">
        <is>
          <t>ORD-10324</t>
        </is>
      </c>
      <c r="B325" s="7" t="n">
        <v>45936</v>
      </c>
      <c r="C325" s="3" t="inlineStr">
        <is>
          <t>Footwear</t>
        </is>
      </c>
      <c r="D325" s="3" t="inlineStr">
        <is>
          <t>Formal Shoes</t>
        </is>
      </c>
      <c r="E325" s="3" t="inlineStr">
        <is>
          <t>Western</t>
        </is>
      </c>
      <c r="F325" s="3" t="inlineStr">
        <is>
          <t>Online</t>
        </is>
      </c>
      <c r="G325" s="3" t="inlineStr">
        <is>
          <t>Returning</t>
        </is>
      </c>
      <c r="H325" s="3" t="n">
        <v>8</v>
      </c>
      <c r="I325" s="8" t="n">
        <v>250</v>
      </c>
      <c r="J325" s="8" t="n">
        <v>144.1</v>
      </c>
      <c r="K325" s="9" t="n">
        <v>0</v>
      </c>
      <c r="L325" s="8" t="n">
        <v>29.01</v>
      </c>
      <c r="M325" s="8">
        <f>H325*I325*(1-K325)</f>
        <v/>
      </c>
      <c r="N325" s="8">
        <f>H325*J325</f>
        <v/>
      </c>
      <c r="O325" s="8">
        <f>M325-N325-L325</f>
        <v/>
      </c>
      <c r="P325" s="10">
        <f>IFERROR(O325/M325,0)</f>
        <v/>
      </c>
      <c r="Q325" s="3">
        <f>IF(H325&lt;=0,"Review: quantity &lt;= 0",IF(K325&gt;0.3,"Review: discount &gt; 30%",IF(G325="","Review: missing customer type","OK")))</f>
        <v/>
      </c>
    </row>
    <row r="326">
      <c r="A326" s="3" t="inlineStr">
        <is>
          <t>ORD-10325</t>
        </is>
      </c>
      <c r="B326" s="7" t="n">
        <v>45948</v>
      </c>
      <c r="C326" s="3" t="inlineStr">
        <is>
          <t>Footwear</t>
        </is>
      </c>
      <c r="D326" s="3" t="inlineStr">
        <is>
          <t>Sandals</t>
        </is>
      </c>
      <c r="E326" s="3" t="inlineStr">
        <is>
          <t>Central</t>
        </is>
      </c>
      <c r="F326" s="3" t="inlineStr">
        <is>
          <t>Online</t>
        </is>
      </c>
      <c r="G326" s="3" t="inlineStr">
        <is>
          <t>New</t>
        </is>
      </c>
      <c r="H326" s="3" t="n">
        <v>4</v>
      </c>
      <c r="I326" s="8" t="n">
        <v>285</v>
      </c>
      <c r="J326" s="8" t="n">
        <v>151.64</v>
      </c>
      <c r="K326" s="9" t="n">
        <v>0.15</v>
      </c>
      <c r="L326" s="8" t="n">
        <v>18.55</v>
      </c>
      <c r="M326" s="8">
        <f>H326*I326*(1-K326)</f>
        <v/>
      </c>
      <c r="N326" s="8">
        <f>H326*J326</f>
        <v/>
      </c>
      <c r="O326" s="8">
        <f>M326-N326-L326</f>
        <v/>
      </c>
      <c r="P326" s="10">
        <f>IFERROR(O326/M326,0)</f>
        <v/>
      </c>
      <c r="Q326" s="3">
        <f>IF(H326&lt;=0,"Review: quantity &lt;= 0",IF(K326&gt;0.3,"Review: discount &gt; 30%",IF(G326="","Review: missing customer type","OK")))</f>
        <v/>
      </c>
    </row>
    <row r="327">
      <c r="A327" s="3" t="inlineStr">
        <is>
          <t>ORD-10326</t>
        </is>
      </c>
      <c r="B327" s="7" t="n">
        <v>45834</v>
      </c>
      <c r="C327" s="3" t="inlineStr">
        <is>
          <t>Clothing</t>
        </is>
      </c>
      <c r="D327" s="3" t="inlineStr">
        <is>
          <t>Shirts</t>
        </is>
      </c>
      <c r="E327" s="3" t="inlineStr">
        <is>
          <t>Ashanti</t>
        </is>
      </c>
      <c r="F327" s="3" t="inlineStr">
        <is>
          <t>Phone/WhatsApp</t>
        </is>
      </c>
      <c r="G327" s="3" t="inlineStr">
        <is>
          <t>Returning</t>
        </is>
      </c>
      <c r="H327" s="3" t="n">
        <v>1</v>
      </c>
      <c r="I327" s="8" t="n">
        <v>145</v>
      </c>
      <c r="J327" s="8" t="n">
        <v>71.01000000000001</v>
      </c>
      <c r="K327" s="9" t="n">
        <v>0.15</v>
      </c>
      <c r="L327" s="8" t="n">
        <v>18.26</v>
      </c>
      <c r="M327" s="8">
        <f>H327*I327*(1-K327)</f>
        <v/>
      </c>
      <c r="N327" s="8">
        <f>H327*J327</f>
        <v/>
      </c>
      <c r="O327" s="8">
        <f>M327-N327-L327</f>
        <v/>
      </c>
      <c r="P327" s="10">
        <f>IFERROR(O327/M327,0)</f>
        <v/>
      </c>
      <c r="Q327" s="3">
        <f>IF(H327&lt;=0,"Review: quantity &lt;= 0",IF(K327&gt;0.3,"Review: discount &gt; 30%",IF(G327="","Review: missing customer type","OK")))</f>
        <v/>
      </c>
    </row>
    <row r="328">
      <c r="A328" s="3" t="inlineStr">
        <is>
          <t>ORD-10327</t>
        </is>
      </c>
      <c r="B328" s="7" t="n">
        <v>46022</v>
      </c>
      <c r="C328" s="3" t="inlineStr">
        <is>
          <t>Footwear</t>
        </is>
      </c>
      <c r="D328" s="3" t="inlineStr">
        <is>
          <t>Boots</t>
        </is>
      </c>
      <c r="E328" s="3" t="inlineStr">
        <is>
          <t>Greater Accra</t>
        </is>
      </c>
      <c r="F328" s="3" t="inlineStr">
        <is>
          <t>Retail Shop</t>
        </is>
      </c>
      <c r="G328" s="3" t="inlineStr">
        <is>
          <t>Returning</t>
        </is>
      </c>
      <c r="H328" s="3" t="n">
        <v>1</v>
      </c>
      <c r="I328" s="8" t="n">
        <v>295</v>
      </c>
      <c r="J328" s="8" t="n">
        <v>160.47</v>
      </c>
      <c r="K328" s="9" t="n">
        <v>0.2</v>
      </c>
      <c r="L328" s="8" t="n">
        <v>4.53</v>
      </c>
      <c r="M328" s="8">
        <f>H328*I328*(1-K328)</f>
        <v/>
      </c>
      <c r="N328" s="8">
        <f>H328*J328</f>
        <v/>
      </c>
      <c r="O328" s="8">
        <f>M328-N328-L328</f>
        <v/>
      </c>
      <c r="P328" s="10">
        <f>IFERROR(O328/M328,0)</f>
        <v/>
      </c>
      <c r="Q328" s="3">
        <f>IF(H328&lt;=0,"Review: quantity &lt;= 0",IF(K328&gt;0.3,"Review: discount &gt; 30%",IF(G328="","Review: missing customer type","OK")))</f>
        <v/>
      </c>
    </row>
    <row r="329">
      <c r="A329" s="3" t="inlineStr">
        <is>
          <t>ORD-10328</t>
        </is>
      </c>
      <c r="B329" s="7" t="n">
        <v>45703</v>
      </c>
      <c r="C329" s="3" t="inlineStr">
        <is>
          <t>Footwear</t>
        </is>
      </c>
      <c r="D329" s="3" t="inlineStr">
        <is>
          <t>Sandals</t>
        </is>
      </c>
      <c r="E329" s="3" t="inlineStr">
        <is>
          <t>Greater Accra</t>
        </is>
      </c>
      <c r="F329" s="3" t="inlineStr">
        <is>
          <t>Retail Shop</t>
        </is>
      </c>
      <c r="G329" s="3" t="inlineStr">
        <is>
          <t>Returning</t>
        </is>
      </c>
      <c r="H329" s="3" t="n">
        <v>1</v>
      </c>
      <c r="I329" s="8" t="n">
        <v>250</v>
      </c>
      <c r="J329" s="8" t="n">
        <v>159.31</v>
      </c>
      <c r="K329" s="9" t="n">
        <v>0.15</v>
      </c>
      <c r="L329" s="8" t="n">
        <v>11.27</v>
      </c>
      <c r="M329" s="8">
        <f>H329*I329*(1-K329)</f>
        <v/>
      </c>
      <c r="N329" s="8">
        <f>H329*J329</f>
        <v/>
      </c>
      <c r="O329" s="8">
        <f>M329-N329-L329</f>
        <v/>
      </c>
      <c r="P329" s="10">
        <f>IFERROR(O329/M329,0)</f>
        <v/>
      </c>
      <c r="Q329" s="3">
        <f>IF(H329&lt;=0,"Review: quantity &lt;= 0",IF(K329&gt;0.3,"Review: discount &gt; 30%",IF(G329="","Review: missing customer type","OK")))</f>
        <v/>
      </c>
    </row>
    <row r="330">
      <c r="A330" s="3" t="inlineStr">
        <is>
          <t>ORD-10329</t>
        </is>
      </c>
      <c r="B330" s="7" t="n">
        <v>45840</v>
      </c>
      <c r="C330" s="3" t="inlineStr">
        <is>
          <t>Footwear</t>
        </is>
      </c>
      <c r="D330" s="3" t="inlineStr">
        <is>
          <t>Sneakers</t>
        </is>
      </c>
      <c r="E330" s="3" t="inlineStr">
        <is>
          <t>Western</t>
        </is>
      </c>
      <c r="F330" s="3" t="inlineStr">
        <is>
          <t>Phone/WhatsApp</t>
        </is>
      </c>
      <c r="G330" s="3" t="inlineStr">
        <is>
          <t>New</t>
        </is>
      </c>
      <c r="H330" s="3" t="n">
        <v>2</v>
      </c>
      <c r="I330" s="8" t="n">
        <v>360</v>
      </c>
      <c r="J330" s="8" t="n">
        <v>189.6</v>
      </c>
      <c r="K330" s="9" t="n">
        <v>0.1</v>
      </c>
      <c r="L330" s="8" t="n">
        <v>9.5</v>
      </c>
      <c r="M330" s="8">
        <f>H330*I330*(1-K330)</f>
        <v/>
      </c>
      <c r="N330" s="8">
        <f>H330*J330</f>
        <v/>
      </c>
      <c r="O330" s="8">
        <f>M330-N330-L330</f>
        <v/>
      </c>
      <c r="P330" s="10">
        <f>IFERROR(O330/M330,0)</f>
        <v/>
      </c>
      <c r="Q330" s="3">
        <f>IF(H330&lt;=0,"Review: quantity &lt;= 0",IF(K330&gt;0.3,"Review: discount &gt; 30%",IF(G330="","Review: missing customer type","OK")))</f>
        <v/>
      </c>
    </row>
    <row r="331">
      <c r="A331" s="3" t="inlineStr">
        <is>
          <t>ORD-10330</t>
        </is>
      </c>
      <c r="B331" s="7" t="n">
        <v>45976</v>
      </c>
      <c r="C331" s="3" t="inlineStr">
        <is>
          <t>Clothing</t>
        </is>
      </c>
      <c r="D331" s="3" t="inlineStr">
        <is>
          <t>Jackets</t>
        </is>
      </c>
      <c r="E331" s="3" t="inlineStr">
        <is>
          <t>Ashanti</t>
        </is>
      </c>
      <c r="F331" s="3" t="inlineStr">
        <is>
          <t>Phone/WhatsApp</t>
        </is>
      </c>
      <c r="G331" s="3" t="inlineStr">
        <is>
          <t>Returning</t>
        </is>
      </c>
      <c r="H331" s="3" t="n">
        <v>2</v>
      </c>
      <c r="I331" s="8" t="n">
        <v>160</v>
      </c>
      <c r="J331" s="8" t="n">
        <v>85.78</v>
      </c>
      <c r="K331" s="9" t="n">
        <v>0</v>
      </c>
      <c r="L331" s="8" t="n">
        <v>41.18</v>
      </c>
      <c r="M331" s="8">
        <f>H331*I331*(1-K331)</f>
        <v/>
      </c>
      <c r="N331" s="8">
        <f>H331*J331</f>
        <v/>
      </c>
      <c r="O331" s="8">
        <f>M331-N331-L331</f>
        <v/>
      </c>
      <c r="P331" s="10">
        <f>IFERROR(O331/M331,0)</f>
        <v/>
      </c>
      <c r="Q331" s="3">
        <f>IF(H331&lt;=0,"Review: quantity &lt;= 0",IF(K331&gt;0.3,"Review: discount &gt; 30%",IF(G331="","Review: missing customer type","OK")))</f>
        <v/>
      </c>
    </row>
    <row r="332">
      <c r="A332" s="3" t="inlineStr">
        <is>
          <t>ORD-10331</t>
        </is>
      </c>
      <c r="B332" s="7" t="n">
        <v>45873</v>
      </c>
      <c r="C332" s="3" t="inlineStr">
        <is>
          <t>Clothing</t>
        </is>
      </c>
      <c r="D332" s="3" t="inlineStr">
        <is>
          <t>Jackets</t>
        </is>
      </c>
      <c r="E332" s="3" t="inlineStr">
        <is>
          <t>Ashanti</t>
        </is>
      </c>
      <c r="F332" s="3" t="inlineStr">
        <is>
          <t>Retail Shop</t>
        </is>
      </c>
      <c r="G332" s="3" t="inlineStr">
        <is>
          <t>Returning</t>
        </is>
      </c>
      <c r="H332" s="3" t="n">
        <v>2</v>
      </c>
      <c r="I332" s="8" t="n">
        <v>145</v>
      </c>
      <c r="J332" s="8" t="n">
        <v>71.84999999999999</v>
      </c>
      <c r="K332" s="9" t="n">
        <v>0.05</v>
      </c>
      <c r="L332" s="8" t="n">
        <v>5.65</v>
      </c>
      <c r="M332" s="8">
        <f>H332*I332*(1-K332)</f>
        <v/>
      </c>
      <c r="N332" s="8">
        <f>H332*J332</f>
        <v/>
      </c>
      <c r="O332" s="8">
        <f>M332-N332-L332</f>
        <v/>
      </c>
      <c r="P332" s="10">
        <f>IFERROR(O332/M332,0)</f>
        <v/>
      </c>
      <c r="Q332" s="3">
        <f>IF(H332&lt;=0,"Review: quantity &lt;= 0",IF(K332&gt;0.3,"Review: discount &gt; 30%",IF(G332="","Review: missing customer type","OK")))</f>
        <v/>
      </c>
    </row>
    <row r="333">
      <c r="A333" s="3" t="inlineStr">
        <is>
          <t>ORD-10332</t>
        </is>
      </c>
      <c r="B333" s="7" t="n">
        <v>45743</v>
      </c>
      <c r="C333" s="3" t="inlineStr">
        <is>
          <t>Clothing</t>
        </is>
      </c>
      <c r="D333" s="3" t="inlineStr">
        <is>
          <t>Dresses</t>
        </is>
      </c>
      <c r="E333" s="3" t="inlineStr">
        <is>
          <t>Central</t>
        </is>
      </c>
      <c r="F333" s="3" t="inlineStr">
        <is>
          <t>Retail Shop</t>
        </is>
      </c>
      <c r="G333" s="3" t="inlineStr">
        <is>
          <t>Returning</t>
        </is>
      </c>
      <c r="H333" s="3" t="n">
        <v>3</v>
      </c>
      <c r="I333" s="8" t="n">
        <v>245</v>
      </c>
      <c r="J333" s="8" t="n">
        <v>118.24</v>
      </c>
      <c r="K333" s="9" t="n">
        <v>0</v>
      </c>
      <c r="L333" s="8" t="n">
        <v>8.93</v>
      </c>
      <c r="M333" s="8">
        <f>H333*I333*(1-K333)</f>
        <v/>
      </c>
      <c r="N333" s="8">
        <f>H333*J333</f>
        <v/>
      </c>
      <c r="O333" s="8">
        <f>M333-N333-L333</f>
        <v/>
      </c>
      <c r="P333" s="10">
        <f>IFERROR(O333/M333,0)</f>
        <v/>
      </c>
      <c r="Q333" s="3">
        <f>IF(H333&lt;=0,"Review: quantity &lt;= 0",IF(K333&gt;0.3,"Review: discount &gt; 30%",IF(G333="","Review: missing customer type","OK")))</f>
        <v/>
      </c>
    </row>
    <row r="334">
      <c r="A334" s="3" t="inlineStr">
        <is>
          <t>ORD-10333</t>
        </is>
      </c>
      <c r="B334" s="7" t="n">
        <v>45974</v>
      </c>
      <c r="C334" s="3" t="inlineStr">
        <is>
          <t>Footwear</t>
        </is>
      </c>
      <c r="D334" s="3" t="inlineStr">
        <is>
          <t>Boots</t>
        </is>
      </c>
      <c r="E334" s="3" t="inlineStr">
        <is>
          <t>Ashanti</t>
        </is>
      </c>
      <c r="F334" s="3" t="inlineStr">
        <is>
          <t>Retail Shop</t>
        </is>
      </c>
      <c r="G334" s="3" t="inlineStr">
        <is>
          <t>New</t>
        </is>
      </c>
      <c r="H334" s="3" t="n">
        <v>2</v>
      </c>
      <c r="I334" s="8" t="n">
        <v>290</v>
      </c>
      <c r="J334" s="8" t="n">
        <v>167.66</v>
      </c>
      <c r="K334" s="9" t="n">
        <v>0</v>
      </c>
      <c r="L334" s="8" t="n">
        <v>7.98</v>
      </c>
      <c r="M334" s="8">
        <f>H334*I334*(1-K334)</f>
        <v/>
      </c>
      <c r="N334" s="8">
        <f>H334*J334</f>
        <v/>
      </c>
      <c r="O334" s="8">
        <f>M334-N334-L334</f>
        <v/>
      </c>
      <c r="P334" s="10">
        <f>IFERROR(O334/M334,0)</f>
        <v/>
      </c>
      <c r="Q334" s="3">
        <f>IF(H334&lt;=0,"Review: quantity &lt;= 0",IF(K334&gt;0.3,"Review: discount &gt; 30%",IF(G334="","Review: missing customer type","OK")))</f>
        <v/>
      </c>
    </row>
    <row r="335">
      <c r="A335" s="3" t="inlineStr">
        <is>
          <t>ORD-10334</t>
        </is>
      </c>
      <c r="B335" s="7" t="n">
        <v>45662</v>
      </c>
      <c r="C335" s="3" t="inlineStr">
        <is>
          <t>Footwear</t>
        </is>
      </c>
      <c r="D335" s="3" t="inlineStr">
        <is>
          <t>Sneakers</t>
        </is>
      </c>
      <c r="E335" s="3" t="inlineStr">
        <is>
          <t>Greater Accra</t>
        </is>
      </c>
      <c r="F335" s="3" t="inlineStr">
        <is>
          <t>Phone/WhatsApp</t>
        </is>
      </c>
      <c r="G335" s="3" t="inlineStr">
        <is>
          <t>New</t>
        </is>
      </c>
      <c r="H335" s="3" t="n">
        <v>1</v>
      </c>
      <c r="I335" s="8" t="n">
        <v>215</v>
      </c>
      <c r="J335" s="8" t="n">
        <v>120.62</v>
      </c>
      <c r="K335" s="9" t="n">
        <v>0.15</v>
      </c>
      <c r="L335" s="8" t="n">
        <v>37.63</v>
      </c>
      <c r="M335" s="8">
        <f>H335*I335*(1-K335)</f>
        <v/>
      </c>
      <c r="N335" s="8">
        <f>H335*J335</f>
        <v/>
      </c>
      <c r="O335" s="8">
        <f>M335-N335-L335</f>
        <v/>
      </c>
      <c r="P335" s="10">
        <f>IFERROR(O335/M335,0)</f>
        <v/>
      </c>
      <c r="Q335" s="3">
        <f>IF(H335&lt;=0,"Review: quantity &lt;= 0",IF(K335&gt;0.3,"Review: discount &gt; 30%",IF(G335="","Review: missing customer type","OK")))</f>
        <v/>
      </c>
    </row>
    <row r="336">
      <c r="A336" s="3" t="inlineStr">
        <is>
          <t>ORD-10335</t>
        </is>
      </c>
      <c r="B336" s="7" t="n">
        <v>45808</v>
      </c>
      <c r="C336" s="3" t="inlineStr">
        <is>
          <t>Home &amp; Lifestyle</t>
        </is>
      </c>
      <c r="D336" s="3" t="inlineStr">
        <is>
          <t>Travel Mugs</t>
        </is>
      </c>
      <c r="E336" s="3" t="inlineStr">
        <is>
          <t>Northern</t>
        </is>
      </c>
      <c r="F336" s="3" t="inlineStr">
        <is>
          <t>Online</t>
        </is>
      </c>
      <c r="G336" s="3" t="inlineStr">
        <is>
          <t>Returning</t>
        </is>
      </c>
      <c r="H336" s="3" t="n">
        <v>3</v>
      </c>
      <c r="I336" s="8" t="n">
        <v>155</v>
      </c>
      <c r="J336" s="8" t="n">
        <v>88.42</v>
      </c>
      <c r="K336" s="9" t="n">
        <v>0.15</v>
      </c>
      <c r="L336" s="8" t="n">
        <v>24.42</v>
      </c>
      <c r="M336" s="8">
        <f>H336*I336*(1-K336)</f>
        <v/>
      </c>
      <c r="N336" s="8">
        <f>H336*J336</f>
        <v/>
      </c>
      <c r="O336" s="8">
        <f>M336-N336-L336</f>
        <v/>
      </c>
      <c r="P336" s="10">
        <f>IFERROR(O336/M336,0)</f>
        <v/>
      </c>
      <c r="Q336" s="3">
        <f>IF(H336&lt;=0,"Review: quantity &lt;= 0",IF(K336&gt;0.3,"Review: discount &gt; 30%",IF(G336="","Review: missing customer type","OK")))</f>
        <v/>
      </c>
    </row>
    <row r="337">
      <c r="A337" s="3" t="inlineStr">
        <is>
          <t>ORD-10336</t>
        </is>
      </c>
      <c r="B337" s="7" t="n">
        <v>45990</v>
      </c>
      <c r="C337" s="3" t="inlineStr">
        <is>
          <t>Clothing</t>
        </is>
      </c>
      <c r="D337" s="3" t="inlineStr">
        <is>
          <t>Shirts</t>
        </is>
      </c>
      <c r="E337" s="3" t="inlineStr">
        <is>
          <t>Northern</t>
        </is>
      </c>
      <c r="F337" s="3" t="inlineStr">
        <is>
          <t>Online</t>
        </is>
      </c>
      <c r="G337" s="3" t="inlineStr">
        <is>
          <t>Returning</t>
        </is>
      </c>
      <c r="H337" s="3" t="n">
        <v>1</v>
      </c>
      <c r="I337" s="8" t="n">
        <v>140</v>
      </c>
      <c r="J337" s="8" t="n">
        <v>76.84</v>
      </c>
      <c r="K337" s="9" t="n">
        <v>0</v>
      </c>
      <c r="L337" s="8" t="n">
        <v>13.98</v>
      </c>
      <c r="M337" s="8">
        <f>H337*I337*(1-K337)</f>
        <v/>
      </c>
      <c r="N337" s="8">
        <f>H337*J337</f>
        <v/>
      </c>
      <c r="O337" s="8">
        <f>M337-N337-L337</f>
        <v/>
      </c>
      <c r="P337" s="10">
        <f>IFERROR(O337/M337,0)</f>
        <v/>
      </c>
      <c r="Q337" s="3">
        <f>IF(H337&lt;=0,"Review: quantity &lt;= 0",IF(K337&gt;0.3,"Review: discount &gt; 30%",IF(G337="","Review: missing customer type","OK")))</f>
        <v/>
      </c>
    </row>
    <row r="338">
      <c r="A338" s="3" t="inlineStr">
        <is>
          <t>ORD-10337</t>
        </is>
      </c>
      <c r="B338" s="7" t="n">
        <v>45880</v>
      </c>
      <c r="C338" s="3" t="inlineStr">
        <is>
          <t>Clothing</t>
        </is>
      </c>
      <c r="D338" s="3" t="inlineStr">
        <is>
          <t>Trousers</t>
        </is>
      </c>
      <c r="E338" s="3" t="inlineStr">
        <is>
          <t>Greater Accra</t>
        </is>
      </c>
      <c r="F338" s="3" t="inlineStr">
        <is>
          <t>Phone/WhatsApp</t>
        </is>
      </c>
      <c r="G338" s="3" t="inlineStr">
        <is>
          <t>Returning</t>
        </is>
      </c>
      <c r="H338" s="3" t="n">
        <v>3</v>
      </c>
      <c r="I338" s="8" t="n">
        <v>170</v>
      </c>
      <c r="J338" s="8" t="n">
        <v>89.43000000000001</v>
      </c>
      <c r="K338" s="9" t="n">
        <v>0</v>
      </c>
      <c r="L338" s="8" t="n">
        <v>23.61</v>
      </c>
      <c r="M338" s="8">
        <f>H338*I338*(1-K338)</f>
        <v/>
      </c>
      <c r="N338" s="8">
        <f>H338*J338</f>
        <v/>
      </c>
      <c r="O338" s="8">
        <f>M338-N338-L338</f>
        <v/>
      </c>
      <c r="P338" s="10">
        <f>IFERROR(O338/M338,0)</f>
        <v/>
      </c>
      <c r="Q338" s="3">
        <f>IF(H338&lt;=0,"Review: quantity &lt;= 0",IF(K338&gt;0.3,"Review: discount &gt; 30%",IF(G338="","Review: missing customer type","OK")))</f>
        <v/>
      </c>
    </row>
    <row r="339">
      <c r="A339" s="3" t="inlineStr">
        <is>
          <t>ORD-10338</t>
        </is>
      </c>
      <c r="B339" s="7" t="n">
        <v>45799</v>
      </c>
      <c r="C339" s="3" t="inlineStr">
        <is>
          <t>Clothing</t>
        </is>
      </c>
      <c r="D339" s="3" t="inlineStr">
        <is>
          <t>Jackets</t>
        </is>
      </c>
      <c r="E339" s="3" t="inlineStr">
        <is>
          <t>Ashanti</t>
        </is>
      </c>
      <c r="F339" s="3" t="inlineStr">
        <is>
          <t>Phone/WhatsApp</t>
        </is>
      </c>
      <c r="G339" s="3" t="inlineStr">
        <is>
          <t>Returning</t>
        </is>
      </c>
      <c r="H339" s="3" t="n">
        <v>1</v>
      </c>
      <c r="I339" s="8" t="n">
        <v>120</v>
      </c>
      <c r="J339" s="8" t="n">
        <v>59.15</v>
      </c>
      <c r="K339" s="9" t="n">
        <v>0.15</v>
      </c>
      <c r="L339" s="8" t="n">
        <v>39.26</v>
      </c>
      <c r="M339" s="8">
        <f>H339*I339*(1-K339)</f>
        <v/>
      </c>
      <c r="N339" s="8">
        <f>H339*J339</f>
        <v/>
      </c>
      <c r="O339" s="8">
        <f>M339-N339-L339</f>
        <v/>
      </c>
      <c r="P339" s="10">
        <f>IFERROR(O339/M339,0)</f>
        <v/>
      </c>
      <c r="Q339" s="3">
        <f>IF(H339&lt;=0,"Review: quantity &lt;= 0",IF(K339&gt;0.3,"Review: discount &gt; 30%",IF(G339="","Review: missing customer type","OK")))</f>
        <v/>
      </c>
    </row>
    <row r="340">
      <c r="A340" s="3" t="inlineStr">
        <is>
          <t>ORD-10339</t>
        </is>
      </c>
      <c r="B340" s="7" t="n">
        <v>45744</v>
      </c>
      <c r="C340" s="3" t="inlineStr">
        <is>
          <t>Footwear</t>
        </is>
      </c>
      <c r="D340" s="3" t="inlineStr">
        <is>
          <t>Sandals</t>
        </is>
      </c>
      <c r="E340" s="3" t="inlineStr">
        <is>
          <t>Ashanti</t>
        </is>
      </c>
      <c r="F340" s="3" t="inlineStr">
        <is>
          <t>Online</t>
        </is>
      </c>
      <c r="G340" s="3" t="inlineStr">
        <is>
          <t>Returning</t>
        </is>
      </c>
      <c r="H340" s="3" t="n">
        <v>2</v>
      </c>
      <c r="I340" s="8" t="n">
        <v>455</v>
      </c>
      <c r="J340" s="8" t="n">
        <v>274.19</v>
      </c>
      <c r="K340" s="9" t="n">
        <v>0</v>
      </c>
      <c r="L340" s="8" t="n">
        <v>29.03</v>
      </c>
      <c r="M340" s="8">
        <f>H340*I340*(1-K340)</f>
        <v/>
      </c>
      <c r="N340" s="8">
        <f>H340*J340</f>
        <v/>
      </c>
      <c r="O340" s="8">
        <f>M340-N340-L340</f>
        <v/>
      </c>
      <c r="P340" s="10">
        <f>IFERROR(O340/M340,0)</f>
        <v/>
      </c>
      <c r="Q340" s="3">
        <f>IF(H340&lt;=0,"Review: quantity &lt;= 0",IF(K340&gt;0.3,"Review: discount &gt; 30%",IF(G340="","Review: missing customer type","OK")))</f>
        <v/>
      </c>
    </row>
    <row r="341">
      <c r="A341" s="3" t="inlineStr">
        <is>
          <t>ORD-10340</t>
        </is>
      </c>
      <c r="B341" s="7" t="n">
        <v>45914</v>
      </c>
      <c r="C341" s="3" t="inlineStr">
        <is>
          <t>Footwear</t>
        </is>
      </c>
      <c r="D341" s="3" t="inlineStr">
        <is>
          <t>Sandals</t>
        </is>
      </c>
      <c r="E341" s="3" t="inlineStr">
        <is>
          <t>Ashanti</t>
        </is>
      </c>
      <c r="F341" s="3" t="inlineStr">
        <is>
          <t>Phone/WhatsApp</t>
        </is>
      </c>
      <c r="G341" s="3" t="inlineStr">
        <is>
          <t>Returning</t>
        </is>
      </c>
      <c r="H341" s="3" t="n">
        <v>2</v>
      </c>
      <c r="I341" s="8" t="n">
        <v>180</v>
      </c>
      <c r="J341" s="8" t="n">
        <v>111.95</v>
      </c>
      <c r="K341" s="9" t="n">
        <v>0</v>
      </c>
      <c r="L341" s="8" t="n">
        <v>40.46</v>
      </c>
      <c r="M341" s="8">
        <f>H341*I341*(1-K341)</f>
        <v/>
      </c>
      <c r="N341" s="8">
        <f>H341*J341</f>
        <v/>
      </c>
      <c r="O341" s="8">
        <f>M341-N341-L341</f>
        <v/>
      </c>
      <c r="P341" s="10">
        <f>IFERROR(O341/M341,0)</f>
        <v/>
      </c>
      <c r="Q341" s="3">
        <f>IF(H341&lt;=0,"Review: quantity &lt;= 0",IF(K341&gt;0.3,"Review: discount &gt; 30%",IF(G341="","Review: missing customer type","OK")))</f>
        <v/>
      </c>
    </row>
    <row r="342">
      <c r="A342" s="3" t="inlineStr">
        <is>
          <t>ORD-10341</t>
        </is>
      </c>
      <c r="B342" s="7" t="n">
        <v>45917</v>
      </c>
      <c r="C342" s="3" t="inlineStr">
        <is>
          <t>Accessories</t>
        </is>
      </c>
      <c r="D342" s="3" t="inlineStr">
        <is>
          <t>Bags</t>
        </is>
      </c>
      <c r="E342" s="3" t="inlineStr">
        <is>
          <t>Greater Accra</t>
        </is>
      </c>
      <c r="F342" s="3" t="inlineStr">
        <is>
          <t>Retail Shop</t>
        </is>
      </c>
      <c r="G342" s="3" t="inlineStr">
        <is>
          <t>New</t>
        </is>
      </c>
      <c r="H342" s="3" t="n">
        <v>3</v>
      </c>
      <c r="I342" s="8" t="n">
        <v>90</v>
      </c>
      <c r="J342" s="8" t="n">
        <v>41.04</v>
      </c>
      <c r="K342" s="9" t="n">
        <v>0</v>
      </c>
      <c r="L342" s="8" t="n">
        <v>3.87</v>
      </c>
      <c r="M342" s="8">
        <f>H342*I342*(1-K342)</f>
        <v/>
      </c>
      <c r="N342" s="8">
        <f>H342*J342</f>
        <v/>
      </c>
      <c r="O342" s="8">
        <f>M342-N342-L342</f>
        <v/>
      </c>
      <c r="P342" s="10">
        <f>IFERROR(O342/M342,0)</f>
        <v/>
      </c>
      <c r="Q342" s="3">
        <f>IF(H342&lt;=0,"Review: quantity &lt;= 0",IF(K342&gt;0.3,"Review: discount &gt; 30%",IF(G342="","Review: missing customer type","OK")))</f>
        <v/>
      </c>
    </row>
    <row r="343">
      <c r="A343" s="3" t="inlineStr">
        <is>
          <t>ORD-10342</t>
        </is>
      </c>
      <c r="B343" s="7" t="n">
        <v>45662</v>
      </c>
      <c r="C343" s="3" t="inlineStr">
        <is>
          <t>Clothing</t>
        </is>
      </c>
      <c r="D343" s="3" t="inlineStr">
        <is>
          <t>Jackets</t>
        </is>
      </c>
      <c r="E343" s="3" t="inlineStr">
        <is>
          <t>Ashanti</t>
        </is>
      </c>
      <c r="F343" s="3" t="inlineStr">
        <is>
          <t>Online</t>
        </is>
      </c>
      <c r="G343" s="3" t="inlineStr">
        <is>
          <t>Returning</t>
        </is>
      </c>
      <c r="H343" s="3" t="n">
        <v>1</v>
      </c>
      <c r="I343" s="8" t="n">
        <v>310</v>
      </c>
      <c r="J343" s="8" t="n">
        <v>144.17</v>
      </c>
      <c r="K343" s="9" t="n">
        <v>0.05</v>
      </c>
      <c r="L343" s="8" t="n">
        <v>44.54</v>
      </c>
      <c r="M343" s="8">
        <f>H343*I343*(1-K343)</f>
        <v/>
      </c>
      <c r="N343" s="8">
        <f>H343*J343</f>
        <v/>
      </c>
      <c r="O343" s="8">
        <f>M343-N343-L343</f>
        <v/>
      </c>
      <c r="P343" s="10">
        <f>IFERROR(O343/M343,0)</f>
        <v/>
      </c>
      <c r="Q343" s="3">
        <f>IF(H343&lt;=0,"Review: quantity &lt;= 0",IF(K343&gt;0.3,"Review: discount &gt; 30%",IF(G343="","Review: missing customer type","OK")))</f>
        <v/>
      </c>
    </row>
    <row r="344">
      <c r="A344" s="3" t="inlineStr">
        <is>
          <t>ORD-10343</t>
        </is>
      </c>
      <c r="B344" s="7" t="n">
        <v>45758</v>
      </c>
      <c r="C344" s="3" t="inlineStr">
        <is>
          <t>Accessories</t>
        </is>
      </c>
      <c r="D344" s="3" t="inlineStr">
        <is>
          <t>Sunglasses</t>
        </is>
      </c>
      <c r="E344" s="3" t="inlineStr">
        <is>
          <t>Ashanti</t>
        </is>
      </c>
      <c r="F344" s="3" t="inlineStr">
        <is>
          <t>Online</t>
        </is>
      </c>
      <c r="G344" s="3" t="inlineStr">
        <is>
          <t>Returning</t>
        </is>
      </c>
      <c r="H344" s="3" t="n">
        <v>1</v>
      </c>
      <c r="I344" s="8" t="n">
        <v>105</v>
      </c>
      <c r="J344" s="8" t="n">
        <v>50.06</v>
      </c>
      <c r="K344" s="9" t="n">
        <v>0</v>
      </c>
      <c r="L344" s="8" t="n">
        <v>29.38</v>
      </c>
      <c r="M344" s="8">
        <f>H344*I344*(1-K344)</f>
        <v/>
      </c>
      <c r="N344" s="8">
        <f>H344*J344</f>
        <v/>
      </c>
      <c r="O344" s="8">
        <f>M344-N344-L344</f>
        <v/>
      </c>
      <c r="P344" s="10">
        <f>IFERROR(O344/M344,0)</f>
        <v/>
      </c>
      <c r="Q344" s="3">
        <f>IF(H344&lt;=0,"Review: quantity &lt;= 0",IF(K344&gt;0.3,"Review: discount &gt; 30%",IF(G344="","Review: missing customer type","OK")))</f>
        <v/>
      </c>
    </row>
    <row r="345">
      <c r="A345" s="3" t="inlineStr">
        <is>
          <t>ORD-10344</t>
        </is>
      </c>
      <c r="B345" s="7" t="n">
        <v>45661</v>
      </c>
      <c r="C345" s="3" t="inlineStr">
        <is>
          <t>Home &amp; Lifestyle</t>
        </is>
      </c>
      <c r="D345" s="3" t="inlineStr">
        <is>
          <t>Travel Mugs</t>
        </is>
      </c>
      <c r="E345" s="3" t="inlineStr">
        <is>
          <t>Northern</t>
        </is>
      </c>
      <c r="F345" s="3" t="inlineStr">
        <is>
          <t>Online</t>
        </is>
      </c>
      <c r="G345" s="3" t="inlineStr">
        <is>
          <t>Returning</t>
        </is>
      </c>
      <c r="H345" s="3" t="n">
        <v>3</v>
      </c>
      <c r="I345" s="8" t="n">
        <v>115</v>
      </c>
      <c r="J345" s="8" t="n">
        <v>61.89</v>
      </c>
      <c r="K345" s="9" t="n">
        <v>0</v>
      </c>
      <c r="L345" s="8" t="n">
        <v>20.81</v>
      </c>
      <c r="M345" s="8">
        <f>H345*I345*(1-K345)</f>
        <v/>
      </c>
      <c r="N345" s="8">
        <f>H345*J345</f>
        <v/>
      </c>
      <c r="O345" s="8">
        <f>M345-N345-L345</f>
        <v/>
      </c>
      <c r="P345" s="10">
        <f>IFERROR(O345/M345,0)</f>
        <v/>
      </c>
      <c r="Q345" s="3">
        <f>IF(H345&lt;=0,"Review: quantity &lt;= 0",IF(K345&gt;0.3,"Review: discount &gt; 30%",IF(G345="","Review: missing customer type","OK")))</f>
        <v/>
      </c>
    </row>
    <row r="346">
      <c r="A346" s="3" t="inlineStr">
        <is>
          <t>ORD-10345</t>
        </is>
      </c>
      <c r="B346" s="7" t="n">
        <v>45810</v>
      </c>
      <c r="C346" s="3" t="inlineStr">
        <is>
          <t>Accessories</t>
        </is>
      </c>
      <c r="D346" s="3" t="inlineStr">
        <is>
          <t>Watches</t>
        </is>
      </c>
      <c r="E346" s="3" t="inlineStr">
        <is>
          <t>Ashanti</t>
        </is>
      </c>
      <c r="F346" s="3" t="inlineStr">
        <is>
          <t>Retail Shop</t>
        </is>
      </c>
      <c r="G346" s="3" t="inlineStr">
        <is>
          <t>New</t>
        </is>
      </c>
      <c r="H346" s="3" t="n">
        <v>2</v>
      </c>
      <c r="I346" s="8" t="n">
        <v>135</v>
      </c>
      <c r="J346" s="8" t="n">
        <v>67.53</v>
      </c>
      <c r="K346" s="9" t="n">
        <v>0</v>
      </c>
      <c r="L346" s="8" t="n">
        <v>11.45</v>
      </c>
      <c r="M346" s="8">
        <f>H346*I346*(1-K346)</f>
        <v/>
      </c>
      <c r="N346" s="8">
        <f>H346*J346</f>
        <v/>
      </c>
      <c r="O346" s="8">
        <f>M346-N346-L346</f>
        <v/>
      </c>
      <c r="P346" s="10">
        <f>IFERROR(O346/M346,0)</f>
        <v/>
      </c>
      <c r="Q346" s="3">
        <f>IF(H346&lt;=0,"Review: quantity &lt;= 0",IF(K346&gt;0.3,"Review: discount &gt; 30%",IF(G346="","Review: missing customer type","OK")))</f>
        <v/>
      </c>
    </row>
    <row r="347">
      <c r="A347" s="3" t="inlineStr">
        <is>
          <t>ORD-10346</t>
        </is>
      </c>
      <c r="B347" s="7" t="n">
        <v>45978</v>
      </c>
      <c r="C347" s="3" t="inlineStr">
        <is>
          <t>Clothing</t>
        </is>
      </c>
      <c r="D347" s="3" t="inlineStr">
        <is>
          <t>Jackets</t>
        </is>
      </c>
      <c r="E347" s="3" t="inlineStr">
        <is>
          <t>Central</t>
        </is>
      </c>
      <c r="F347" s="3" t="inlineStr">
        <is>
          <t>Online</t>
        </is>
      </c>
      <c r="G347" s="3" t="inlineStr">
        <is>
          <t>Returning</t>
        </is>
      </c>
      <c r="H347" s="3" t="n">
        <v>2</v>
      </c>
      <c r="I347" s="8" t="n">
        <v>180</v>
      </c>
      <c r="J347" s="8" t="n">
        <v>95.86</v>
      </c>
      <c r="K347" s="9" t="n">
        <v>0</v>
      </c>
      <c r="L347" s="8" t="n">
        <v>15.7</v>
      </c>
      <c r="M347" s="8">
        <f>H347*I347*(1-K347)</f>
        <v/>
      </c>
      <c r="N347" s="8">
        <f>H347*J347</f>
        <v/>
      </c>
      <c r="O347" s="8">
        <f>M347-N347-L347</f>
        <v/>
      </c>
      <c r="P347" s="10">
        <f>IFERROR(O347/M347,0)</f>
        <v/>
      </c>
      <c r="Q347" s="3">
        <f>IF(H347&lt;=0,"Review: quantity &lt;= 0",IF(K347&gt;0.3,"Review: discount &gt; 30%",IF(G347="","Review: missing customer type","OK")))</f>
        <v/>
      </c>
    </row>
    <row r="348">
      <c r="A348" s="3" t="inlineStr">
        <is>
          <t>ORD-10347</t>
        </is>
      </c>
      <c r="B348" s="7" t="n">
        <v>45845</v>
      </c>
      <c r="C348" s="3" t="inlineStr">
        <is>
          <t>Clothing</t>
        </is>
      </c>
      <c r="D348" s="3" t="inlineStr">
        <is>
          <t>Dresses</t>
        </is>
      </c>
      <c r="E348" s="3" t="inlineStr">
        <is>
          <t>Western</t>
        </is>
      </c>
      <c r="F348" s="3" t="inlineStr">
        <is>
          <t>Retail Shop</t>
        </is>
      </c>
      <c r="G348" s="3" t="inlineStr">
        <is>
          <t>New</t>
        </is>
      </c>
      <c r="H348" s="3" t="n">
        <v>1</v>
      </c>
      <c r="I348" s="8" t="n">
        <v>180</v>
      </c>
      <c r="J348" s="8" t="n">
        <v>82.58</v>
      </c>
      <c r="K348" s="9" t="n">
        <v>0.05</v>
      </c>
      <c r="L348" s="8" t="n">
        <v>1.09</v>
      </c>
      <c r="M348" s="8">
        <f>H348*I348*(1-K348)</f>
        <v/>
      </c>
      <c r="N348" s="8">
        <f>H348*J348</f>
        <v/>
      </c>
      <c r="O348" s="8">
        <f>M348-N348-L348</f>
        <v/>
      </c>
      <c r="P348" s="10">
        <f>IFERROR(O348/M348,0)</f>
        <v/>
      </c>
      <c r="Q348" s="3">
        <f>IF(H348&lt;=0,"Review: quantity &lt;= 0",IF(K348&gt;0.3,"Review: discount &gt; 30%",IF(G348="","Review: missing customer type","OK")))</f>
        <v/>
      </c>
    </row>
    <row r="349">
      <c r="A349" s="3" t="inlineStr">
        <is>
          <t>ORD-10348</t>
        </is>
      </c>
      <c r="B349" s="7" t="n">
        <v>45925</v>
      </c>
      <c r="C349" s="3" t="inlineStr">
        <is>
          <t>Footwear</t>
        </is>
      </c>
      <c r="D349" s="3" t="inlineStr">
        <is>
          <t>Sneakers</t>
        </is>
      </c>
      <c r="E349" s="3" t="inlineStr">
        <is>
          <t>Western</t>
        </is>
      </c>
      <c r="F349" s="3" t="inlineStr">
        <is>
          <t>Phone/WhatsApp</t>
        </is>
      </c>
      <c r="G349" s="3" t="inlineStr">
        <is>
          <t>Returning</t>
        </is>
      </c>
      <c r="H349" s="3" t="n">
        <v>4</v>
      </c>
      <c r="I349" s="8" t="n">
        <v>200</v>
      </c>
      <c r="J349" s="8" t="n">
        <v>124.39</v>
      </c>
      <c r="K349" s="9" t="n">
        <v>0</v>
      </c>
      <c r="L349" s="8" t="n">
        <v>18.53</v>
      </c>
      <c r="M349" s="8">
        <f>H349*I349*(1-K349)</f>
        <v/>
      </c>
      <c r="N349" s="8">
        <f>H349*J349</f>
        <v/>
      </c>
      <c r="O349" s="8">
        <f>M349-N349-L349</f>
        <v/>
      </c>
      <c r="P349" s="10">
        <f>IFERROR(O349/M349,0)</f>
        <v/>
      </c>
      <c r="Q349" s="3">
        <f>IF(H349&lt;=0,"Review: quantity &lt;= 0",IF(K349&gt;0.3,"Review: discount &gt; 30%",IF(G349="","Review: missing customer type","OK")))</f>
        <v/>
      </c>
    </row>
    <row r="350">
      <c r="A350" s="3" t="inlineStr">
        <is>
          <t>ORD-10349</t>
        </is>
      </c>
      <c r="B350" s="7" t="n">
        <v>45737</v>
      </c>
      <c r="C350" s="3" t="inlineStr">
        <is>
          <t>Footwear</t>
        </is>
      </c>
      <c r="D350" s="3" t="inlineStr">
        <is>
          <t>Formal Shoes</t>
        </is>
      </c>
      <c r="E350" s="3" t="inlineStr">
        <is>
          <t>Greater Accra</t>
        </is>
      </c>
      <c r="F350" s="3" t="inlineStr">
        <is>
          <t>Online</t>
        </is>
      </c>
      <c r="G350" s="3" t="inlineStr">
        <is>
          <t>New</t>
        </is>
      </c>
      <c r="H350" s="3" t="n">
        <v>1</v>
      </c>
      <c r="I350" s="8" t="n">
        <v>510</v>
      </c>
      <c r="J350" s="8" t="n">
        <v>309.79</v>
      </c>
      <c r="K350" s="9" t="n">
        <v>0.05</v>
      </c>
      <c r="L350" s="8" t="n">
        <v>10.34</v>
      </c>
      <c r="M350" s="8">
        <f>H350*I350*(1-K350)</f>
        <v/>
      </c>
      <c r="N350" s="8">
        <f>H350*J350</f>
        <v/>
      </c>
      <c r="O350" s="8">
        <f>M350-N350-L350</f>
        <v/>
      </c>
      <c r="P350" s="10">
        <f>IFERROR(O350/M350,0)</f>
        <v/>
      </c>
      <c r="Q350" s="3">
        <f>IF(H350&lt;=0,"Review: quantity &lt;= 0",IF(K350&gt;0.3,"Review: discount &gt; 30%",IF(G350="","Review: missing customer type","OK")))</f>
        <v/>
      </c>
    </row>
    <row r="351">
      <c r="A351" s="3" t="inlineStr">
        <is>
          <t>ORD-10350</t>
        </is>
      </c>
      <c r="B351" s="7" t="n">
        <v>45879</v>
      </c>
      <c r="C351" s="3" t="inlineStr">
        <is>
          <t>Accessories</t>
        </is>
      </c>
      <c r="D351" s="3" t="inlineStr">
        <is>
          <t>Belts</t>
        </is>
      </c>
      <c r="E351" s="3" t="inlineStr">
        <is>
          <t>Ashanti</t>
        </is>
      </c>
      <c r="F351" s="3" t="inlineStr">
        <is>
          <t>Retail Shop</t>
        </is>
      </c>
      <c r="G351" s="3" t="inlineStr">
        <is>
          <t>Returning</t>
        </is>
      </c>
      <c r="H351" s="3" t="n">
        <v>2</v>
      </c>
      <c r="I351" s="8" t="n">
        <v>95</v>
      </c>
      <c r="J351" s="8" t="n">
        <v>43.05</v>
      </c>
      <c r="K351" s="9" t="n">
        <v>0.1</v>
      </c>
      <c r="L351" s="8" t="n">
        <v>11.25</v>
      </c>
      <c r="M351" s="8">
        <f>H351*I351*(1-K351)</f>
        <v/>
      </c>
      <c r="N351" s="8">
        <f>H351*J351</f>
        <v/>
      </c>
      <c r="O351" s="8">
        <f>M351-N351-L351</f>
        <v/>
      </c>
      <c r="P351" s="10">
        <f>IFERROR(O351/M351,0)</f>
        <v/>
      </c>
      <c r="Q351" s="3">
        <f>IF(H351&lt;=0,"Review: quantity &lt;= 0",IF(K351&gt;0.3,"Review: discount &gt; 30%",IF(G351="","Review: missing customer type","OK")))</f>
        <v/>
      </c>
    </row>
    <row r="352">
      <c r="A352" s="3" t="inlineStr">
        <is>
          <t>ORD-10351</t>
        </is>
      </c>
      <c r="B352" s="7" t="n">
        <v>45800</v>
      </c>
      <c r="C352" s="3" t="inlineStr">
        <is>
          <t>Accessories</t>
        </is>
      </c>
      <c r="D352" s="3" t="inlineStr">
        <is>
          <t>Watches</t>
        </is>
      </c>
      <c r="E352" s="3" t="inlineStr">
        <is>
          <t>Greater Accra</t>
        </is>
      </c>
      <c r="F352" s="3" t="inlineStr">
        <is>
          <t>Phone/WhatsApp</t>
        </is>
      </c>
      <c r="G352" s="3" t="inlineStr">
        <is>
          <t>Returning</t>
        </is>
      </c>
      <c r="H352" s="3" t="n">
        <v>4</v>
      </c>
      <c r="I352" s="8" t="n">
        <v>110</v>
      </c>
      <c r="J352" s="8" t="n">
        <v>57.33</v>
      </c>
      <c r="K352" s="9" t="n">
        <v>0</v>
      </c>
      <c r="L352" s="8" t="n">
        <v>21.53</v>
      </c>
      <c r="M352" s="8">
        <f>H352*I352*(1-K352)</f>
        <v/>
      </c>
      <c r="N352" s="8">
        <f>H352*J352</f>
        <v/>
      </c>
      <c r="O352" s="8">
        <f>M352-N352-L352</f>
        <v/>
      </c>
      <c r="P352" s="10">
        <f>IFERROR(O352/M352,0)</f>
        <v/>
      </c>
      <c r="Q352" s="3">
        <f>IF(H352&lt;=0,"Review: quantity &lt;= 0",IF(K352&gt;0.3,"Review: discount &gt; 30%",IF(G352="","Review: missing customer type","OK")))</f>
        <v/>
      </c>
    </row>
    <row r="353">
      <c r="A353" s="3" t="inlineStr">
        <is>
          <t>ORD-10352</t>
        </is>
      </c>
      <c r="B353" s="7" t="n">
        <v>45913</v>
      </c>
      <c r="C353" s="3" t="inlineStr">
        <is>
          <t>Home &amp; Lifestyle</t>
        </is>
      </c>
      <c r="D353" s="3" t="inlineStr">
        <is>
          <t>Travel Mugs</t>
        </is>
      </c>
      <c r="E353" s="3" t="inlineStr">
        <is>
          <t>Western</t>
        </is>
      </c>
      <c r="F353" s="3" t="inlineStr">
        <is>
          <t>Phone/WhatsApp</t>
        </is>
      </c>
      <c r="G353" s="3" t="inlineStr">
        <is>
          <t>Returning</t>
        </is>
      </c>
      <c r="H353" s="3" t="n">
        <v>8</v>
      </c>
      <c r="I353" s="8" t="n">
        <v>170</v>
      </c>
      <c r="J353" s="8" t="n">
        <v>96.77</v>
      </c>
      <c r="K353" s="9" t="n">
        <v>0</v>
      </c>
      <c r="L353" s="8" t="n">
        <v>9.029999999999999</v>
      </c>
      <c r="M353" s="8">
        <f>H353*I353*(1-K353)</f>
        <v/>
      </c>
      <c r="N353" s="8">
        <f>H353*J353</f>
        <v/>
      </c>
      <c r="O353" s="8">
        <f>M353-N353-L353</f>
        <v/>
      </c>
      <c r="P353" s="10">
        <f>IFERROR(O353/M353,0)</f>
        <v/>
      </c>
      <c r="Q353" s="3">
        <f>IF(H353&lt;=0,"Review: quantity &lt;= 0",IF(K353&gt;0.3,"Review: discount &gt; 30%",IF(G353="","Review: missing customer type","OK")))</f>
        <v/>
      </c>
    </row>
    <row r="354">
      <c r="A354" s="3" t="inlineStr">
        <is>
          <t>ORD-10353</t>
        </is>
      </c>
      <c r="B354" s="7" t="n">
        <v>45817</v>
      </c>
      <c r="C354" s="3" t="inlineStr">
        <is>
          <t>Accessories</t>
        </is>
      </c>
      <c r="D354" s="3" t="inlineStr">
        <is>
          <t>Watches</t>
        </is>
      </c>
      <c r="E354" s="3" t="inlineStr">
        <is>
          <t>Greater Accra</t>
        </is>
      </c>
      <c r="F354" s="3" t="inlineStr">
        <is>
          <t>Retail Shop</t>
        </is>
      </c>
      <c r="G354" s="3" t="inlineStr">
        <is>
          <t>New</t>
        </is>
      </c>
      <c r="H354" s="3" t="n">
        <v>1</v>
      </c>
      <c r="I354" s="8" t="n">
        <v>180</v>
      </c>
      <c r="J354" s="8" t="n">
        <v>90.95999999999999</v>
      </c>
      <c r="K354" s="9" t="n">
        <v>0.1</v>
      </c>
      <c r="L354" s="8" t="n">
        <v>6.58</v>
      </c>
      <c r="M354" s="8">
        <f>H354*I354*(1-K354)</f>
        <v/>
      </c>
      <c r="N354" s="8">
        <f>H354*J354</f>
        <v/>
      </c>
      <c r="O354" s="8">
        <f>M354-N354-L354</f>
        <v/>
      </c>
      <c r="P354" s="10">
        <f>IFERROR(O354/M354,0)</f>
        <v/>
      </c>
      <c r="Q354" s="3">
        <f>IF(H354&lt;=0,"Review: quantity &lt;= 0",IF(K354&gt;0.3,"Review: discount &gt; 30%",IF(G354="","Review: missing customer type","OK")))</f>
        <v/>
      </c>
    </row>
    <row r="355">
      <c r="A355" s="3" t="inlineStr">
        <is>
          <t>ORD-10354</t>
        </is>
      </c>
      <c r="B355" s="7" t="n">
        <v>45707</v>
      </c>
      <c r="C355" s="3" t="inlineStr">
        <is>
          <t>Footwear</t>
        </is>
      </c>
      <c r="D355" s="3" t="inlineStr">
        <is>
          <t>Sandals</t>
        </is>
      </c>
      <c r="E355" s="3" t="inlineStr">
        <is>
          <t>Greater Accra</t>
        </is>
      </c>
      <c r="F355" s="3" t="inlineStr">
        <is>
          <t>Retail Shop</t>
        </is>
      </c>
      <c r="G355" s="3" t="inlineStr">
        <is>
          <t>New</t>
        </is>
      </c>
      <c r="H355" s="3" t="n">
        <v>3</v>
      </c>
      <c r="I355" s="8" t="n">
        <v>275</v>
      </c>
      <c r="J355" s="8" t="n">
        <v>139.22</v>
      </c>
      <c r="K355" s="9" t="n">
        <v>0.05</v>
      </c>
      <c r="L355" s="8" t="n">
        <v>10.64</v>
      </c>
      <c r="M355" s="8">
        <f>H355*I355*(1-K355)</f>
        <v/>
      </c>
      <c r="N355" s="8">
        <f>H355*J355</f>
        <v/>
      </c>
      <c r="O355" s="8">
        <f>M355-N355-L355</f>
        <v/>
      </c>
      <c r="P355" s="10">
        <f>IFERROR(O355/M355,0)</f>
        <v/>
      </c>
      <c r="Q355" s="3">
        <f>IF(H355&lt;=0,"Review: quantity &lt;= 0",IF(K355&gt;0.3,"Review: discount &gt; 30%",IF(G355="","Review: missing customer type","OK")))</f>
        <v/>
      </c>
    </row>
    <row r="356">
      <c r="A356" s="3" t="inlineStr">
        <is>
          <t>ORD-10355</t>
        </is>
      </c>
      <c r="B356" s="7" t="n">
        <v>45857</v>
      </c>
      <c r="C356" s="3" t="inlineStr">
        <is>
          <t>Accessories</t>
        </is>
      </c>
      <c r="D356" s="3" t="inlineStr">
        <is>
          <t>Sunglasses</t>
        </is>
      </c>
      <c r="E356" s="3" t="inlineStr">
        <is>
          <t>Western</t>
        </is>
      </c>
      <c r="F356" s="3" t="inlineStr">
        <is>
          <t>Online</t>
        </is>
      </c>
      <c r="G356" s="3" t="inlineStr">
        <is>
          <t>New</t>
        </is>
      </c>
      <c r="H356" s="3" t="n">
        <v>4</v>
      </c>
      <c r="I356" s="8" t="n">
        <v>70</v>
      </c>
      <c r="J356" s="8" t="n">
        <v>32.54</v>
      </c>
      <c r="K356" s="9" t="n">
        <v>0</v>
      </c>
      <c r="L356" s="8" t="n">
        <v>37.33</v>
      </c>
      <c r="M356" s="8">
        <f>H356*I356*(1-K356)</f>
        <v/>
      </c>
      <c r="N356" s="8">
        <f>H356*J356</f>
        <v/>
      </c>
      <c r="O356" s="8">
        <f>M356-N356-L356</f>
        <v/>
      </c>
      <c r="P356" s="10">
        <f>IFERROR(O356/M356,0)</f>
        <v/>
      </c>
      <c r="Q356" s="3">
        <f>IF(H356&lt;=0,"Review: quantity &lt;= 0",IF(K356&gt;0.3,"Review: discount &gt; 30%",IF(G356="","Review: missing customer type","OK")))</f>
        <v/>
      </c>
    </row>
    <row r="357">
      <c r="A357" s="3" t="inlineStr">
        <is>
          <t>ORD-10356</t>
        </is>
      </c>
      <c r="B357" s="7" t="n">
        <v>45825</v>
      </c>
      <c r="C357" s="3" t="inlineStr">
        <is>
          <t>Footwear</t>
        </is>
      </c>
      <c r="D357" s="3" t="inlineStr">
        <is>
          <t>Sneakers</t>
        </is>
      </c>
      <c r="E357" s="3" t="inlineStr">
        <is>
          <t>Greater Accra</t>
        </is>
      </c>
      <c r="F357" s="3" t="inlineStr">
        <is>
          <t>Online</t>
        </is>
      </c>
      <c r="G357" s="3" t="inlineStr">
        <is>
          <t>New</t>
        </is>
      </c>
      <c r="H357" s="3" t="n">
        <v>1</v>
      </c>
      <c r="I357" s="8" t="n">
        <v>255</v>
      </c>
      <c r="J357" s="8" t="n">
        <v>149.98</v>
      </c>
      <c r="K357" s="9" t="n">
        <v>0.05</v>
      </c>
      <c r="L357" s="8" t="n">
        <v>10.74</v>
      </c>
      <c r="M357" s="8">
        <f>H357*I357*(1-K357)</f>
        <v/>
      </c>
      <c r="N357" s="8">
        <f>H357*J357</f>
        <v/>
      </c>
      <c r="O357" s="8">
        <f>M357-N357-L357</f>
        <v/>
      </c>
      <c r="P357" s="10">
        <f>IFERROR(O357/M357,0)</f>
        <v/>
      </c>
      <c r="Q357" s="3">
        <f>IF(H357&lt;=0,"Review: quantity &lt;= 0",IF(K357&gt;0.3,"Review: discount &gt; 30%",IF(G357="","Review: missing customer type","OK")))</f>
        <v/>
      </c>
    </row>
    <row r="358">
      <c r="A358" s="3" t="inlineStr">
        <is>
          <t>ORD-10357</t>
        </is>
      </c>
      <c r="B358" s="7" t="n">
        <v>45686</v>
      </c>
      <c r="C358" s="3" t="inlineStr">
        <is>
          <t>Accessories</t>
        </is>
      </c>
      <c r="D358" s="3" t="inlineStr">
        <is>
          <t>Belts</t>
        </is>
      </c>
      <c r="E358" s="3" t="inlineStr">
        <is>
          <t>Ashanti</t>
        </is>
      </c>
      <c r="F358" s="3" t="inlineStr">
        <is>
          <t>Retail Shop</t>
        </is>
      </c>
      <c r="G358" s="3" t="inlineStr">
        <is>
          <t>Returning</t>
        </is>
      </c>
      <c r="H358" s="3" t="n">
        <v>2</v>
      </c>
      <c r="I358" s="8" t="n">
        <v>100</v>
      </c>
      <c r="J358" s="8" t="n">
        <v>42.84</v>
      </c>
      <c r="K358" s="9" t="n">
        <v>0.15</v>
      </c>
      <c r="L358" s="8" t="n">
        <v>4.88</v>
      </c>
      <c r="M358" s="8">
        <f>H358*I358*(1-K358)</f>
        <v/>
      </c>
      <c r="N358" s="8">
        <f>H358*J358</f>
        <v/>
      </c>
      <c r="O358" s="8">
        <f>M358-N358-L358</f>
        <v/>
      </c>
      <c r="P358" s="10">
        <f>IFERROR(O358/M358,0)</f>
        <v/>
      </c>
      <c r="Q358" s="3">
        <f>IF(H358&lt;=0,"Review: quantity &lt;= 0",IF(K358&gt;0.3,"Review: discount &gt; 30%",IF(G358="","Review: missing customer type","OK")))</f>
        <v/>
      </c>
    </row>
    <row r="359">
      <c r="A359" s="3" t="inlineStr">
        <is>
          <t>ORD-10358</t>
        </is>
      </c>
      <c r="B359" s="7" t="n">
        <v>45737</v>
      </c>
      <c r="C359" s="3" t="inlineStr">
        <is>
          <t>Accessories</t>
        </is>
      </c>
      <c r="D359" s="3" t="inlineStr">
        <is>
          <t>Sunglasses</t>
        </is>
      </c>
      <c r="E359" s="3" t="inlineStr">
        <is>
          <t>Greater Accra</t>
        </is>
      </c>
      <c r="F359" s="3" t="inlineStr">
        <is>
          <t>Online</t>
        </is>
      </c>
      <c r="G359" s="3" t="inlineStr">
        <is>
          <t>New</t>
        </is>
      </c>
      <c r="H359" s="3" t="n">
        <v>1</v>
      </c>
      <c r="I359" s="8" t="n">
        <v>45</v>
      </c>
      <c r="J359" s="8" t="n">
        <v>21.92</v>
      </c>
      <c r="K359" s="9" t="n">
        <v>0.1</v>
      </c>
      <c r="L359" s="8" t="n">
        <v>38.04</v>
      </c>
      <c r="M359" s="8">
        <f>H359*I359*(1-K359)</f>
        <v/>
      </c>
      <c r="N359" s="8">
        <f>H359*J359</f>
        <v/>
      </c>
      <c r="O359" s="8">
        <f>M359-N359-L359</f>
        <v/>
      </c>
      <c r="P359" s="10">
        <f>IFERROR(O359/M359,0)</f>
        <v/>
      </c>
      <c r="Q359" s="3">
        <f>IF(H359&lt;=0,"Review: quantity &lt;= 0",IF(K359&gt;0.3,"Review: discount &gt; 30%",IF(G359="","Review: missing customer type","OK")))</f>
        <v/>
      </c>
    </row>
    <row r="360">
      <c r="A360" s="3" t="inlineStr">
        <is>
          <t>ORD-10359</t>
        </is>
      </c>
      <c r="B360" s="7" t="n">
        <v>45782</v>
      </c>
      <c r="C360" s="3" t="inlineStr">
        <is>
          <t>Footwear</t>
        </is>
      </c>
      <c r="D360" s="3" t="inlineStr">
        <is>
          <t>Sandals</t>
        </is>
      </c>
      <c r="E360" s="3" t="inlineStr">
        <is>
          <t>Western</t>
        </is>
      </c>
      <c r="F360" s="3" t="inlineStr">
        <is>
          <t>Online</t>
        </is>
      </c>
      <c r="G360" s="3" t="inlineStr">
        <is>
          <t>Returning</t>
        </is>
      </c>
      <c r="H360" s="3" t="n">
        <v>1</v>
      </c>
      <c r="I360" s="8" t="n">
        <v>260</v>
      </c>
      <c r="J360" s="8" t="n">
        <v>139.32</v>
      </c>
      <c r="K360" s="9" t="n">
        <v>0</v>
      </c>
      <c r="L360" s="8" t="n">
        <v>17.82</v>
      </c>
      <c r="M360" s="8">
        <f>H360*I360*(1-K360)</f>
        <v/>
      </c>
      <c r="N360" s="8">
        <f>H360*J360</f>
        <v/>
      </c>
      <c r="O360" s="8">
        <f>M360-N360-L360</f>
        <v/>
      </c>
      <c r="P360" s="10">
        <f>IFERROR(O360/M360,0)</f>
        <v/>
      </c>
      <c r="Q360" s="3">
        <f>IF(H360&lt;=0,"Review: quantity &lt;= 0",IF(K360&gt;0.3,"Review: discount &gt; 30%",IF(G360="","Review: missing customer type","OK")))</f>
        <v/>
      </c>
    </row>
    <row r="361">
      <c r="A361" s="3" t="inlineStr">
        <is>
          <t>ORD-10360</t>
        </is>
      </c>
      <c r="B361" s="7" t="n">
        <v>45979</v>
      </c>
      <c r="C361" s="3" t="inlineStr">
        <is>
          <t>Clothing</t>
        </is>
      </c>
      <c r="D361" s="3" t="inlineStr">
        <is>
          <t>Trousers</t>
        </is>
      </c>
      <c r="E361" s="3" t="inlineStr">
        <is>
          <t>Central</t>
        </is>
      </c>
      <c r="F361" s="3" t="inlineStr">
        <is>
          <t>Retail Shop</t>
        </is>
      </c>
      <c r="G361" s="3" t="inlineStr">
        <is>
          <t>Returning</t>
        </is>
      </c>
      <c r="H361" s="3" t="n">
        <v>1</v>
      </c>
      <c r="I361" s="8" t="n">
        <v>160</v>
      </c>
      <c r="J361" s="8" t="n">
        <v>76.64</v>
      </c>
      <c r="K361" s="9" t="n">
        <v>0.1</v>
      </c>
      <c r="L361" s="8" t="n">
        <v>11.49</v>
      </c>
      <c r="M361" s="8">
        <f>H361*I361*(1-K361)</f>
        <v/>
      </c>
      <c r="N361" s="8">
        <f>H361*J361</f>
        <v/>
      </c>
      <c r="O361" s="8">
        <f>M361-N361-L361</f>
        <v/>
      </c>
      <c r="P361" s="10">
        <f>IFERROR(O361/M361,0)</f>
        <v/>
      </c>
      <c r="Q361" s="3">
        <f>IF(H361&lt;=0,"Review: quantity &lt;= 0",IF(K361&gt;0.3,"Review: discount &gt; 30%",IF(G361="","Review: missing customer type","OK")))</f>
        <v/>
      </c>
    </row>
    <row r="362">
      <c r="A362" s="3" t="inlineStr">
        <is>
          <t>ORD-10361</t>
        </is>
      </c>
      <c r="B362" s="7" t="n">
        <v>45955</v>
      </c>
      <c r="C362" s="3" t="inlineStr">
        <is>
          <t>Footwear</t>
        </is>
      </c>
      <c r="D362" s="3" t="inlineStr">
        <is>
          <t>Sandals</t>
        </is>
      </c>
      <c r="E362" s="3" t="inlineStr">
        <is>
          <t>Northern</t>
        </is>
      </c>
      <c r="F362" s="3" t="inlineStr">
        <is>
          <t>Phone/WhatsApp</t>
        </is>
      </c>
      <c r="G362" s="3" t="inlineStr">
        <is>
          <t>Returning</t>
        </is>
      </c>
      <c r="H362" s="3" t="n">
        <v>1</v>
      </c>
      <c r="I362" s="8" t="n">
        <v>370</v>
      </c>
      <c r="J362" s="8" t="n">
        <v>217.28</v>
      </c>
      <c r="K362" s="9" t="n">
        <v>0</v>
      </c>
      <c r="L362" s="8" t="n">
        <v>44.33</v>
      </c>
      <c r="M362" s="8">
        <f>H362*I362*(1-K362)</f>
        <v/>
      </c>
      <c r="N362" s="8">
        <f>H362*J362</f>
        <v/>
      </c>
      <c r="O362" s="8">
        <f>M362-N362-L362</f>
        <v/>
      </c>
      <c r="P362" s="10">
        <f>IFERROR(O362/M362,0)</f>
        <v/>
      </c>
      <c r="Q362" s="3">
        <f>IF(H362&lt;=0,"Review: quantity &lt;= 0",IF(K362&gt;0.3,"Review: discount &gt; 30%",IF(G362="","Review: missing customer type","OK")))</f>
        <v/>
      </c>
    </row>
    <row r="363">
      <c r="A363" s="3" t="inlineStr">
        <is>
          <t>ORD-10362</t>
        </is>
      </c>
      <c r="B363" s="7" t="n">
        <v>45855</v>
      </c>
      <c r="C363" s="3" t="inlineStr">
        <is>
          <t>Accessories</t>
        </is>
      </c>
      <c r="D363" s="3" t="inlineStr">
        <is>
          <t>Watches</t>
        </is>
      </c>
      <c r="E363" s="3" t="inlineStr">
        <is>
          <t>Western</t>
        </is>
      </c>
      <c r="F363" s="3" t="inlineStr">
        <is>
          <t>Online</t>
        </is>
      </c>
      <c r="G363" s="3" t="inlineStr">
        <is>
          <t>Returning</t>
        </is>
      </c>
      <c r="H363" s="3" t="n">
        <v>11</v>
      </c>
      <c r="I363" s="8" t="n">
        <v>125</v>
      </c>
      <c r="J363" s="8" t="n">
        <v>57.33</v>
      </c>
      <c r="K363" s="9" t="n">
        <v>0.05</v>
      </c>
      <c r="L363" s="8" t="n">
        <v>41.38</v>
      </c>
      <c r="M363" s="8">
        <f>H363*I363*(1-K363)</f>
        <v/>
      </c>
      <c r="N363" s="8">
        <f>H363*J363</f>
        <v/>
      </c>
      <c r="O363" s="8">
        <f>M363-N363-L363</f>
        <v/>
      </c>
      <c r="P363" s="10">
        <f>IFERROR(O363/M363,0)</f>
        <v/>
      </c>
      <c r="Q363" s="3">
        <f>IF(H363&lt;=0,"Review: quantity &lt;= 0",IF(K363&gt;0.3,"Review: discount &gt; 30%",IF(G363="","Review: missing customer type","OK")))</f>
        <v/>
      </c>
    </row>
    <row r="364">
      <c r="A364" s="3" t="inlineStr">
        <is>
          <t>ORD-10363</t>
        </is>
      </c>
      <c r="B364" s="7" t="n">
        <v>45665</v>
      </c>
      <c r="C364" s="3" t="inlineStr">
        <is>
          <t>Footwear</t>
        </is>
      </c>
      <c r="D364" s="3" t="inlineStr">
        <is>
          <t>Sneakers</t>
        </is>
      </c>
      <c r="E364" s="3" t="inlineStr">
        <is>
          <t>Central</t>
        </is>
      </c>
      <c r="F364" s="3" t="inlineStr">
        <is>
          <t>Phone/WhatsApp</t>
        </is>
      </c>
      <c r="G364" s="3" t="inlineStr">
        <is>
          <t>New</t>
        </is>
      </c>
      <c r="H364" s="3" t="n">
        <v>2</v>
      </c>
      <c r="I364" s="8" t="n">
        <v>270</v>
      </c>
      <c r="J364" s="8" t="n">
        <v>150.56</v>
      </c>
      <c r="K364" s="9" t="n">
        <v>0</v>
      </c>
      <c r="L364" s="8" t="n">
        <v>12.75</v>
      </c>
      <c r="M364" s="8">
        <f>H364*I364*(1-K364)</f>
        <v/>
      </c>
      <c r="N364" s="8">
        <f>H364*J364</f>
        <v/>
      </c>
      <c r="O364" s="8">
        <f>M364-N364-L364</f>
        <v/>
      </c>
      <c r="P364" s="10">
        <f>IFERROR(O364/M364,0)</f>
        <v/>
      </c>
      <c r="Q364" s="3">
        <f>IF(H364&lt;=0,"Review: quantity &lt;= 0",IF(K364&gt;0.3,"Review: discount &gt; 30%",IF(G364="","Review: missing customer type","OK")))</f>
        <v/>
      </c>
    </row>
    <row r="365">
      <c r="A365" s="3" t="inlineStr">
        <is>
          <t>ORD-10364</t>
        </is>
      </c>
      <c r="B365" s="7" t="n">
        <v>45730</v>
      </c>
      <c r="C365" s="3" t="inlineStr">
        <is>
          <t>Home &amp; Lifestyle</t>
        </is>
      </c>
      <c r="D365" s="3" t="inlineStr">
        <is>
          <t>Backpacks</t>
        </is>
      </c>
      <c r="E365" s="3" t="inlineStr">
        <is>
          <t>Greater Accra</t>
        </is>
      </c>
      <c r="F365" s="3" t="inlineStr">
        <is>
          <t>Online</t>
        </is>
      </c>
      <c r="G365" s="3" t="inlineStr">
        <is>
          <t>New</t>
        </is>
      </c>
      <c r="H365" s="3" t="n">
        <v>6</v>
      </c>
      <c r="I365" s="8" t="n">
        <v>80</v>
      </c>
      <c r="J365" s="8" t="n">
        <v>43.79</v>
      </c>
      <c r="K365" s="9" t="n">
        <v>0.05</v>
      </c>
      <c r="L365" s="8" t="n">
        <v>44.45</v>
      </c>
      <c r="M365" s="8">
        <f>H365*I365*(1-K365)</f>
        <v/>
      </c>
      <c r="N365" s="8">
        <f>H365*J365</f>
        <v/>
      </c>
      <c r="O365" s="8">
        <f>M365-N365-L365</f>
        <v/>
      </c>
      <c r="P365" s="10">
        <f>IFERROR(O365/M365,0)</f>
        <v/>
      </c>
      <c r="Q365" s="3">
        <f>IF(H365&lt;=0,"Review: quantity &lt;= 0",IF(K365&gt;0.3,"Review: discount &gt; 30%",IF(G365="","Review: missing customer type","OK")))</f>
        <v/>
      </c>
    </row>
    <row r="366">
      <c r="A366" s="3" t="inlineStr">
        <is>
          <t>ORD-10365</t>
        </is>
      </c>
      <c r="B366" s="7" t="n">
        <v>45722</v>
      </c>
      <c r="C366" s="3" t="inlineStr">
        <is>
          <t>Clothing</t>
        </is>
      </c>
      <c r="D366" s="3" t="inlineStr">
        <is>
          <t>Dresses</t>
        </is>
      </c>
      <c r="E366" s="3" t="inlineStr">
        <is>
          <t>Central</t>
        </is>
      </c>
      <c r="F366" s="3" t="inlineStr">
        <is>
          <t>Retail Shop</t>
        </is>
      </c>
      <c r="G366" s="3" t="inlineStr">
        <is>
          <t>Returning</t>
        </is>
      </c>
      <c r="H366" s="3" t="n">
        <v>3</v>
      </c>
      <c r="I366" s="8" t="n">
        <v>185</v>
      </c>
      <c r="J366" s="8" t="n">
        <v>107.22</v>
      </c>
      <c r="K366" s="9" t="n">
        <v>0</v>
      </c>
      <c r="L366" s="8" t="n">
        <v>9.279999999999999</v>
      </c>
      <c r="M366" s="8">
        <f>H366*I366*(1-K366)</f>
        <v/>
      </c>
      <c r="N366" s="8">
        <f>H366*J366</f>
        <v/>
      </c>
      <c r="O366" s="8">
        <f>M366-N366-L366</f>
        <v/>
      </c>
      <c r="P366" s="10">
        <f>IFERROR(O366/M366,0)</f>
        <v/>
      </c>
      <c r="Q366" s="3">
        <f>IF(H366&lt;=0,"Review: quantity &lt;= 0",IF(K366&gt;0.3,"Review: discount &gt; 30%",IF(G366="","Review: missing customer type","OK")))</f>
        <v/>
      </c>
    </row>
    <row r="367">
      <c r="A367" s="3" t="inlineStr">
        <is>
          <t>ORD-10366</t>
        </is>
      </c>
      <c r="B367" s="7" t="n">
        <v>45719</v>
      </c>
      <c r="C367" s="3" t="inlineStr">
        <is>
          <t>Home &amp; Lifestyle</t>
        </is>
      </c>
      <c r="D367" s="3" t="inlineStr">
        <is>
          <t>Wallets</t>
        </is>
      </c>
      <c r="E367" s="3" t="inlineStr">
        <is>
          <t>Greater Accra</t>
        </is>
      </c>
      <c r="F367" s="3" t="inlineStr">
        <is>
          <t>Retail Shop</t>
        </is>
      </c>
      <c r="G367" s="3" t="inlineStr">
        <is>
          <t>Returning</t>
        </is>
      </c>
      <c r="H367" s="3" t="n">
        <v>10</v>
      </c>
      <c r="I367" s="8" t="n">
        <v>115</v>
      </c>
      <c r="J367" s="8" t="n">
        <v>59.8</v>
      </c>
      <c r="K367" s="9" t="n">
        <v>0.1</v>
      </c>
      <c r="L367" s="8" t="n">
        <v>2.98</v>
      </c>
      <c r="M367" s="8">
        <f>H367*I367*(1-K367)</f>
        <v/>
      </c>
      <c r="N367" s="8">
        <f>H367*J367</f>
        <v/>
      </c>
      <c r="O367" s="8">
        <f>M367-N367-L367</f>
        <v/>
      </c>
      <c r="P367" s="10">
        <f>IFERROR(O367/M367,0)</f>
        <v/>
      </c>
      <c r="Q367" s="3">
        <f>IF(H367&lt;=0,"Review: quantity &lt;= 0",IF(K367&gt;0.3,"Review: discount &gt; 30%",IF(G367="","Review: missing customer type","OK")))</f>
        <v/>
      </c>
    </row>
    <row r="368">
      <c r="A368" s="3" t="inlineStr">
        <is>
          <t>ORD-10367</t>
        </is>
      </c>
      <c r="B368" s="7" t="n">
        <v>45743</v>
      </c>
      <c r="C368" s="3" t="inlineStr">
        <is>
          <t>Footwear</t>
        </is>
      </c>
      <c r="D368" s="3" t="inlineStr">
        <is>
          <t>Formal Shoes</t>
        </is>
      </c>
      <c r="E368" s="3" t="inlineStr">
        <is>
          <t>Western</t>
        </is>
      </c>
      <c r="F368" s="3" t="inlineStr">
        <is>
          <t>Retail Shop</t>
        </is>
      </c>
      <c r="G368" s="3" t="inlineStr">
        <is>
          <t>New</t>
        </is>
      </c>
      <c r="H368" s="3" t="n">
        <v>5</v>
      </c>
      <c r="I368" s="8" t="n">
        <v>305</v>
      </c>
      <c r="J368" s="8" t="n">
        <v>164.5</v>
      </c>
      <c r="K368" s="9" t="n">
        <v>0</v>
      </c>
      <c r="L368" s="8" t="n">
        <v>10.84</v>
      </c>
      <c r="M368" s="8">
        <f>H368*I368*(1-K368)</f>
        <v/>
      </c>
      <c r="N368" s="8">
        <f>H368*J368</f>
        <v/>
      </c>
      <c r="O368" s="8">
        <f>M368-N368-L368</f>
        <v/>
      </c>
      <c r="P368" s="10">
        <f>IFERROR(O368/M368,0)</f>
        <v/>
      </c>
      <c r="Q368" s="3">
        <f>IF(H368&lt;=0,"Review: quantity &lt;= 0",IF(K368&gt;0.3,"Review: discount &gt; 30%",IF(G368="","Review: missing customer type","OK")))</f>
        <v/>
      </c>
    </row>
    <row r="369">
      <c r="A369" s="3" t="inlineStr">
        <is>
          <t>ORD-10368</t>
        </is>
      </c>
      <c r="B369" s="7" t="n">
        <v>45987</v>
      </c>
      <c r="C369" s="3" t="inlineStr">
        <is>
          <t>Accessories</t>
        </is>
      </c>
      <c r="D369" s="3" t="inlineStr">
        <is>
          <t>Sunglasses</t>
        </is>
      </c>
      <c r="E369" s="3" t="inlineStr">
        <is>
          <t>Greater Accra</t>
        </is>
      </c>
      <c r="F369" s="3" t="inlineStr">
        <is>
          <t>Phone/WhatsApp</t>
        </is>
      </c>
      <c r="G369" s="3" t="inlineStr">
        <is>
          <t>Returning</t>
        </is>
      </c>
      <c r="H369" s="3" t="n">
        <v>1</v>
      </c>
      <c r="I369" s="8" t="n">
        <v>160</v>
      </c>
      <c r="J369" s="8" t="n">
        <v>76.26000000000001</v>
      </c>
      <c r="K369" s="9" t="n">
        <v>0.2</v>
      </c>
      <c r="L369" s="8" t="n">
        <v>26.07</v>
      </c>
      <c r="M369" s="8">
        <f>H369*I369*(1-K369)</f>
        <v/>
      </c>
      <c r="N369" s="8">
        <f>H369*J369</f>
        <v/>
      </c>
      <c r="O369" s="8">
        <f>M369-N369-L369</f>
        <v/>
      </c>
      <c r="P369" s="10">
        <f>IFERROR(O369/M369,0)</f>
        <v/>
      </c>
      <c r="Q369" s="3">
        <f>IF(H369&lt;=0,"Review: quantity &lt;= 0",IF(K369&gt;0.3,"Review: discount &gt; 30%",IF(G369="","Review: missing customer type","OK")))</f>
        <v/>
      </c>
    </row>
    <row r="370">
      <c r="A370" s="3" t="inlineStr">
        <is>
          <t>ORD-10369</t>
        </is>
      </c>
      <c r="B370" s="7" t="n">
        <v>45666</v>
      </c>
      <c r="C370" s="3" t="inlineStr">
        <is>
          <t>Accessories</t>
        </is>
      </c>
      <c r="D370" s="3" t="inlineStr">
        <is>
          <t>Belts</t>
        </is>
      </c>
      <c r="E370" s="3" t="inlineStr">
        <is>
          <t>Greater Accra</t>
        </is>
      </c>
      <c r="F370" s="3" t="inlineStr">
        <is>
          <t>Phone/WhatsApp</t>
        </is>
      </c>
      <c r="G370" s="3" t="inlineStr">
        <is>
          <t>Returning</t>
        </is>
      </c>
      <c r="H370" s="3" t="n">
        <v>3</v>
      </c>
      <c r="I370" s="8" t="n">
        <v>85</v>
      </c>
      <c r="J370" s="8" t="n">
        <v>37.53</v>
      </c>
      <c r="K370" s="9" t="n">
        <v>0.2</v>
      </c>
      <c r="L370" s="8" t="n">
        <v>29.56</v>
      </c>
      <c r="M370" s="8">
        <f>H370*I370*(1-K370)</f>
        <v/>
      </c>
      <c r="N370" s="8">
        <f>H370*J370</f>
        <v/>
      </c>
      <c r="O370" s="8">
        <f>M370-N370-L370</f>
        <v/>
      </c>
      <c r="P370" s="10">
        <f>IFERROR(O370/M370,0)</f>
        <v/>
      </c>
      <c r="Q370" s="3">
        <f>IF(H370&lt;=0,"Review: quantity &lt;= 0",IF(K370&gt;0.3,"Review: discount &gt; 30%",IF(G370="","Review: missing customer type","OK")))</f>
        <v/>
      </c>
    </row>
    <row r="371">
      <c r="A371" s="3" t="inlineStr">
        <is>
          <t>ORD-10370</t>
        </is>
      </c>
      <c r="B371" s="7" t="n">
        <v>45786</v>
      </c>
      <c r="C371" s="3" t="inlineStr">
        <is>
          <t>Footwear</t>
        </is>
      </c>
      <c r="D371" s="3" t="inlineStr">
        <is>
          <t>Formal Shoes</t>
        </is>
      </c>
      <c r="E371" s="3" t="inlineStr">
        <is>
          <t>Western</t>
        </is>
      </c>
      <c r="F371" s="3" t="inlineStr">
        <is>
          <t>Retail Shop</t>
        </is>
      </c>
      <c r="G371" s="3" t="inlineStr">
        <is>
          <t>New</t>
        </is>
      </c>
      <c r="H371" s="3" t="n">
        <v>3</v>
      </c>
      <c r="I371" s="8" t="n">
        <v>150</v>
      </c>
      <c r="J371" s="8" t="n">
        <v>79.40000000000001</v>
      </c>
      <c r="K371" s="9" t="n">
        <v>0</v>
      </c>
      <c r="L371" s="8" t="n">
        <v>7.91</v>
      </c>
      <c r="M371" s="8">
        <f>H371*I371*(1-K371)</f>
        <v/>
      </c>
      <c r="N371" s="8">
        <f>H371*J371</f>
        <v/>
      </c>
      <c r="O371" s="8">
        <f>M371-N371-L371</f>
        <v/>
      </c>
      <c r="P371" s="10">
        <f>IFERROR(O371/M371,0)</f>
        <v/>
      </c>
      <c r="Q371" s="3">
        <f>IF(H371&lt;=0,"Review: quantity &lt;= 0",IF(K371&gt;0.3,"Review: discount &gt; 30%",IF(G371="","Review: missing customer type","OK")))</f>
        <v/>
      </c>
    </row>
    <row r="372">
      <c r="A372" s="3" t="inlineStr">
        <is>
          <t>ORD-10371</t>
        </is>
      </c>
      <c r="B372" s="7" t="n">
        <v>45674</v>
      </c>
      <c r="C372" s="3" t="inlineStr">
        <is>
          <t>Footwear</t>
        </is>
      </c>
      <c r="D372" s="3" t="inlineStr">
        <is>
          <t>Formal Shoes</t>
        </is>
      </c>
      <c r="E372" s="3" t="inlineStr">
        <is>
          <t>Ashanti</t>
        </is>
      </c>
      <c r="F372" s="3" t="inlineStr">
        <is>
          <t>Online</t>
        </is>
      </c>
      <c r="G372" s="3" t="inlineStr">
        <is>
          <t>Returning</t>
        </is>
      </c>
      <c r="H372" s="3" t="n">
        <v>3</v>
      </c>
      <c r="I372" s="8" t="n">
        <v>320</v>
      </c>
      <c r="J372" s="8" t="n">
        <v>193.64</v>
      </c>
      <c r="K372" s="9" t="n">
        <v>0</v>
      </c>
      <c r="L372" s="8" t="n">
        <v>19.04</v>
      </c>
      <c r="M372" s="8">
        <f>H372*I372*(1-K372)</f>
        <v/>
      </c>
      <c r="N372" s="8">
        <f>H372*J372</f>
        <v/>
      </c>
      <c r="O372" s="8">
        <f>M372-N372-L372</f>
        <v/>
      </c>
      <c r="P372" s="10">
        <f>IFERROR(O372/M372,0)</f>
        <v/>
      </c>
      <c r="Q372" s="3">
        <f>IF(H372&lt;=0,"Review: quantity &lt;= 0",IF(K372&gt;0.3,"Review: discount &gt; 30%",IF(G372="","Review: missing customer type","OK")))</f>
        <v/>
      </c>
    </row>
    <row r="373">
      <c r="A373" s="3" t="inlineStr">
        <is>
          <t>ORD-10372</t>
        </is>
      </c>
      <c r="B373" s="7" t="n">
        <v>45771</v>
      </c>
      <c r="C373" s="3" t="inlineStr">
        <is>
          <t>Home &amp; Lifestyle</t>
        </is>
      </c>
      <c r="D373" s="3" t="inlineStr">
        <is>
          <t>Wallets</t>
        </is>
      </c>
      <c r="E373" s="3" t="inlineStr">
        <is>
          <t>Greater Accra</t>
        </is>
      </c>
      <c r="F373" s="3" t="inlineStr">
        <is>
          <t>Retail Shop</t>
        </is>
      </c>
      <c r="G373" s="3" t="inlineStr">
        <is>
          <t>Returning</t>
        </is>
      </c>
      <c r="H373" s="3" t="n">
        <v>1</v>
      </c>
      <c r="I373" s="8" t="n">
        <v>120</v>
      </c>
      <c r="J373" s="8" t="n">
        <v>64.25</v>
      </c>
      <c r="K373" s="9" t="n">
        <v>0</v>
      </c>
      <c r="L373" s="8" t="n">
        <v>0.28</v>
      </c>
      <c r="M373" s="8">
        <f>H373*I373*(1-K373)</f>
        <v/>
      </c>
      <c r="N373" s="8">
        <f>H373*J373</f>
        <v/>
      </c>
      <c r="O373" s="8">
        <f>M373-N373-L373</f>
        <v/>
      </c>
      <c r="P373" s="10">
        <f>IFERROR(O373/M373,0)</f>
        <v/>
      </c>
      <c r="Q373" s="3">
        <f>IF(H373&lt;=0,"Review: quantity &lt;= 0",IF(K373&gt;0.3,"Review: discount &gt; 30%",IF(G373="","Review: missing customer type","OK")))</f>
        <v/>
      </c>
    </row>
    <row r="374">
      <c r="A374" s="3" t="inlineStr">
        <is>
          <t>ORD-10373</t>
        </is>
      </c>
      <c r="B374" s="7" t="n">
        <v>45939</v>
      </c>
      <c r="C374" s="3" t="inlineStr">
        <is>
          <t>Footwear</t>
        </is>
      </c>
      <c r="D374" s="3" t="inlineStr">
        <is>
          <t>Sneakers</t>
        </is>
      </c>
      <c r="E374" s="3" t="inlineStr">
        <is>
          <t>Ashanti</t>
        </is>
      </c>
      <c r="F374" s="3" t="inlineStr">
        <is>
          <t>Online</t>
        </is>
      </c>
      <c r="G374" s="3" t="inlineStr">
        <is>
          <t>Returning</t>
        </is>
      </c>
      <c r="H374" s="3" t="n">
        <v>3</v>
      </c>
      <c r="I374" s="8" t="n">
        <v>315</v>
      </c>
      <c r="J374" s="8" t="n">
        <v>182.81</v>
      </c>
      <c r="K374" s="9" t="n">
        <v>0.2</v>
      </c>
      <c r="L374" s="8" t="n">
        <v>9.74</v>
      </c>
      <c r="M374" s="8">
        <f>H374*I374*(1-K374)</f>
        <v/>
      </c>
      <c r="N374" s="8">
        <f>H374*J374</f>
        <v/>
      </c>
      <c r="O374" s="8">
        <f>M374-N374-L374</f>
        <v/>
      </c>
      <c r="P374" s="10">
        <f>IFERROR(O374/M374,0)</f>
        <v/>
      </c>
      <c r="Q374" s="3">
        <f>IF(H374&lt;=0,"Review: quantity &lt;= 0",IF(K374&gt;0.3,"Review: discount &gt; 30%",IF(G374="","Review: missing customer type","OK")))</f>
        <v/>
      </c>
    </row>
    <row r="375">
      <c r="A375" s="3" t="inlineStr">
        <is>
          <t>ORD-10374</t>
        </is>
      </c>
      <c r="B375" s="7" t="n">
        <v>45745</v>
      </c>
      <c r="C375" s="3" t="inlineStr">
        <is>
          <t>Clothing</t>
        </is>
      </c>
      <c r="D375" s="3" t="inlineStr">
        <is>
          <t>Trousers</t>
        </is>
      </c>
      <c r="E375" s="3" t="inlineStr">
        <is>
          <t>Greater Accra</t>
        </is>
      </c>
      <c r="F375" s="3" t="inlineStr">
        <is>
          <t>Retail Shop</t>
        </is>
      </c>
      <c r="G375" s="3" t="inlineStr">
        <is>
          <t>Returning</t>
        </is>
      </c>
      <c r="H375" s="3" t="n">
        <v>2</v>
      </c>
      <c r="I375" s="8" t="n">
        <v>115</v>
      </c>
      <c r="J375" s="8" t="n">
        <v>59.22</v>
      </c>
      <c r="K375" s="9" t="n">
        <v>0.1</v>
      </c>
      <c r="L375" s="8" t="n">
        <v>7.2</v>
      </c>
      <c r="M375" s="8">
        <f>H375*I375*(1-K375)</f>
        <v/>
      </c>
      <c r="N375" s="8">
        <f>H375*J375</f>
        <v/>
      </c>
      <c r="O375" s="8">
        <f>M375-N375-L375</f>
        <v/>
      </c>
      <c r="P375" s="10">
        <f>IFERROR(O375/M375,0)</f>
        <v/>
      </c>
      <c r="Q375" s="3">
        <f>IF(H375&lt;=0,"Review: quantity &lt;= 0",IF(K375&gt;0.3,"Review: discount &gt; 30%",IF(G375="","Review: missing customer type","OK")))</f>
        <v/>
      </c>
    </row>
    <row r="376">
      <c r="A376" s="3" t="inlineStr">
        <is>
          <t>ORD-10375</t>
        </is>
      </c>
      <c r="B376" s="7" t="n">
        <v>45740</v>
      </c>
      <c r="C376" s="3" t="inlineStr">
        <is>
          <t>Footwear</t>
        </is>
      </c>
      <c r="D376" s="3" t="inlineStr">
        <is>
          <t>Sandals</t>
        </is>
      </c>
      <c r="E376" s="3" t="inlineStr">
        <is>
          <t>Greater Accra</t>
        </is>
      </c>
      <c r="F376" s="3" t="inlineStr">
        <is>
          <t>Phone/WhatsApp</t>
        </is>
      </c>
      <c r="G376" s="3" t="inlineStr">
        <is>
          <t>New</t>
        </is>
      </c>
      <c r="H376" s="3" t="n">
        <v>2</v>
      </c>
      <c r="I376" s="8" t="n">
        <v>240</v>
      </c>
      <c r="J376" s="8" t="n">
        <v>132.71</v>
      </c>
      <c r="K376" s="9" t="n">
        <v>0.1</v>
      </c>
      <c r="L376" s="8" t="n">
        <v>8.300000000000001</v>
      </c>
      <c r="M376" s="8">
        <f>H376*I376*(1-K376)</f>
        <v/>
      </c>
      <c r="N376" s="8">
        <f>H376*J376</f>
        <v/>
      </c>
      <c r="O376" s="8">
        <f>M376-N376-L376</f>
        <v/>
      </c>
      <c r="P376" s="10">
        <f>IFERROR(O376/M376,0)</f>
        <v/>
      </c>
      <c r="Q376" s="3">
        <f>IF(H376&lt;=0,"Review: quantity &lt;= 0",IF(K376&gt;0.3,"Review: discount &gt; 30%",IF(G376="","Review: missing customer type","OK")))</f>
        <v/>
      </c>
    </row>
    <row r="377">
      <c r="A377" s="3" t="inlineStr">
        <is>
          <t>ORD-10376</t>
        </is>
      </c>
      <c r="B377" s="7" t="n">
        <v>45773</v>
      </c>
      <c r="C377" s="3" t="inlineStr">
        <is>
          <t>Footwear</t>
        </is>
      </c>
      <c r="D377" s="3" t="inlineStr">
        <is>
          <t>Sneakers</t>
        </is>
      </c>
      <c r="E377" s="3" t="inlineStr">
        <is>
          <t>Greater Accra</t>
        </is>
      </c>
      <c r="F377" s="3" t="inlineStr">
        <is>
          <t>Retail Shop</t>
        </is>
      </c>
      <c r="G377" s="3" t="inlineStr">
        <is>
          <t>New</t>
        </is>
      </c>
      <c r="H377" s="3" t="n">
        <v>1</v>
      </c>
      <c r="I377" s="8" t="n">
        <v>260</v>
      </c>
      <c r="J377" s="8" t="n">
        <v>132.56</v>
      </c>
      <c r="K377" s="9" t="n">
        <v>0.05</v>
      </c>
      <c r="L377" s="8" t="n">
        <v>5.77</v>
      </c>
      <c r="M377" s="8">
        <f>H377*I377*(1-K377)</f>
        <v/>
      </c>
      <c r="N377" s="8">
        <f>H377*J377</f>
        <v/>
      </c>
      <c r="O377" s="8">
        <f>M377-N377-L377</f>
        <v/>
      </c>
      <c r="P377" s="10">
        <f>IFERROR(O377/M377,0)</f>
        <v/>
      </c>
      <c r="Q377" s="3">
        <f>IF(H377&lt;=0,"Review: quantity &lt;= 0",IF(K377&gt;0.3,"Review: discount &gt; 30%",IF(G377="","Review: missing customer type","OK")))</f>
        <v/>
      </c>
    </row>
    <row r="378">
      <c r="A378" s="3" t="inlineStr">
        <is>
          <t>ORD-10377</t>
        </is>
      </c>
      <c r="B378" s="7" t="n">
        <v>45663</v>
      </c>
      <c r="C378" s="3" t="inlineStr">
        <is>
          <t>Footwear</t>
        </is>
      </c>
      <c r="D378" s="3" t="inlineStr">
        <is>
          <t>Sandals</t>
        </is>
      </c>
      <c r="E378" s="3" t="inlineStr">
        <is>
          <t>Northern</t>
        </is>
      </c>
      <c r="F378" s="3" t="inlineStr">
        <is>
          <t>Retail Shop</t>
        </is>
      </c>
      <c r="G378" s="3" t="inlineStr">
        <is>
          <t>New</t>
        </is>
      </c>
      <c r="H378" s="3" t="n">
        <v>4</v>
      </c>
      <c r="I378" s="8" t="n">
        <v>355</v>
      </c>
      <c r="J378" s="8" t="n">
        <v>190.47</v>
      </c>
      <c r="K378" s="9" t="n">
        <v>0.15</v>
      </c>
      <c r="L378" s="8" t="n">
        <v>7.1</v>
      </c>
      <c r="M378" s="8">
        <f>H378*I378*(1-K378)</f>
        <v/>
      </c>
      <c r="N378" s="8">
        <f>H378*J378</f>
        <v/>
      </c>
      <c r="O378" s="8">
        <f>M378-N378-L378</f>
        <v/>
      </c>
      <c r="P378" s="10">
        <f>IFERROR(O378/M378,0)</f>
        <v/>
      </c>
      <c r="Q378" s="3">
        <f>IF(H378&lt;=0,"Review: quantity &lt;= 0",IF(K378&gt;0.3,"Review: discount &gt; 30%",IF(G378="","Review: missing customer type","OK")))</f>
        <v/>
      </c>
    </row>
    <row r="379">
      <c r="A379" s="3" t="inlineStr">
        <is>
          <t>ORD-10378</t>
        </is>
      </c>
      <c r="B379" s="7" t="n">
        <v>45791</v>
      </c>
      <c r="C379" s="3" t="inlineStr">
        <is>
          <t>Clothing</t>
        </is>
      </c>
      <c r="D379" s="3" t="inlineStr">
        <is>
          <t>Shirts</t>
        </is>
      </c>
      <c r="E379" s="3" t="inlineStr">
        <is>
          <t>Greater Accra</t>
        </is>
      </c>
      <c r="F379" s="3" t="inlineStr">
        <is>
          <t>Retail Shop</t>
        </is>
      </c>
      <c r="G379" s="3" t="inlineStr">
        <is>
          <t>Returning</t>
        </is>
      </c>
      <c r="H379" s="3" t="n">
        <v>2</v>
      </c>
      <c r="I379" s="8" t="n">
        <v>110</v>
      </c>
      <c r="J379" s="8" t="n">
        <v>58.64</v>
      </c>
      <c r="K379" s="9" t="n">
        <v>0</v>
      </c>
      <c r="L379" s="8" t="n">
        <v>1.44</v>
      </c>
      <c r="M379" s="8">
        <f>H379*I379*(1-K379)</f>
        <v/>
      </c>
      <c r="N379" s="8">
        <f>H379*J379</f>
        <v/>
      </c>
      <c r="O379" s="8">
        <f>M379-N379-L379</f>
        <v/>
      </c>
      <c r="P379" s="10">
        <f>IFERROR(O379/M379,0)</f>
        <v/>
      </c>
      <c r="Q379" s="3">
        <f>IF(H379&lt;=0,"Review: quantity &lt;= 0",IF(K379&gt;0.3,"Review: discount &gt; 30%",IF(G379="","Review: missing customer type","OK")))</f>
        <v/>
      </c>
    </row>
    <row r="380">
      <c r="A380" s="3" t="inlineStr">
        <is>
          <t>ORD-10379</t>
        </is>
      </c>
      <c r="B380" s="7" t="n">
        <v>46014</v>
      </c>
      <c r="C380" s="3" t="inlineStr">
        <is>
          <t>Accessories</t>
        </is>
      </c>
      <c r="D380" s="3" t="inlineStr">
        <is>
          <t>Belts</t>
        </is>
      </c>
      <c r="E380" s="3" t="inlineStr">
        <is>
          <t>Ashanti</t>
        </is>
      </c>
      <c r="F380" s="3" t="inlineStr">
        <is>
          <t>Online</t>
        </is>
      </c>
      <c r="G380" s="3" t="inlineStr">
        <is>
          <t>Returning</t>
        </is>
      </c>
      <c r="H380" s="3" t="n">
        <v>1</v>
      </c>
      <c r="I380" s="8" t="n">
        <v>90</v>
      </c>
      <c r="J380" s="8" t="n">
        <v>47.55</v>
      </c>
      <c r="K380" s="9" t="n">
        <v>0.15</v>
      </c>
      <c r="L380" s="8" t="n">
        <v>34.65</v>
      </c>
      <c r="M380" s="8">
        <f>H380*I380*(1-K380)</f>
        <v/>
      </c>
      <c r="N380" s="8">
        <f>H380*J380</f>
        <v/>
      </c>
      <c r="O380" s="8">
        <f>M380-N380-L380</f>
        <v/>
      </c>
      <c r="P380" s="10">
        <f>IFERROR(O380/M380,0)</f>
        <v/>
      </c>
      <c r="Q380" s="3">
        <f>IF(H380&lt;=0,"Review: quantity &lt;= 0",IF(K380&gt;0.3,"Review: discount &gt; 30%",IF(G380="","Review: missing customer type","OK")))</f>
        <v/>
      </c>
    </row>
    <row r="381">
      <c r="A381" s="3" t="inlineStr">
        <is>
          <t>ORD-10380</t>
        </is>
      </c>
      <c r="B381" s="7" t="n">
        <v>45912</v>
      </c>
      <c r="C381" s="3" t="inlineStr">
        <is>
          <t>Clothing</t>
        </is>
      </c>
      <c r="D381" s="3" t="inlineStr">
        <is>
          <t>Shirts</t>
        </is>
      </c>
      <c r="E381" s="3" t="inlineStr">
        <is>
          <t>Northern</t>
        </is>
      </c>
      <c r="F381" s="3" t="inlineStr">
        <is>
          <t>Retail Shop</t>
        </is>
      </c>
      <c r="G381" s="3" t="inlineStr">
        <is>
          <t>Returning</t>
        </is>
      </c>
      <c r="H381" s="3" t="n">
        <v>3</v>
      </c>
      <c r="I381" s="8" t="n">
        <v>125</v>
      </c>
      <c r="J381" s="8" t="n">
        <v>72.41</v>
      </c>
      <c r="K381" s="9" t="n">
        <v>0</v>
      </c>
      <c r="L381" s="8" t="n">
        <v>3.3</v>
      </c>
      <c r="M381" s="8">
        <f>H381*I381*(1-K381)</f>
        <v/>
      </c>
      <c r="N381" s="8">
        <f>H381*J381</f>
        <v/>
      </c>
      <c r="O381" s="8">
        <f>M381-N381-L381</f>
        <v/>
      </c>
      <c r="P381" s="10">
        <f>IFERROR(O381/M381,0)</f>
        <v/>
      </c>
      <c r="Q381" s="3">
        <f>IF(H381&lt;=0,"Review: quantity &lt;= 0",IF(K381&gt;0.3,"Review: discount &gt; 30%",IF(G381="","Review: missing customer type","OK")))</f>
        <v/>
      </c>
    </row>
    <row r="382">
      <c r="A382" s="3" t="inlineStr">
        <is>
          <t>ORD-10381</t>
        </is>
      </c>
      <c r="B382" s="7" t="n">
        <v>45816</v>
      </c>
      <c r="C382" s="3" t="inlineStr">
        <is>
          <t>Clothing</t>
        </is>
      </c>
      <c r="D382" s="3" t="inlineStr">
        <is>
          <t>Shirts</t>
        </is>
      </c>
      <c r="E382" s="3" t="inlineStr">
        <is>
          <t>Western</t>
        </is>
      </c>
      <c r="F382" s="3" t="inlineStr">
        <is>
          <t>Phone/WhatsApp</t>
        </is>
      </c>
      <c r="G382" s="3" t="inlineStr">
        <is>
          <t>New</t>
        </is>
      </c>
      <c r="H382" s="3" t="n">
        <v>3</v>
      </c>
      <c r="I382" s="8" t="n">
        <v>175</v>
      </c>
      <c r="J382" s="8" t="n">
        <v>99.67</v>
      </c>
      <c r="K382" s="9" t="n">
        <v>0.2</v>
      </c>
      <c r="L382" s="8" t="n">
        <v>10.36</v>
      </c>
      <c r="M382" s="8">
        <f>H382*I382*(1-K382)</f>
        <v/>
      </c>
      <c r="N382" s="8">
        <f>H382*J382</f>
        <v/>
      </c>
      <c r="O382" s="8">
        <f>M382-N382-L382</f>
        <v/>
      </c>
      <c r="P382" s="10">
        <f>IFERROR(O382/M382,0)</f>
        <v/>
      </c>
      <c r="Q382" s="3">
        <f>IF(H382&lt;=0,"Review: quantity &lt;= 0",IF(K382&gt;0.3,"Review: discount &gt; 30%",IF(G382="","Review: missing customer type","OK")))</f>
        <v/>
      </c>
    </row>
    <row r="383">
      <c r="A383" s="3" t="inlineStr">
        <is>
          <t>ORD-10382</t>
        </is>
      </c>
      <c r="B383" s="7" t="n">
        <v>45998</v>
      </c>
      <c r="C383" s="3" t="inlineStr">
        <is>
          <t>Clothing</t>
        </is>
      </c>
      <c r="D383" s="3" t="inlineStr">
        <is>
          <t>Jackets</t>
        </is>
      </c>
      <c r="E383" s="3" t="inlineStr">
        <is>
          <t>Western</t>
        </is>
      </c>
      <c r="F383" s="3" t="inlineStr">
        <is>
          <t>Online</t>
        </is>
      </c>
      <c r="G383" s="3" t="inlineStr">
        <is>
          <t>New</t>
        </is>
      </c>
      <c r="H383" s="3" t="n">
        <v>3</v>
      </c>
      <c r="I383" s="8" t="n">
        <v>200</v>
      </c>
      <c r="J383" s="8" t="n">
        <v>107.35</v>
      </c>
      <c r="K383" s="9" t="n">
        <v>0</v>
      </c>
      <c r="L383" s="8" t="n">
        <v>35.11</v>
      </c>
      <c r="M383" s="8">
        <f>H383*I383*(1-K383)</f>
        <v/>
      </c>
      <c r="N383" s="8">
        <f>H383*J383</f>
        <v/>
      </c>
      <c r="O383" s="8">
        <f>M383-N383-L383</f>
        <v/>
      </c>
      <c r="P383" s="10">
        <f>IFERROR(O383/M383,0)</f>
        <v/>
      </c>
      <c r="Q383" s="3">
        <f>IF(H383&lt;=0,"Review: quantity &lt;= 0",IF(K383&gt;0.3,"Review: discount &gt; 30%",IF(G383="","Review: missing customer type","OK")))</f>
        <v/>
      </c>
    </row>
    <row r="384">
      <c r="A384" s="3" t="inlineStr">
        <is>
          <t>ORD-10383</t>
        </is>
      </c>
      <c r="B384" s="7" t="n">
        <v>45994</v>
      </c>
      <c r="C384" s="3" t="inlineStr">
        <is>
          <t>Accessories</t>
        </is>
      </c>
      <c r="D384" s="3" t="inlineStr">
        <is>
          <t>Sunglasses</t>
        </is>
      </c>
      <c r="E384" s="3" t="inlineStr">
        <is>
          <t>Greater Accra</t>
        </is>
      </c>
      <c r="F384" s="3" t="inlineStr">
        <is>
          <t>Retail Shop</t>
        </is>
      </c>
      <c r="G384" s="3" t="inlineStr">
        <is>
          <t>Returning</t>
        </is>
      </c>
      <c r="H384" s="3" t="n">
        <v>1</v>
      </c>
      <c r="I384" s="8" t="n">
        <v>90</v>
      </c>
      <c r="J384" s="8" t="n">
        <v>43.99</v>
      </c>
      <c r="K384" s="9" t="n">
        <v>0.15</v>
      </c>
      <c r="L384" s="8" t="n">
        <v>7.53</v>
      </c>
      <c r="M384" s="8">
        <f>H384*I384*(1-K384)</f>
        <v/>
      </c>
      <c r="N384" s="8">
        <f>H384*J384</f>
        <v/>
      </c>
      <c r="O384" s="8">
        <f>M384-N384-L384</f>
        <v/>
      </c>
      <c r="P384" s="10">
        <f>IFERROR(O384/M384,0)</f>
        <v/>
      </c>
      <c r="Q384" s="3">
        <f>IF(H384&lt;=0,"Review: quantity &lt;= 0",IF(K384&gt;0.3,"Review: discount &gt; 30%",IF(G384="","Review: missing customer type","OK")))</f>
        <v/>
      </c>
    </row>
    <row r="385">
      <c r="A385" s="3" t="inlineStr">
        <is>
          <t>ORD-10384</t>
        </is>
      </c>
      <c r="B385" s="7" t="n">
        <v>46017</v>
      </c>
      <c r="C385" s="3" t="inlineStr">
        <is>
          <t>Footwear</t>
        </is>
      </c>
      <c r="D385" s="3" t="inlineStr">
        <is>
          <t>Sneakers</t>
        </is>
      </c>
      <c r="E385" s="3" t="inlineStr">
        <is>
          <t>Western</t>
        </is>
      </c>
      <c r="F385" s="3" t="inlineStr">
        <is>
          <t>Retail Shop</t>
        </is>
      </c>
      <c r="G385" s="3" t="inlineStr">
        <is>
          <t>Returning</t>
        </is>
      </c>
      <c r="H385" s="3" t="n">
        <v>3</v>
      </c>
      <c r="I385" s="8" t="n">
        <v>625</v>
      </c>
      <c r="J385" s="8" t="n">
        <v>397.57</v>
      </c>
      <c r="K385" s="9" t="n">
        <v>0.1</v>
      </c>
      <c r="L385" s="8" t="n">
        <v>9.69</v>
      </c>
      <c r="M385" s="8">
        <f>H385*I385*(1-K385)</f>
        <v/>
      </c>
      <c r="N385" s="8">
        <f>H385*J385</f>
        <v/>
      </c>
      <c r="O385" s="8">
        <f>M385-N385-L385</f>
        <v/>
      </c>
      <c r="P385" s="10">
        <f>IFERROR(O385/M385,0)</f>
        <v/>
      </c>
      <c r="Q385" s="3">
        <f>IF(H385&lt;=0,"Review: quantity &lt;= 0",IF(K385&gt;0.3,"Review: discount &gt; 30%",IF(G385="","Review: missing customer type","OK")))</f>
        <v/>
      </c>
    </row>
    <row r="386">
      <c r="A386" s="3" t="inlineStr">
        <is>
          <t>ORD-10385</t>
        </is>
      </c>
      <c r="B386" s="7" t="n">
        <v>45709</v>
      </c>
      <c r="C386" s="3" t="inlineStr">
        <is>
          <t>Footwear</t>
        </is>
      </c>
      <c r="D386" s="3" t="inlineStr">
        <is>
          <t>Sandals</t>
        </is>
      </c>
      <c r="E386" s="3" t="inlineStr">
        <is>
          <t>Ashanti</t>
        </is>
      </c>
      <c r="F386" s="3" t="inlineStr">
        <is>
          <t>Online</t>
        </is>
      </c>
      <c r="G386" s="3" t="inlineStr">
        <is>
          <t>Returning</t>
        </is>
      </c>
      <c r="H386" s="3" t="n">
        <v>5</v>
      </c>
      <c r="I386" s="8" t="n">
        <v>360</v>
      </c>
      <c r="J386" s="8" t="n">
        <v>196.96</v>
      </c>
      <c r="K386" s="9" t="n">
        <v>0.1</v>
      </c>
      <c r="L386" s="8" t="n">
        <v>9.039999999999999</v>
      </c>
      <c r="M386" s="8">
        <f>H386*I386*(1-K386)</f>
        <v/>
      </c>
      <c r="N386" s="8">
        <f>H386*J386</f>
        <v/>
      </c>
      <c r="O386" s="8">
        <f>M386-N386-L386</f>
        <v/>
      </c>
      <c r="P386" s="10">
        <f>IFERROR(O386/M386,0)</f>
        <v/>
      </c>
      <c r="Q386" s="3">
        <f>IF(H386&lt;=0,"Review: quantity &lt;= 0",IF(K386&gt;0.3,"Review: discount &gt; 30%",IF(G386="","Review: missing customer type","OK")))</f>
        <v/>
      </c>
    </row>
    <row r="387">
      <c r="A387" s="3" t="inlineStr">
        <is>
          <t>ORD-10386</t>
        </is>
      </c>
      <c r="B387" s="7" t="n">
        <v>45806</v>
      </c>
      <c r="C387" s="3" t="inlineStr">
        <is>
          <t>Footwear</t>
        </is>
      </c>
      <c r="D387" s="3" t="inlineStr">
        <is>
          <t>Formal Shoes</t>
        </is>
      </c>
      <c r="E387" s="3" t="inlineStr">
        <is>
          <t>Western</t>
        </is>
      </c>
      <c r="F387" s="3" t="inlineStr">
        <is>
          <t>Retail Shop</t>
        </is>
      </c>
      <c r="G387" s="3" t="inlineStr">
        <is>
          <t>Returning</t>
        </is>
      </c>
      <c r="H387" s="3" t="n">
        <v>1</v>
      </c>
      <c r="I387" s="8" t="n">
        <v>290</v>
      </c>
      <c r="J387" s="8" t="n">
        <v>159.08</v>
      </c>
      <c r="K387" s="9" t="n">
        <v>0.1</v>
      </c>
      <c r="L387" s="8" t="n">
        <v>1.99</v>
      </c>
      <c r="M387" s="8">
        <f>H387*I387*(1-K387)</f>
        <v/>
      </c>
      <c r="N387" s="8">
        <f>H387*J387</f>
        <v/>
      </c>
      <c r="O387" s="8">
        <f>M387-N387-L387</f>
        <v/>
      </c>
      <c r="P387" s="10">
        <f>IFERROR(O387/M387,0)</f>
        <v/>
      </c>
      <c r="Q387" s="3">
        <f>IF(H387&lt;=0,"Review: quantity &lt;= 0",IF(K387&gt;0.3,"Review: discount &gt; 30%",IF(G387="","Review: missing customer type","OK")))</f>
        <v/>
      </c>
    </row>
    <row r="388">
      <c r="A388" s="3" t="inlineStr">
        <is>
          <t>ORD-10387</t>
        </is>
      </c>
      <c r="B388" s="7" t="n">
        <v>45923</v>
      </c>
      <c r="C388" s="3" t="inlineStr">
        <is>
          <t>Footwear</t>
        </is>
      </c>
      <c r="D388" s="3" t="inlineStr">
        <is>
          <t>Sandals</t>
        </is>
      </c>
      <c r="E388" s="3" t="inlineStr">
        <is>
          <t>Greater Accra</t>
        </is>
      </c>
      <c r="F388" s="3" t="inlineStr">
        <is>
          <t>Retail Shop</t>
        </is>
      </c>
      <c r="G388" s="3" t="inlineStr">
        <is>
          <t>Returning</t>
        </is>
      </c>
      <c r="H388" s="3" t="n">
        <v>1</v>
      </c>
      <c r="I388" s="8" t="n">
        <v>260</v>
      </c>
      <c r="J388" s="8" t="n">
        <v>164.81</v>
      </c>
      <c r="K388" s="9" t="n">
        <v>0.05</v>
      </c>
      <c r="L388" s="8" t="n">
        <v>7.77</v>
      </c>
      <c r="M388" s="8">
        <f>H388*I388*(1-K388)</f>
        <v/>
      </c>
      <c r="N388" s="8">
        <f>H388*J388</f>
        <v/>
      </c>
      <c r="O388" s="8">
        <f>M388-N388-L388</f>
        <v/>
      </c>
      <c r="P388" s="10">
        <f>IFERROR(O388/M388,0)</f>
        <v/>
      </c>
      <c r="Q388" s="3">
        <f>IF(H388&lt;=0,"Review: quantity &lt;= 0",IF(K388&gt;0.3,"Review: discount &gt; 30%",IF(G388="","Review: missing customer type","OK")))</f>
        <v/>
      </c>
    </row>
    <row r="389">
      <c r="A389" s="3" t="inlineStr">
        <is>
          <t>ORD-10388</t>
        </is>
      </c>
      <c r="B389" s="7" t="n">
        <v>45961</v>
      </c>
      <c r="C389" s="3" t="inlineStr">
        <is>
          <t>Clothing</t>
        </is>
      </c>
      <c r="D389" s="3" t="inlineStr">
        <is>
          <t>Trousers</t>
        </is>
      </c>
      <c r="E389" s="3" t="inlineStr">
        <is>
          <t>Greater Accra</t>
        </is>
      </c>
      <c r="F389" s="3" t="inlineStr">
        <is>
          <t>Retail Shop</t>
        </is>
      </c>
      <c r="G389" s="3" t="inlineStr">
        <is>
          <t>New</t>
        </is>
      </c>
      <c r="H389" s="3" t="n">
        <v>3</v>
      </c>
      <c r="I389" s="8" t="n">
        <v>185</v>
      </c>
      <c r="J389" s="8" t="n">
        <v>98.29000000000001</v>
      </c>
      <c r="K389" s="9" t="n">
        <v>0</v>
      </c>
      <c r="L389" s="8" t="n">
        <v>4.79</v>
      </c>
      <c r="M389" s="8">
        <f>H389*I389*(1-K389)</f>
        <v/>
      </c>
      <c r="N389" s="8">
        <f>H389*J389</f>
        <v/>
      </c>
      <c r="O389" s="8">
        <f>M389-N389-L389</f>
        <v/>
      </c>
      <c r="P389" s="10">
        <f>IFERROR(O389/M389,0)</f>
        <v/>
      </c>
      <c r="Q389" s="3">
        <f>IF(H389&lt;=0,"Review: quantity &lt;= 0",IF(K389&gt;0.3,"Review: discount &gt; 30%",IF(G389="","Review: missing customer type","OK")))</f>
        <v/>
      </c>
    </row>
    <row r="390">
      <c r="A390" s="3" t="inlineStr">
        <is>
          <t>ORD-10389</t>
        </is>
      </c>
      <c r="B390" s="7" t="n">
        <v>45832</v>
      </c>
      <c r="C390" s="3" t="inlineStr">
        <is>
          <t>Accessories</t>
        </is>
      </c>
      <c r="D390" s="3" t="inlineStr">
        <is>
          <t>Watches</t>
        </is>
      </c>
      <c r="E390" s="3" t="inlineStr">
        <is>
          <t>Western</t>
        </is>
      </c>
      <c r="F390" s="3" t="inlineStr">
        <is>
          <t>Phone/WhatsApp</t>
        </is>
      </c>
      <c r="G390" s="3" t="inlineStr">
        <is>
          <t>New</t>
        </is>
      </c>
      <c r="H390" s="3" t="n">
        <v>4</v>
      </c>
      <c r="I390" s="8" t="n">
        <v>175</v>
      </c>
      <c r="J390" s="8" t="n">
        <v>88.09</v>
      </c>
      <c r="K390" s="9" t="n">
        <v>0</v>
      </c>
      <c r="L390" s="8" t="n">
        <v>39.84</v>
      </c>
      <c r="M390" s="8">
        <f>H390*I390*(1-K390)</f>
        <v/>
      </c>
      <c r="N390" s="8">
        <f>H390*J390</f>
        <v/>
      </c>
      <c r="O390" s="8">
        <f>M390-N390-L390</f>
        <v/>
      </c>
      <c r="P390" s="10">
        <f>IFERROR(O390/M390,0)</f>
        <v/>
      </c>
      <c r="Q390" s="3">
        <f>IF(H390&lt;=0,"Review: quantity &lt;= 0",IF(K390&gt;0.3,"Review: discount &gt; 30%",IF(G390="","Review: missing customer type","OK")))</f>
        <v/>
      </c>
    </row>
    <row r="391">
      <c r="A391" s="3" t="inlineStr">
        <is>
          <t>ORD-10390</t>
        </is>
      </c>
      <c r="B391" s="7" t="n">
        <v>45833</v>
      </c>
      <c r="C391" s="3" t="inlineStr">
        <is>
          <t>Home &amp; Lifestyle</t>
        </is>
      </c>
      <c r="D391" s="3" t="inlineStr">
        <is>
          <t>Travel Mugs</t>
        </is>
      </c>
      <c r="E391" s="3" t="inlineStr">
        <is>
          <t>Greater Accra</t>
        </is>
      </c>
      <c r="F391" s="3" t="inlineStr">
        <is>
          <t>Retail Shop</t>
        </is>
      </c>
      <c r="G391" s="3" t="inlineStr">
        <is>
          <t>New</t>
        </is>
      </c>
      <c r="H391" s="3" t="n">
        <v>1</v>
      </c>
      <c r="I391" s="8" t="n">
        <v>85</v>
      </c>
      <c r="J391" s="8" t="n">
        <v>45.99</v>
      </c>
      <c r="K391" s="9" t="n">
        <v>0.1</v>
      </c>
      <c r="L391" s="8" t="n">
        <v>9.890000000000001</v>
      </c>
      <c r="M391" s="8">
        <f>H391*I391*(1-K391)</f>
        <v/>
      </c>
      <c r="N391" s="8">
        <f>H391*J391</f>
        <v/>
      </c>
      <c r="O391" s="8">
        <f>M391-N391-L391</f>
        <v/>
      </c>
      <c r="P391" s="10">
        <f>IFERROR(O391/M391,0)</f>
        <v/>
      </c>
      <c r="Q391" s="3">
        <f>IF(H391&lt;=0,"Review: quantity &lt;= 0",IF(K391&gt;0.3,"Review: discount &gt; 30%",IF(G391="","Review: missing customer type","OK")))</f>
        <v/>
      </c>
    </row>
    <row r="392">
      <c r="A392" s="3" t="inlineStr">
        <is>
          <t>ORD-10391</t>
        </is>
      </c>
      <c r="B392" s="7" t="n">
        <v>45696</v>
      </c>
      <c r="C392" s="3" t="inlineStr">
        <is>
          <t>Accessories</t>
        </is>
      </c>
      <c r="D392" s="3" t="inlineStr">
        <is>
          <t>Sunglasses</t>
        </is>
      </c>
      <c r="E392" s="3" t="inlineStr">
        <is>
          <t>Central</t>
        </is>
      </c>
      <c r="F392" s="3" t="inlineStr">
        <is>
          <t>Online</t>
        </is>
      </c>
      <c r="G392" s="3" t="inlineStr">
        <is>
          <t>Returning</t>
        </is>
      </c>
      <c r="H392" s="3" t="n">
        <v>2</v>
      </c>
      <c r="I392" s="8" t="n">
        <v>95</v>
      </c>
      <c r="J392" s="8" t="n">
        <v>48.87</v>
      </c>
      <c r="K392" s="9" t="n">
        <v>0</v>
      </c>
      <c r="L392" s="8" t="n">
        <v>35.79</v>
      </c>
      <c r="M392" s="8">
        <f>H392*I392*(1-K392)</f>
        <v/>
      </c>
      <c r="N392" s="8">
        <f>H392*J392</f>
        <v/>
      </c>
      <c r="O392" s="8">
        <f>M392-N392-L392</f>
        <v/>
      </c>
      <c r="P392" s="10">
        <f>IFERROR(O392/M392,0)</f>
        <v/>
      </c>
      <c r="Q392" s="3">
        <f>IF(H392&lt;=0,"Review: quantity &lt;= 0",IF(K392&gt;0.3,"Review: discount &gt; 30%",IF(G392="","Review: missing customer type","OK")))</f>
        <v/>
      </c>
    </row>
    <row r="393">
      <c r="A393" s="3" t="inlineStr">
        <is>
          <t>ORD-10392</t>
        </is>
      </c>
      <c r="B393" s="7" t="n">
        <v>45721</v>
      </c>
      <c r="C393" s="3" t="inlineStr">
        <is>
          <t>Footwear</t>
        </is>
      </c>
      <c r="D393" s="3" t="inlineStr">
        <is>
          <t>Boots</t>
        </is>
      </c>
      <c r="E393" s="3" t="inlineStr">
        <is>
          <t>Greater Accra</t>
        </is>
      </c>
      <c r="F393" s="3" t="inlineStr">
        <is>
          <t>Retail Shop</t>
        </is>
      </c>
      <c r="G393" s="3" t="inlineStr">
        <is>
          <t>Returning</t>
        </is>
      </c>
      <c r="H393" s="3" t="n">
        <v>1</v>
      </c>
      <c r="I393" s="8" t="n">
        <v>305</v>
      </c>
      <c r="J393" s="8" t="n">
        <v>181.72</v>
      </c>
      <c r="K393" s="9" t="n">
        <v>0</v>
      </c>
      <c r="L393" s="8" t="n">
        <v>10.02</v>
      </c>
      <c r="M393" s="8">
        <f>H393*I393*(1-K393)</f>
        <v/>
      </c>
      <c r="N393" s="8">
        <f>H393*J393</f>
        <v/>
      </c>
      <c r="O393" s="8">
        <f>M393-N393-L393</f>
        <v/>
      </c>
      <c r="P393" s="10">
        <f>IFERROR(O393/M393,0)</f>
        <v/>
      </c>
      <c r="Q393" s="3">
        <f>IF(H393&lt;=0,"Review: quantity &lt;= 0",IF(K393&gt;0.3,"Review: discount &gt; 30%",IF(G393="","Review: missing customer type","OK")))</f>
        <v/>
      </c>
    </row>
    <row r="394">
      <c r="A394" s="3" t="inlineStr">
        <is>
          <t>ORD-10393</t>
        </is>
      </c>
      <c r="B394" s="7" t="n">
        <v>45781</v>
      </c>
      <c r="C394" s="3" t="inlineStr">
        <is>
          <t>Clothing</t>
        </is>
      </c>
      <c r="D394" s="3" t="inlineStr">
        <is>
          <t>Dresses</t>
        </is>
      </c>
      <c r="E394" s="3" t="inlineStr">
        <is>
          <t>Greater Accra</t>
        </is>
      </c>
      <c r="F394" s="3" t="inlineStr">
        <is>
          <t>Retail Shop</t>
        </is>
      </c>
      <c r="G394" s="3" t="inlineStr">
        <is>
          <t>Returning</t>
        </is>
      </c>
      <c r="H394" s="3" t="n">
        <v>4</v>
      </c>
      <c r="I394" s="8" t="n">
        <v>185</v>
      </c>
      <c r="J394" s="8" t="n">
        <v>88.31</v>
      </c>
      <c r="K394" s="9" t="n">
        <v>0.05</v>
      </c>
      <c r="L394" s="8" t="n">
        <v>5.02</v>
      </c>
      <c r="M394" s="8">
        <f>H394*I394*(1-K394)</f>
        <v/>
      </c>
      <c r="N394" s="8">
        <f>H394*J394</f>
        <v/>
      </c>
      <c r="O394" s="8">
        <f>M394-N394-L394</f>
        <v/>
      </c>
      <c r="P394" s="10">
        <f>IFERROR(O394/M394,0)</f>
        <v/>
      </c>
      <c r="Q394" s="3">
        <f>IF(H394&lt;=0,"Review: quantity &lt;= 0",IF(K394&gt;0.3,"Review: discount &gt; 30%",IF(G394="","Review: missing customer type","OK")))</f>
        <v/>
      </c>
    </row>
    <row r="395">
      <c r="A395" s="3" t="inlineStr">
        <is>
          <t>ORD-10394</t>
        </is>
      </c>
      <c r="B395" s="7" t="n">
        <v>45930</v>
      </c>
      <c r="C395" s="3" t="inlineStr">
        <is>
          <t>Home &amp; Lifestyle</t>
        </is>
      </c>
      <c r="D395" s="3" t="inlineStr">
        <is>
          <t>Backpacks</t>
        </is>
      </c>
      <c r="E395" s="3" t="inlineStr">
        <is>
          <t>Greater Accra</t>
        </is>
      </c>
      <c r="F395" s="3" t="inlineStr">
        <is>
          <t>Online</t>
        </is>
      </c>
      <c r="G395" s="3" t="inlineStr">
        <is>
          <t>New</t>
        </is>
      </c>
      <c r="H395" s="3" t="n">
        <v>3</v>
      </c>
      <c r="I395" s="8" t="n">
        <v>75</v>
      </c>
      <c r="J395" s="8" t="n">
        <v>36.95</v>
      </c>
      <c r="K395" s="9" t="n">
        <v>0</v>
      </c>
      <c r="L395" s="8" t="n">
        <v>24.41</v>
      </c>
      <c r="M395" s="8">
        <f>H395*I395*(1-K395)</f>
        <v/>
      </c>
      <c r="N395" s="8">
        <f>H395*J395</f>
        <v/>
      </c>
      <c r="O395" s="8">
        <f>M395-N395-L395</f>
        <v/>
      </c>
      <c r="P395" s="10">
        <f>IFERROR(O395/M395,0)</f>
        <v/>
      </c>
      <c r="Q395" s="3">
        <f>IF(H395&lt;=0,"Review: quantity &lt;= 0",IF(K395&gt;0.3,"Review: discount &gt; 30%",IF(G395="","Review: missing customer type","OK")))</f>
        <v/>
      </c>
    </row>
    <row r="396">
      <c r="A396" s="3" t="inlineStr">
        <is>
          <t>ORD-10395</t>
        </is>
      </c>
      <c r="B396" s="7" t="n">
        <v>45843</v>
      </c>
      <c r="C396" s="3" t="inlineStr">
        <is>
          <t>Home &amp; Lifestyle</t>
        </is>
      </c>
      <c r="D396" s="3" t="inlineStr">
        <is>
          <t>Wallets</t>
        </is>
      </c>
      <c r="E396" s="3" t="inlineStr">
        <is>
          <t>Greater Accra</t>
        </is>
      </c>
      <c r="F396" s="3" t="inlineStr">
        <is>
          <t>Online</t>
        </is>
      </c>
      <c r="G396" s="3" t="inlineStr">
        <is>
          <t>Returning</t>
        </is>
      </c>
      <c r="H396" s="3" t="n">
        <v>1</v>
      </c>
      <c r="I396" s="8" t="n">
        <v>175</v>
      </c>
      <c r="J396" s="8" t="n">
        <v>106.21</v>
      </c>
      <c r="K396" s="9" t="n">
        <v>0</v>
      </c>
      <c r="L396" s="8" t="n">
        <v>18.97</v>
      </c>
      <c r="M396" s="8">
        <f>H396*I396*(1-K396)</f>
        <v/>
      </c>
      <c r="N396" s="8">
        <f>H396*J396</f>
        <v/>
      </c>
      <c r="O396" s="8">
        <f>M396-N396-L396</f>
        <v/>
      </c>
      <c r="P396" s="10">
        <f>IFERROR(O396/M396,0)</f>
        <v/>
      </c>
      <c r="Q396" s="3">
        <f>IF(H396&lt;=0,"Review: quantity &lt;= 0",IF(K396&gt;0.3,"Review: discount &gt; 30%",IF(G396="","Review: missing customer type","OK")))</f>
        <v/>
      </c>
    </row>
    <row r="397">
      <c r="A397" s="3" t="inlineStr">
        <is>
          <t>ORD-10396</t>
        </is>
      </c>
      <c r="B397" s="7" t="n">
        <v>45749</v>
      </c>
      <c r="C397" s="3" t="inlineStr">
        <is>
          <t>Home &amp; Lifestyle</t>
        </is>
      </c>
      <c r="D397" s="3" t="inlineStr">
        <is>
          <t>Backpacks</t>
        </is>
      </c>
      <c r="E397" s="3" t="inlineStr">
        <is>
          <t>Greater Accra</t>
        </is>
      </c>
      <c r="F397" s="3" t="inlineStr">
        <is>
          <t>Online</t>
        </is>
      </c>
      <c r="G397" s="3" t="inlineStr">
        <is>
          <t>New</t>
        </is>
      </c>
      <c r="H397" s="3" t="n">
        <v>2</v>
      </c>
      <c r="I397" s="8" t="n">
        <v>95</v>
      </c>
      <c r="J397" s="8" t="n">
        <v>55.74</v>
      </c>
      <c r="K397" s="9" t="n">
        <v>0.1</v>
      </c>
      <c r="L397" s="8" t="n">
        <v>14.84</v>
      </c>
      <c r="M397" s="8">
        <f>H397*I397*(1-K397)</f>
        <v/>
      </c>
      <c r="N397" s="8">
        <f>H397*J397</f>
        <v/>
      </c>
      <c r="O397" s="8">
        <f>M397-N397-L397</f>
        <v/>
      </c>
      <c r="P397" s="10">
        <f>IFERROR(O397/M397,0)</f>
        <v/>
      </c>
      <c r="Q397" s="3">
        <f>IF(H397&lt;=0,"Review: quantity &lt;= 0",IF(K397&gt;0.3,"Review: discount &gt; 30%",IF(G397="","Review: missing customer type","OK")))</f>
        <v/>
      </c>
    </row>
    <row r="398">
      <c r="A398" s="3" t="inlineStr">
        <is>
          <t>ORD-10397</t>
        </is>
      </c>
      <c r="B398" s="7" t="n">
        <v>45799</v>
      </c>
      <c r="C398" s="3" t="inlineStr">
        <is>
          <t>Accessories</t>
        </is>
      </c>
      <c r="D398" s="3" t="inlineStr">
        <is>
          <t>Bags</t>
        </is>
      </c>
      <c r="E398" s="3" t="inlineStr">
        <is>
          <t>Northern</t>
        </is>
      </c>
      <c r="F398" s="3" t="inlineStr">
        <is>
          <t>Retail Shop</t>
        </is>
      </c>
      <c r="G398" s="3" t="inlineStr">
        <is>
          <t>Returning</t>
        </is>
      </c>
      <c r="H398" s="3" t="n">
        <v>1</v>
      </c>
      <c r="I398" s="8" t="n">
        <v>35</v>
      </c>
      <c r="J398" s="8" t="n">
        <v>18.09</v>
      </c>
      <c r="K398" s="9" t="n">
        <v>0</v>
      </c>
      <c r="L398" s="8" t="n">
        <v>6.42</v>
      </c>
      <c r="M398" s="8">
        <f>H398*I398*(1-K398)</f>
        <v/>
      </c>
      <c r="N398" s="8">
        <f>H398*J398</f>
        <v/>
      </c>
      <c r="O398" s="8">
        <f>M398-N398-L398</f>
        <v/>
      </c>
      <c r="P398" s="10">
        <f>IFERROR(O398/M398,0)</f>
        <v/>
      </c>
      <c r="Q398" s="3">
        <f>IF(H398&lt;=0,"Review: quantity &lt;= 0",IF(K398&gt;0.3,"Review: discount &gt; 30%",IF(G398="","Review: missing customer type","OK")))</f>
        <v/>
      </c>
    </row>
    <row r="399">
      <c r="A399" s="3" t="inlineStr">
        <is>
          <t>ORD-10398</t>
        </is>
      </c>
      <c r="B399" s="7" t="n">
        <v>45674</v>
      </c>
      <c r="C399" s="3" t="inlineStr">
        <is>
          <t>Home &amp; Lifestyle</t>
        </is>
      </c>
      <c r="D399" s="3" t="inlineStr">
        <is>
          <t>Wallets</t>
        </is>
      </c>
      <c r="E399" s="3" t="inlineStr">
        <is>
          <t>Greater Accra</t>
        </is>
      </c>
      <c r="F399" s="3" t="inlineStr">
        <is>
          <t>Online</t>
        </is>
      </c>
      <c r="G399" s="3" t="inlineStr">
        <is>
          <t>New</t>
        </is>
      </c>
      <c r="H399" s="3" t="n">
        <v>4</v>
      </c>
      <c r="I399" s="8" t="n">
        <v>85</v>
      </c>
      <c r="J399" s="8" t="n">
        <v>50.33</v>
      </c>
      <c r="K399" s="9" t="n">
        <v>0.05</v>
      </c>
      <c r="L399" s="8" t="n">
        <v>43.78</v>
      </c>
      <c r="M399" s="8">
        <f>H399*I399*(1-K399)</f>
        <v/>
      </c>
      <c r="N399" s="8">
        <f>H399*J399</f>
        <v/>
      </c>
      <c r="O399" s="8">
        <f>M399-N399-L399</f>
        <v/>
      </c>
      <c r="P399" s="10">
        <f>IFERROR(O399/M399,0)</f>
        <v/>
      </c>
      <c r="Q399" s="3">
        <f>IF(H399&lt;=0,"Review: quantity &lt;= 0",IF(K399&gt;0.3,"Review: discount &gt; 30%",IF(G399="","Review: missing customer type","OK")))</f>
        <v/>
      </c>
    </row>
    <row r="400">
      <c r="A400" s="3" t="inlineStr">
        <is>
          <t>ORD-10399</t>
        </is>
      </c>
      <c r="B400" s="7" t="n">
        <v>45753</v>
      </c>
      <c r="C400" s="3" t="inlineStr">
        <is>
          <t>Home &amp; Lifestyle</t>
        </is>
      </c>
      <c r="D400" s="3" t="inlineStr">
        <is>
          <t>Travel Mugs</t>
        </is>
      </c>
      <c r="E400" s="3" t="inlineStr">
        <is>
          <t>Ashanti</t>
        </is>
      </c>
      <c r="F400" s="3" t="inlineStr">
        <is>
          <t>Phone/WhatsApp</t>
        </is>
      </c>
      <c r="G400" s="3" t="inlineStr">
        <is>
          <t>Returning</t>
        </is>
      </c>
      <c r="H400" s="3" t="n">
        <v>2</v>
      </c>
      <c r="I400" s="8" t="n">
        <v>235</v>
      </c>
      <c r="J400" s="8" t="n">
        <v>140.05</v>
      </c>
      <c r="K400" s="9" t="n">
        <v>0</v>
      </c>
      <c r="L400" s="8" t="n">
        <v>35.18</v>
      </c>
      <c r="M400" s="8">
        <f>H400*I400*(1-K400)</f>
        <v/>
      </c>
      <c r="N400" s="8">
        <f>H400*J400</f>
        <v/>
      </c>
      <c r="O400" s="8">
        <f>M400-N400-L400</f>
        <v/>
      </c>
      <c r="P400" s="10">
        <f>IFERROR(O400/M400,0)</f>
        <v/>
      </c>
      <c r="Q400" s="3">
        <f>IF(H400&lt;=0,"Review: quantity &lt;= 0",IF(K400&gt;0.3,"Review: discount &gt; 30%",IF(G400="","Review: missing customer type","OK")))</f>
        <v/>
      </c>
    </row>
    <row r="401">
      <c r="A401" s="3" t="inlineStr">
        <is>
          <t>ORD-10400</t>
        </is>
      </c>
      <c r="B401" s="7" t="n">
        <v>45966</v>
      </c>
      <c r="C401" s="3" t="inlineStr">
        <is>
          <t>Home &amp; Lifestyle</t>
        </is>
      </c>
      <c r="D401" s="3" t="inlineStr">
        <is>
          <t>Wallets</t>
        </is>
      </c>
      <c r="E401" s="3" t="inlineStr">
        <is>
          <t>Ashanti</t>
        </is>
      </c>
      <c r="F401" s="3" t="inlineStr">
        <is>
          <t>Online</t>
        </is>
      </c>
      <c r="G401" s="3" t="inlineStr">
        <is>
          <t>Returning</t>
        </is>
      </c>
      <c r="H401" s="3" t="n">
        <v>3</v>
      </c>
      <c r="I401" s="8" t="n">
        <v>100</v>
      </c>
      <c r="J401" s="8" t="n">
        <v>53.51</v>
      </c>
      <c r="K401" s="9" t="n">
        <v>0.1</v>
      </c>
      <c r="L401" s="8" t="n">
        <v>17.42</v>
      </c>
      <c r="M401" s="8">
        <f>H401*I401*(1-K401)</f>
        <v/>
      </c>
      <c r="N401" s="8">
        <f>H401*J401</f>
        <v/>
      </c>
      <c r="O401" s="8">
        <f>M401-N401-L401</f>
        <v/>
      </c>
      <c r="P401" s="10">
        <f>IFERROR(O401/M401,0)</f>
        <v/>
      </c>
      <c r="Q401" s="3">
        <f>IF(H401&lt;=0,"Review: quantity &lt;= 0",IF(K401&gt;0.3,"Review: discount &gt; 30%",IF(G401="","Review: missing customer type","OK")))</f>
        <v/>
      </c>
    </row>
    <row r="402">
      <c r="A402" s="3" t="inlineStr">
        <is>
          <t>ORD-10401</t>
        </is>
      </c>
      <c r="B402" s="7" t="n">
        <v>45708</v>
      </c>
      <c r="C402" s="3" t="inlineStr">
        <is>
          <t>Home &amp; Lifestyle</t>
        </is>
      </c>
      <c r="D402" s="3" t="inlineStr">
        <is>
          <t>Wallets</t>
        </is>
      </c>
      <c r="E402" s="3" t="inlineStr">
        <is>
          <t>Greater Accra</t>
        </is>
      </c>
      <c r="F402" s="3" t="inlineStr">
        <is>
          <t>Phone/WhatsApp</t>
        </is>
      </c>
      <c r="G402" s="3" t="inlineStr">
        <is>
          <t>New</t>
        </is>
      </c>
      <c r="H402" s="3" t="n">
        <v>2</v>
      </c>
      <c r="I402" s="8" t="n">
        <v>170</v>
      </c>
      <c r="J402" s="8" t="n">
        <v>84.97</v>
      </c>
      <c r="K402" s="9" t="n">
        <v>0.1</v>
      </c>
      <c r="L402" s="8" t="n">
        <v>32.57</v>
      </c>
      <c r="M402" s="8">
        <f>H402*I402*(1-K402)</f>
        <v/>
      </c>
      <c r="N402" s="8">
        <f>H402*J402</f>
        <v/>
      </c>
      <c r="O402" s="8">
        <f>M402-N402-L402</f>
        <v/>
      </c>
      <c r="P402" s="10">
        <f>IFERROR(O402/M402,0)</f>
        <v/>
      </c>
      <c r="Q402" s="3">
        <f>IF(H402&lt;=0,"Review: quantity &lt;= 0",IF(K402&gt;0.3,"Review: discount &gt; 30%",IF(G402="","Review: missing customer type","OK")))</f>
        <v/>
      </c>
    </row>
    <row r="403">
      <c r="A403" s="3" t="inlineStr">
        <is>
          <t>ORD-10402</t>
        </is>
      </c>
      <c r="B403" s="7" t="n">
        <v>45872</v>
      </c>
      <c r="C403" s="3" t="inlineStr">
        <is>
          <t>Clothing</t>
        </is>
      </c>
      <c r="D403" s="3" t="inlineStr">
        <is>
          <t>Shirts</t>
        </is>
      </c>
      <c r="E403" s="3" t="inlineStr">
        <is>
          <t>Central</t>
        </is>
      </c>
      <c r="F403" s="3" t="inlineStr">
        <is>
          <t>Online</t>
        </is>
      </c>
      <c r="G403" s="3" t="inlineStr">
        <is>
          <t>Returning</t>
        </is>
      </c>
      <c r="H403" s="3" t="n">
        <v>1</v>
      </c>
      <c r="I403" s="8" t="n">
        <v>170</v>
      </c>
      <c r="J403" s="8" t="n">
        <v>78.89</v>
      </c>
      <c r="K403" s="9" t="n">
        <v>0</v>
      </c>
      <c r="L403" s="8" t="n">
        <v>22.13</v>
      </c>
      <c r="M403" s="8">
        <f>H403*I403*(1-K403)</f>
        <v/>
      </c>
      <c r="N403" s="8">
        <f>H403*J403</f>
        <v/>
      </c>
      <c r="O403" s="8">
        <f>M403-N403-L403</f>
        <v/>
      </c>
      <c r="P403" s="10">
        <f>IFERROR(O403/M403,0)</f>
        <v/>
      </c>
      <c r="Q403" s="3">
        <f>IF(H403&lt;=0,"Review: quantity &lt;= 0",IF(K403&gt;0.3,"Review: discount &gt; 30%",IF(G403="","Review: missing customer type","OK")))</f>
        <v/>
      </c>
    </row>
    <row r="404">
      <c r="A404" s="3" t="inlineStr">
        <is>
          <t>ORD-10403</t>
        </is>
      </c>
      <c r="B404" s="7" t="n">
        <v>45788</v>
      </c>
      <c r="C404" s="3" t="inlineStr">
        <is>
          <t>Clothing</t>
        </is>
      </c>
      <c r="D404" s="3" t="inlineStr">
        <is>
          <t>Shirts</t>
        </is>
      </c>
      <c r="E404" s="3" t="inlineStr">
        <is>
          <t>Ashanti</t>
        </is>
      </c>
      <c r="F404" s="3" t="inlineStr">
        <is>
          <t>Online</t>
        </is>
      </c>
      <c r="G404" s="3" t="inlineStr">
        <is>
          <t>Returning</t>
        </is>
      </c>
      <c r="H404" s="3" t="n">
        <v>3</v>
      </c>
      <c r="I404" s="8" t="n">
        <v>190</v>
      </c>
      <c r="J404" s="8" t="n">
        <v>108.18</v>
      </c>
      <c r="K404" s="9" t="n">
        <v>0</v>
      </c>
      <c r="L404" s="8" t="n">
        <v>22.69</v>
      </c>
      <c r="M404" s="8">
        <f>H404*I404*(1-K404)</f>
        <v/>
      </c>
      <c r="N404" s="8">
        <f>H404*J404</f>
        <v/>
      </c>
      <c r="O404" s="8">
        <f>M404-N404-L404</f>
        <v/>
      </c>
      <c r="P404" s="10">
        <f>IFERROR(O404/M404,0)</f>
        <v/>
      </c>
      <c r="Q404" s="3">
        <f>IF(H404&lt;=0,"Review: quantity &lt;= 0",IF(K404&gt;0.3,"Review: discount &gt; 30%",IF(G404="","Review: missing customer type","OK")))</f>
        <v/>
      </c>
    </row>
    <row r="405">
      <c r="A405" s="3" t="inlineStr">
        <is>
          <t>ORD-10404</t>
        </is>
      </c>
      <c r="B405" s="7" t="n">
        <v>45750</v>
      </c>
      <c r="C405" s="3" t="inlineStr">
        <is>
          <t>Clothing</t>
        </is>
      </c>
      <c r="D405" s="3" t="inlineStr">
        <is>
          <t>Jackets</t>
        </is>
      </c>
      <c r="E405" s="3" t="inlineStr">
        <is>
          <t>Central</t>
        </is>
      </c>
      <c r="F405" s="3" t="inlineStr">
        <is>
          <t>Retail Shop</t>
        </is>
      </c>
      <c r="G405" s="3" t="inlineStr">
        <is>
          <t>Returning</t>
        </is>
      </c>
      <c r="H405" s="3" t="n">
        <v>2</v>
      </c>
      <c r="I405" s="8" t="n">
        <v>260</v>
      </c>
      <c r="J405" s="8" t="n">
        <v>125.42</v>
      </c>
      <c r="K405" s="9" t="n">
        <v>0.05</v>
      </c>
      <c r="L405" s="8" t="n">
        <v>11.04</v>
      </c>
      <c r="M405" s="8">
        <f>H405*I405*(1-K405)</f>
        <v/>
      </c>
      <c r="N405" s="8">
        <f>H405*J405</f>
        <v/>
      </c>
      <c r="O405" s="8">
        <f>M405-N405-L405</f>
        <v/>
      </c>
      <c r="P405" s="10">
        <f>IFERROR(O405/M405,0)</f>
        <v/>
      </c>
      <c r="Q405" s="3">
        <f>IF(H405&lt;=0,"Review: quantity &lt;= 0",IF(K405&gt;0.3,"Review: discount &gt; 30%",IF(G405="","Review: missing customer type","OK")))</f>
        <v/>
      </c>
    </row>
    <row r="406">
      <c r="A406" s="3" t="inlineStr">
        <is>
          <t>ORD-10405</t>
        </is>
      </c>
      <c r="B406" s="7" t="n">
        <v>45817</v>
      </c>
      <c r="C406" s="3" t="inlineStr">
        <is>
          <t>Footwear</t>
        </is>
      </c>
      <c r="D406" s="3" t="inlineStr">
        <is>
          <t>Sneakers</t>
        </is>
      </c>
      <c r="E406" s="3" t="inlineStr">
        <is>
          <t>Central</t>
        </is>
      </c>
      <c r="F406" s="3" t="inlineStr">
        <is>
          <t>Retail Shop</t>
        </is>
      </c>
      <c r="G406" s="3" t="inlineStr">
        <is>
          <t>Returning</t>
        </is>
      </c>
      <c r="H406" s="3" t="n">
        <v>3</v>
      </c>
      <c r="I406" s="8" t="n">
        <v>230</v>
      </c>
      <c r="J406" s="8" t="n">
        <v>142.8</v>
      </c>
      <c r="K406" s="9" t="n">
        <v>0.1</v>
      </c>
      <c r="L406" s="8" t="n">
        <v>8.09</v>
      </c>
      <c r="M406" s="8">
        <f>H406*I406*(1-K406)</f>
        <v/>
      </c>
      <c r="N406" s="8">
        <f>H406*J406</f>
        <v/>
      </c>
      <c r="O406" s="8">
        <f>M406-N406-L406</f>
        <v/>
      </c>
      <c r="P406" s="10">
        <f>IFERROR(O406/M406,0)</f>
        <v/>
      </c>
      <c r="Q406" s="3">
        <f>IF(H406&lt;=0,"Review: quantity &lt;= 0",IF(K406&gt;0.3,"Review: discount &gt; 30%",IF(G406="","Review: missing customer type","OK")))</f>
        <v/>
      </c>
    </row>
    <row r="407">
      <c r="A407" s="3" t="inlineStr">
        <is>
          <t>ORD-10406</t>
        </is>
      </c>
      <c r="B407" s="7" t="n">
        <v>45852</v>
      </c>
      <c r="C407" s="3" t="inlineStr">
        <is>
          <t>Accessories</t>
        </is>
      </c>
      <c r="D407" s="3" t="inlineStr">
        <is>
          <t>Watches</t>
        </is>
      </c>
      <c r="E407" s="3" t="inlineStr">
        <is>
          <t>Western</t>
        </is>
      </c>
      <c r="F407" s="3" t="inlineStr">
        <is>
          <t>Retail Shop</t>
        </is>
      </c>
      <c r="G407" s="3" t="inlineStr">
        <is>
          <t>Returning</t>
        </is>
      </c>
      <c r="H407" s="3" t="n">
        <v>1</v>
      </c>
      <c r="I407" s="8" t="n">
        <v>140</v>
      </c>
      <c r="J407" s="8" t="n">
        <v>74.13</v>
      </c>
      <c r="K407" s="9" t="n">
        <v>0.05</v>
      </c>
      <c r="L407" s="8" t="n">
        <v>7.07</v>
      </c>
      <c r="M407" s="8">
        <f>H407*I407*(1-K407)</f>
        <v/>
      </c>
      <c r="N407" s="8">
        <f>H407*J407</f>
        <v/>
      </c>
      <c r="O407" s="8">
        <f>M407-N407-L407</f>
        <v/>
      </c>
      <c r="P407" s="10">
        <f>IFERROR(O407/M407,0)</f>
        <v/>
      </c>
      <c r="Q407" s="3">
        <f>IF(H407&lt;=0,"Review: quantity &lt;= 0",IF(K407&gt;0.3,"Review: discount &gt; 30%",IF(G407="","Review: missing customer type","OK")))</f>
        <v/>
      </c>
    </row>
    <row r="408">
      <c r="A408" s="3" t="inlineStr">
        <is>
          <t>ORD-10407</t>
        </is>
      </c>
      <c r="B408" s="7" t="n">
        <v>45895</v>
      </c>
      <c r="C408" s="3" t="inlineStr">
        <is>
          <t>Footwear</t>
        </is>
      </c>
      <c r="D408" s="3" t="inlineStr">
        <is>
          <t>Sneakers</t>
        </is>
      </c>
      <c r="E408" s="3" t="inlineStr">
        <is>
          <t>Ashanti</t>
        </is>
      </c>
      <c r="F408" s="3" t="inlineStr">
        <is>
          <t>Online</t>
        </is>
      </c>
      <c r="G408" s="3" t="inlineStr">
        <is>
          <t>New</t>
        </is>
      </c>
      <c r="H408" s="3" t="n">
        <v>3</v>
      </c>
      <c r="I408" s="8" t="n">
        <v>310</v>
      </c>
      <c r="J408" s="8" t="n">
        <v>166.44</v>
      </c>
      <c r="K408" s="9" t="n">
        <v>0.05</v>
      </c>
      <c r="L408" s="8" t="n">
        <v>28.06</v>
      </c>
      <c r="M408" s="8">
        <f>H408*I408*(1-K408)</f>
        <v/>
      </c>
      <c r="N408" s="8">
        <f>H408*J408</f>
        <v/>
      </c>
      <c r="O408" s="8">
        <f>M408-N408-L408</f>
        <v/>
      </c>
      <c r="P408" s="10">
        <f>IFERROR(O408/M408,0)</f>
        <v/>
      </c>
      <c r="Q408" s="3">
        <f>IF(H408&lt;=0,"Review: quantity &lt;= 0",IF(K408&gt;0.3,"Review: discount &gt; 30%",IF(G408="","Review: missing customer type","OK")))</f>
        <v/>
      </c>
    </row>
    <row r="409">
      <c r="A409" s="3" t="inlineStr">
        <is>
          <t>ORD-10408</t>
        </is>
      </c>
      <c r="B409" s="7" t="n">
        <v>46009</v>
      </c>
      <c r="C409" s="3" t="inlineStr">
        <is>
          <t>Accessories</t>
        </is>
      </c>
      <c r="D409" s="3" t="inlineStr">
        <is>
          <t>Bags</t>
        </is>
      </c>
      <c r="E409" s="3" t="inlineStr">
        <is>
          <t>Western</t>
        </is>
      </c>
      <c r="F409" s="3" t="inlineStr">
        <is>
          <t>Phone/WhatsApp</t>
        </is>
      </c>
      <c r="G409" s="3" t="inlineStr">
        <is>
          <t>New</t>
        </is>
      </c>
      <c r="H409" s="3" t="n">
        <v>2</v>
      </c>
      <c r="I409" s="8" t="n">
        <v>125</v>
      </c>
      <c r="J409" s="8" t="n">
        <v>65.5</v>
      </c>
      <c r="K409" s="9" t="n">
        <v>0</v>
      </c>
      <c r="L409" s="8" t="n">
        <v>41.67</v>
      </c>
      <c r="M409" s="8">
        <f>H409*I409*(1-K409)</f>
        <v/>
      </c>
      <c r="N409" s="8">
        <f>H409*J409</f>
        <v/>
      </c>
      <c r="O409" s="8">
        <f>M409-N409-L409</f>
        <v/>
      </c>
      <c r="P409" s="10">
        <f>IFERROR(O409/M409,0)</f>
        <v/>
      </c>
      <c r="Q409" s="3">
        <f>IF(H409&lt;=0,"Review: quantity &lt;= 0",IF(K409&gt;0.3,"Review: discount &gt; 30%",IF(G409="","Review: missing customer type","OK")))</f>
        <v/>
      </c>
    </row>
    <row r="410">
      <c r="A410" s="3" t="inlineStr">
        <is>
          <t>ORD-10409</t>
        </is>
      </c>
      <c r="B410" s="7" t="n">
        <v>45700</v>
      </c>
      <c r="C410" s="3" t="inlineStr">
        <is>
          <t>Footwear</t>
        </is>
      </c>
      <c r="D410" s="3" t="inlineStr">
        <is>
          <t>Sneakers</t>
        </is>
      </c>
      <c r="E410" s="3" t="inlineStr">
        <is>
          <t>Central</t>
        </is>
      </c>
      <c r="F410" s="3" t="inlineStr">
        <is>
          <t>Retail Shop</t>
        </is>
      </c>
      <c r="G410" s="3" t="inlineStr">
        <is>
          <t>New</t>
        </is>
      </c>
      <c r="H410" s="3" t="n">
        <v>1</v>
      </c>
      <c r="I410" s="8" t="n">
        <v>455</v>
      </c>
      <c r="J410" s="8" t="n">
        <v>280.14</v>
      </c>
      <c r="K410" s="9" t="n">
        <v>0.2</v>
      </c>
      <c r="L410" s="8" t="n">
        <v>11.42</v>
      </c>
      <c r="M410" s="8">
        <f>H410*I410*(1-K410)</f>
        <v/>
      </c>
      <c r="N410" s="8">
        <f>H410*J410</f>
        <v/>
      </c>
      <c r="O410" s="8">
        <f>M410-N410-L410</f>
        <v/>
      </c>
      <c r="P410" s="10">
        <f>IFERROR(O410/M410,0)</f>
        <v/>
      </c>
      <c r="Q410" s="3">
        <f>IF(H410&lt;=0,"Review: quantity &lt;= 0",IF(K410&gt;0.3,"Review: discount &gt; 30%",IF(G410="","Review: missing customer type","OK")))</f>
        <v/>
      </c>
    </row>
    <row r="411">
      <c r="A411" s="3" t="inlineStr">
        <is>
          <t>ORD-10410</t>
        </is>
      </c>
      <c r="B411" s="7" t="n">
        <v>45696</v>
      </c>
      <c r="C411" s="3" t="inlineStr">
        <is>
          <t>Footwear</t>
        </is>
      </c>
      <c r="D411" s="3" t="inlineStr">
        <is>
          <t>Sneakers</t>
        </is>
      </c>
      <c r="E411" s="3" t="inlineStr">
        <is>
          <t>Greater Accra</t>
        </is>
      </c>
      <c r="F411" s="3" t="inlineStr">
        <is>
          <t>Retail Shop</t>
        </is>
      </c>
      <c r="G411" s="3" t="inlineStr">
        <is>
          <t>Returning</t>
        </is>
      </c>
      <c r="H411" s="3" t="n">
        <v>3</v>
      </c>
      <c r="I411" s="8" t="n">
        <v>390</v>
      </c>
      <c r="J411" s="8" t="n">
        <v>220.94</v>
      </c>
      <c r="K411" s="9" t="n">
        <v>0</v>
      </c>
      <c r="L411" s="8" t="n">
        <v>6.88</v>
      </c>
      <c r="M411" s="8">
        <f>H411*I411*(1-K411)</f>
        <v/>
      </c>
      <c r="N411" s="8">
        <f>H411*J411</f>
        <v/>
      </c>
      <c r="O411" s="8">
        <f>M411-N411-L411</f>
        <v/>
      </c>
      <c r="P411" s="10">
        <f>IFERROR(O411/M411,0)</f>
        <v/>
      </c>
      <c r="Q411" s="3">
        <f>IF(H411&lt;=0,"Review: quantity &lt;= 0",IF(K411&gt;0.3,"Review: discount &gt; 30%",IF(G411="","Review: missing customer type","OK")))</f>
        <v/>
      </c>
    </row>
    <row r="412">
      <c r="A412" s="3" t="inlineStr">
        <is>
          <t>ORD-10411</t>
        </is>
      </c>
      <c r="B412" s="7" t="n">
        <v>45817</v>
      </c>
      <c r="C412" s="3" t="inlineStr">
        <is>
          <t>Clothing</t>
        </is>
      </c>
      <c r="D412" s="3" t="inlineStr">
        <is>
          <t>Jackets</t>
        </is>
      </c>
      <c r="E412" s="3" t="inlineStr">
        <is>
          <t>Western</t>
        </is>
      </c>
      <c r="F412" s="3" t="inlineStr">
        <is>
          <t>Phone/WhatsApp</t>
        </is>
      </c>
      <c r="G412" s="3" t="inlineStr">
        <is>
          <t>New</t>
        </is>
      </c>
      <c r="H412" s="3" t="n">
        <v>2</v>
      </c>
      <c r="I412" s="8" t="n">
        <v>150</v>
      </c>
      <c r="J412" s="8" t="n">
        <v>74.84999999999999</v>
      </c>
      <c r="K412" s="9" t="n">
        <v>0.15</v>
      </c>
      <c r="L412" s="8" t="n">
        <v>36.56</v>
      </c>
      <c r="M412" s="8">
        <f>H412*I412*(1-K412)</f>
        <v/>
      </c>
      <c r="N412" s="8">
        <f>H412*J412</f>
        <v/>
      </c>
      <c r="O412" s="8">
        <f>M412-N412-L412</f>
        <v/>
      </c>
      <c r="P412" s="10">
        <f>IFERROR(O412/M412,0)</f>
        <v/>
      </c>
      <c r="Q412" s="3">
        <f>IF(H412&lt;=0,"Review: quantity &lt;= 0",IF(K412&gt;0.3,"Review: discount &gt; 30%",IF(G412="","Review: missing customer type","OK")))</f>
        <v/>
      </c>
    </row>
    <row r="413">
      <c r="A413" s="3" t="inlineStr">
        <is>
          <t>ORD-10412</t>
        </is>
      </c>
      <c r="B413" s="7" t="n">
        <v>45915</v>
      </c>
      <c r="C413" s="3" t="inlineStr">
        <is>
          <t>Home &amp; Lifestyle</t>
        </is>
      </c>
      <c r="D413" s="3" t="inlineStr">
        <is>
          <t>Travel Mugs</t>
        </is>
      </c>
      <c r="E413" s="3" t="inlineStr">
        <is>
          <t>Greater Accra</t>
        </is>
      </c>
      <c r="F413" s="3" t="inlineStr">
        <is>
          <t>Online</t>
        </is>
      </c>
      <c r="G413" s="3" t="inlineStr">
        <is>
          <t>New</t>
        </is>
      </c>
      <c r="H413" s="3" t="n">
        <v>1</v>
      </c>
      <c r="I413" s="8" t="n">
        <v>145</v>
      </c>
      <c r="J413" s="8" t="n">
        <v>71.31</v>
      </c>
      <c r="K413" s="9" t="n">
        <v>0.05</v>
      </c>
      <c r="L413" s="8" t="n">
        <v>22.56</v>
      </c>
      <c r="M413" s="8">
        <f>H413*I413*(1-K413)</f>
        <v/>
      </c>
      <c r="N413" s="8">
        <f>H413*J413</f>
        <v/>
      </c>
      <c r="O413" s="8">
        <f>M413-N413-L413</f>
        <v/>
      </c>
      <c r="P413" s="10">
        <f>IFERROR(O413/M413,0)</f>
        <v/>
      </c>
      <c r="Q413" s="3">
        <f>IF(H413&lt;=0,"Review: quantity &lt;= 0",IF(K413&gt;0.3,"Review: discount &gt; 30%",IF(G413="","Review: missing customer type","OK")))</f>
        <v/>
      </c>
    </row>
    <row r="414">
      <c r="A414" s="3" t="inlineStr">
        <is>
          <t>ORD-10413</t>
        </is>
      </c>
      <c r="B414" s="7" t="n">
        <v>45766</v>
      </c>
      <c r="C414" s="3" t="inlineStr">
        <is>
          <t>Footwear</t>
        </is>
      </c>
      <c r="D414" s="3" t="inlineStr">
        <is>
          <t>Sneakers</t>
        </is>
      </c>
      <c r="E414" s="3" t="inlineStr">
        <is>
          <t>Ashanti</t>
        </is>
      </c>
      <c r="F414" s="3" t="inlineStr">
        <is>
          <t>Online</t>
        </is>
      </c>
      <c r="G414" s="3" t="inlineStr">
        <is>
          <t>New</t>
        </is>
      </c>
      <c r="H414" s="3" t="n">
        <v>2</v>
      </c>
      <c r="I414" s="8" t="n">
        <v>460</v>
      </c>
      <c r="J414" s="8" t="n">
        <v>266.79</v>
      </c>
      <c r="K414" s="9" t="n">
        <v>0.05</v>
      </c>
      <c r="L414" s="8" t="n">
        <v>39.83</v>
      </c>
      <c r="M414" s="8">
        <f>H414*I414*(1-K414)</f>
        <v/>
      </c>
      <c r="N414" s="8">
        <f>H414*J414</f>
        <v/>
      </c>
      <c r="O414" s="8">
        <f>M414-N414-L414</f>
        <v/>
      </c>
      <c r="P414" s="10">
        <f>IFERROR(O414/M414,0)</f>
        <v/>
      </c>
      <c r="Q414" s="3">
        <f>IF(H414&lt;=0,"Review: quantity &lt;= 0",IF(K414&gt;0.3,"Review: discount &gt; 30%",IF(G414="","Review: missing customer type","OK")))</f>
        <v/>
      </c>
    </row>
    <row r="415">
      <c r="A415" s="3" t="inlineStr">
        <is>
          <t>ORD-10414</t>
        </is>
      </c>
      <c r="B415" s="7" t="n">
        <v>45927</v>
      </c>
      <c r="C415" s="3" t="inlineStr">
        <is>
          <t>Home &amp; Lifestyle</t>
        </is>
      </c>
      <c r="D415" s="3" t="inlineStr">
        <is>
          <t>Wallets</t>
        </is>
      </c>
      <c r="E415" s="3" t="inlineStr">
        <is>
          <t>Ashanti</t>
        </is>
      </c>
      <c r="F415" s="3" t="inlineStr">
        <is>
          <t>Online</t>
        </is>
      </c>
      <c r="G415" s="3" t="inlineStr">
        <is>
          <t>Returning</t>
        </is>
      </c>
      <c r="H415" s="3" t="n">
        <v>1</v>
      </c>
      <c r="I415" s="8" t="n">
        <v>175</v>
      </c>
      <c r="J415" s="8" t="n">
        <v>94.79000000000001</v>
      </c>
      <c r="K415" s="9" t="n">
        <v>0</v>
      </c>
      <c r="L415" s="8" t="n">
        <v>37.51</v>
      </c>
      <c r="M415" s="8">
        <f>H415*I415*(1-K415)</f>
        <v/>
      </c>
      <c r="N415" s="8">
        <f>H415*J415</f>
        <v/>
      </c>
      <c r="O415" s="8">
        <f>M415-N415-L415</f>
        <v/>
      </c>
      <c r="P415" s="10">
        <f>IFERROR(O415/M415,0)</f>
        <v/>
      </c>
      <c r="Q415" s="3">
        <f>IF(H415&lt;=0,"Review: quantity &lt;= 0",IF(K415&gt;0.3,"Review: discount &gt; 30%",IF(G415="","Review: missing customer type","OK")))</f>
        <v/>
      </c>
    </row>
    <row r="416">
      <c r="A416" s="3" t="inlineStr">
        <is>
          <t>ORD-10415</t>
        </is>
      </c>
      <c r="B416" s="7" t="n">
        <v>45678</v>
      </c>
      <c r="C416" s="3" t="inlineStr">
        <is>
          <t>Footwear</t>
        </is>
      </c>
      <c r="D416" s="3" t="inlineStr">
        <is>
          <t>Sneakers</t>
        </is>
      </c>
      <c r="E416" s="3" t="inlineStr">
        <is>
          <t>Western</t>
        </is>
      </c>
      <c r="F416" s="3" t="inlineStr">
        <is>
          <t>Online</t>
        </is>
      </c>
      <c r="G416" s="3" t="inlineStr">
        <is>
          <t>Returning</t>
        </is>
      </c>
      <c r="H416" s="3" t="n">
        <v>2</v>
      </c>
      <c r="I416" s="8" t="n">
        <v>230</v>
      </c>
      <c r="J416" s="8" t="n">
        <v>120.71</v>
      </c>
      <c r="K416" s="9" t="n">
        <v>0.15</v>
      </c>
      <c r="L416" s="8" t="n">
        <v>34.18</v>
      </c>
      <c r="M416" s="8">
        <f>H416*I416*(1-K416)</f>
        <v/>
      </c>
      <c r="N416" s="8">
        <f>H416*J416</f>
        <v/>
      </c>
      <c r="O416" s="8">
        <f>M416-N416-L416</f>
        <v/>
      </c>
      <c r="P416" s="10">
        <f>IFERROR(O416/M416,0)</f>
        <v/>
      </c>
      <c r="Q416" s="3">
        <f>IF(H416&lt;=0,"Review: quantity &lt;= 0",IF(K416&gt;0.3,"Review: discount &gt; 30%",IF(G416="","Review: missing customer type","OK")))</f>
        <v/>
      </c>
    </row>
    <row r="417">
      <c r="A417" s="3" t="inlineStr">
        <is>
          <t>ORD-10416</t>
        </is>
      </c>
      <c r="B417" s="7" t="n">
        <v>45704</v>
      </c>
      <c r="C417" s="3" t="inlineStr">
        <is>
          <t>Footwear</t>
        </is>
      </c>
      <c r="D417" s="3" t="inlineStr">
        <is>
          <t>Formal Shoes</t>
        </is>
      </c>
      <c r="E417" s="3" t="inlineStr">
        <is>
          <t>Greater Accra</t>
        </is>
      </c>
      <c r="F417" s="3" t="inlineStr">
        <is>
          <t>Online</t>
        </is>
      </c>
      <c r="G417" s="3" t="inlineStr">
        <is>
          <t>Returning</t>
        </is>
      </c>
      <c r="H417" s="3" t="n">
        <v>10</v>
      </c>
      <c r="I417" s="8" t="n">
        <v>365</v>
      </c>
      <c r="J417" s="8" t="n">
        <v>222.68</v>
      </c>
      <c r="K417" s="9" t="n">
        <v>0.2</v>
      </c>
      <c r="L417" s="8" t="n">
        <v>44.91</v>
      </c>
      <c r="M417" s="8">
        <f>H417*I417*(1-K417)</f>
        <v/>
      </c>
      <c r="N417" s="8">
        <f>H417*J417</f>
        <v/>
      </c>
      <c r="O417" s="8">
        <f>M417-N417-L417</f>
        <v/>
      </c>
      <c r="P417" s="10">
        <f>IFERROR(O417/M417,0)</f>
        <v/>
      </c>
      <c r="Q417" s="3">
        <f>IF(H417&lt;=0,"Review: quantity &lt;= 0",IF(K417&gt;0.3,"Review: discount &gt; 30%",IF(G417="","Review: missing customer type","OK")))</f>
        <v/>
      </c>
    </row>
    <row r="418">
      <c r="A418" s="3" t="inlineStr">
        <is>
          <t>ORD-10417</t>
        </is>
      </c>
      <c r="B418" s="7" t="n">
        <v>45883</v>
      </c>
      <c r="C418" s="3" t="inlineStr">
        <is>
          <t>Home &amp; Lifestyle</t>
        </is>
      </c>
      <c r="D418" s="3" t="inlineStr">
        <is>
          <t>Wallets</t>
        </is>
      </c>
      <c r="E418" s="3" t="inlineStr">
        <is>
          <t>Greater Accra</t>
        </is>
      </c>
      <c r="F418" s="3" t="inlineStr">
        <is>
          <t>Retail Shop</t>
        </is>
      </c>
      <c r="G418" s="3" t="inlineStr">
        <is>
          <t>Returning</t>
        </is>
      </c>
      <c r="H418" s="3" t="n">
        <v>1</v>
      </c>
      <c r="I418" s="8" t="n">
        <v>150</v>
      </c>
      <c r="J418" s="8" t="n">
        <v>88.94</v>
      </c>
      <c r="K418" s="9" t="n">
        <v>0.05</v>
      </c>
      <c r="L418" s="8" t="n">
        <v>0.15</v>
      </c>
      <c r="M418" s="8">
        <f>H418*I418*(1-K418)</f>
        <v/>
      </c>
      <c r="N418" s="8">
        <f>H418*J418</f>
        <v/>
      </c>
      <c r="O418" s="8">
        <f>M418-N418-L418</f>
        <v/>
      </c>
      <c r="P418" s="10">
        <f>IFERROR(O418/M418,0)</f>
        <v/>
      </c>
      <c r="Q418" s="3">
        <f>IF(H418&lt;=0,"Review: quantity &lt;= 0",IF(K418&gt;0.3,"Review: discount &gt; 30%",IF(G418="","Review: missing customer type","OK")))</f>
        <v/>
      </c>
    </row>
    <row r="419">
      <c r="A419" s="3" t="inlineStr">
        <is>
          <t>ORD-10418</t>
        </is>
      </c>
      <c r="B419" s="7" t="n">
        <v>45760</v>
      </c>
      <c r="C419" s="3" t="inlineStr">
        <is>
          <t>Clothing</t>
        </is>
      </c>
      <c r="D419" s="3" t="inlineStr">
        <is>
          <t>Trousers</t>
        </is>
      </c>
      <c r="E419" s="3" t="inlineStr">
        <is>
          <t>Northern</t>
        </is>
      </c>
      <c r="F419" s="3" t="inlineStr">
        <is>
          <t>Retail Shop</t>
        </is>
      </c>
      <c r="G419" s="3" t="inlineStr">
        <is>
          <t>Returning</t>
        </is>
      </c>
      <c r="H419" s="3" t="n">
        <v>1</v>
      </c>
      <c r="I419" s="8" t="n">
        <v>180</v>
      </c>
      <c r="J419" s="8" t="n">
        <v>100.17</v>
      </c>
      <c r="K419" s="9" t="n">
        <v>0.15</v>
      </c>
      <c r="L419" s="8" t="n">
        <v>7.45</v>
      </c>
      <c r="M419" s="8">
        <f>H419*I419*(1-K419)</f>
        <v/>
      </c>
      <c r="N419" s="8">
        <f>H419*J419</f>
        <v/>
      </c>
      <c r="O419" s="8">
        <f>M419-N419-L419</f>
        <v/>
      </c>
      <c r="P419" s="10">
        <f>IFERROR(O419/M419,0)</f>
        <v/>
      </c>
      <c r="Q419" s="3">
        <f>IF(H419&lt;=0,"Review: quantity &lt;= 0",IF(K419&gt;0.3,"Review: discount &gt; 30%",IF(G419="","Review: missing customer type","OK")))</f>
        <v/>
      </c>
    </row>
    <row r="420">
      <c r="A420" s="3" t="inlineStr">
        <is>
          <t>ORD-10419</t>
        </is>
      </c>
      <c r="B420" s="7" t="n">
        <v>45938</v>
      </c>
      <c r="C420" s="3" t="inlineStr">
        <is>
          <t>Footwear</t>
        </is>
      </c>
      <c r="D420" s="3" t="inlineStr">
        <is>
          <t>Boots</t>
        </is>
      </c>
      <c r="E420" s="3" t="inlineStr">
        <is>
          <t>Greater Accra</t>
        </is>
      </c>
      <c r="F420" s="3" t="inlineStr">
        <is>
          <t>Phone/WhatsApp</t>
        </is>
      </c>
      <c r="G420" s="3" t="inlineStr">
        <is>
          <t>New</t>
        </is>
      </c>
      <c r="H420" s="3" t="n">
        <v>2</v>
      </c>
      <c r="I420" s="8" t="n">
        <v>340</v>
      </c>
      <c r="J420" s="8" t="n">
        <v>183.24</v>
      </c>
      <c r="K420" s="9" t="n">
        <v>0.05</v>
      </c>
      <c r="L420" s="8" t="n">
        <v>26.32</v>
      </c>
      <c r="M420" s="8">
        <f>H420*I420*(1-K420)</f>
        <v/>
      </c>
      <c r="N420" s="8">
        <f>H420*J420</f>
        <v/>
      </c>
      <c r="O420" s="8">
        <f>M420-N420-L420</f>
        <v/>
      </c>
      <c r="P420" s="10">
        <f>IFERROR(O420/M420,0)</f>
        <v/>
      </c>
      <c r="Q420" s="3">
        <f>IF(H420&lt;=0,"Review: quantity &lt;= 0",IF(K420&gt;0.3,"Review: discount &gt; 30%",IF(G420="","Review: missing customer type","OK")))</f>
        <v/>
      </c>
    </row>
    <row r="421">
      <c r="A421" s="3" t="inlineStr">
        <is>
          <t>ORD-10420</t>
        </is>
      </c>
      <c r="B421" s="7" t="n">
        <v>45981</v>
      </c>
      <c r="C421" s="3" t="inlineStr">
        <is>
          <t>Home &amp; Lifestyle</t>
        </is>
      </c>
      <c r="D421" s="3" t="inlineStr">
        <is>
          <t>Wallets</t>
        </is>
      </c>
      <c r="E421" s="3" t="inlineStr">
        <is>
          <t>Greater Accra</t>
        </is>
      </c>
      <c r="F421" s="3" t="inlineStr">
        <is>
          <t>Retail Shop</t>
        </is>
      </c>
      <c r="G421" s="3" t="inlineStr">
        <is>
          <t>New</t>
        </is>
      </c>
      <c r="H421" s="3" t="n">
        <v>4</v>
      </c>
      <c r="I421" s="8" t="n">
        <v>125</v>
      </c>
      <c r="J421" s="8" t="n">
        <v>67.87</v>
      </c>
      <c r="K421" s="9" t="n">
        <v>0.15</v>
      </c>
      <c r="L421" s="8" t="n">
        <v>3.26</v>
      </c>
      <c r="M421" s="8">
        <f>H421*I421*(1-K421)</f>
        <v/>
      </c>
      <c r="N421" s="8">
        <f>H421*J421</f>
        <v/>
      </c>
      <c r="O421" s="8">
        <f>M421-N421-L421</f>
        <v/>
      </c>
      <c r="P421" s="10">
        <f>IFERROR(O421/M421,0)</f>
        <v/>
      </c>
      <c r="Q421" s="3">
        <f>IF(H421&lt;=0,"Review: quantity &lt;= 0",IF(K421&gt;0.3,"Review: discount &gt; 30%",IF(G421="","Review: missing customer type","OK")))</f>
        <v/>
      </c>
    </row>
    <row r="422">
      <c r="A422" s="3" t="inlineStr">
        <is>
          <t>ORD-10421</t>
        </is>
      </c>
      <c r="B422" s="7" t="n">
        <v>45662</v>
      </c>
      <c r="C422" s="3" t="inlineStr">
        <is>
          <t>Clothing</t>
        </is>
      </c>
      <c r="D422" s="3" t="inlineStr">
        <is>
          <t>Dresses</t>
        </is>
      </c>
      <c r="E422" s="3" t="inlineStr">
        <is>
          <t>Western</t>
        </is>
      </c>
      <c r="F422" s="3" t="inlineStr">
        <is>
          <t>Online</t>
        </is>
      </c>
      <c r="G422" s="3" t="inlineStr">
        <is>
          <t>New</t>
        </is>
      </c>
      <c r="H422" s="3" t="n">
        <v>5</v>
      </c>
      <c r="I422" s="8" t="n">
        <v>185</v>
      </c>
      <c r="J422" s="8" t="n">
        <v>85.3</v>
      </c>
      <c r="K422" s="9" t="n">
        <v>0.05</v>
      </c>
      <c r="L422" s="8" t="n">
        <v>41.94</v>
      </c>
      <c r="M422" s="8">
        <f>H422*I422*(1-K422)</f>
        <v/>
      </c>
      <c r="N422" s="8">
        <f>H422*J422</f>
        <v/>
      </c>
      <c r="O422" s="8">
        <f>M422-N422-L422</f>
        <v/>
      </c>
      <c r="P422" s="10">
        <f>IFERROR(O422/M422,0)</f>
        <v/>
      </c>
      <c r="Q422" s="3">
        <f>IF(H422&lt;=0,"Review: quantity &lt;= 0",IF(K422&gt;0.3,"Review: discount &gt; 30%",IF(G422="","Review: missing customer type","OK")))</f>
        <v/>
      </c>
    </row>
    <row r="423">
      <c r="A423" s="3" t="inlineStr">
        <is>
          <t>ORD-10422</t>
        </is>
      </c>
      <c r="B423" s="7" t="n">
        <v>45934</v>
      </c>
      <c r="C423" s="3" t="inlineStr">
        <is>
          <t>Accessories</t>
        </is>
      </c>
      <c r="D423" s="3" t="inlineStr">
        <is>
          <t>Bags</t>
        </is>
      </c>
      <c r="E423" s="3" t="inlineStr">
        <is>
          <t>Western</t>
        </is>
      </c>
      <c r="F423" s="3" t="inlineStr">
        <is>
          <t>Phone/WhatsApp</t>
        </is>
      </c>
      <c r="G423" s="3" t="inlineStr">
        <is>
          <t>Returning</t>
        </is>
      </c>
      <c r="H423" s="3" t="n">
        <v>2</v>
      </c>
      <c r="I423" s="8" t="n">
        <v>70</v>
      </c>
      <c r="J423" s="8" t="n">
        <v>30.3</v>
      </c>
      <c r="K423" s="9" t="n">
        <v>0.1</v>
      </c>
      <c r="L423" s="8" t="n">
        <v>42.22</v>
      </c>
      <c r="M423" s="8">
        <f>H423*I423*(1-K423)</f>
        <v/>
      </c>
      <c r="N423" s="8">
        <f>H423*J423</f>
        <v/>
      </c>
      <c r="O423" s="8">
        <f>M423-N423-L423</f>
        <v/>
      </c>
      <c r="P423" s="10">
        <f>IFERROR(O423/M423,0)</f>
        <v/>
      </c>
      <c r="Q423" s="3">
        <f>IF(H423&lt;=0,"Review: quantity &lt;= 0",IF(K423&gt;0.3,"Review: discount &gt; 30%",IF(G423="","Review: missing customer type","OK")))</f>
        <v/>
      </c>
    </row>
    <row r="424">
      <c r="A424" s="3" t="inlineStr">
        <is>
          <t>ORD-10423</t>
        </is>
      </c>
      <c r="B424" s="7" t="n">
        <v>45678</v>
      </c>
      <c r="C424" s="3" t="inlineStr">
        <is>
          <t>Footwear</t>
        </is>
      </c>
      <c r="D424" s="3" t="inlineStr">
        <is>
          <t>Boots</t>
        </is>
      </c>
      <c r="E424" s="3" t="inlineStr">
        <is>
          <t>Greater Accra</t>
        </is>
      </c>
      <c r="F424" s="3" t="inlineStr">
        <is>
          <t>Retail Shop</t>
        </is>
      </c>
      <c r="G424" s="3" t="inlineStr">
        <is>
          <t>Returning</t>
        </is>
      </c>
      <c r="H424" s="3" t="n">
        <v>4</v>
      </c>
      <c r="I424" s="8" t="n">
        <v>370</v>
      </c>
      <c r="J424" s="8" t="n">
        <v>196.69</v>
      </c>
      <c r="K424" s="9" t="n">
        <v>0</v>
      </c>
      <c r="L424" s="8" t="n">
        <v>7.48</v>
      </c>
      <c r="M424" s="8">
        <f>H424*I424*(1-K424)</f>
        <v/>
      </c>
      <c r="N424" s="8">
        <f>H424*J424</f>
        <v/>
      </c>
      <c r="O424" s="8">
        <f>M424-N424-L424</f>
        <v/>
      </c>
      <c r="P424" s="10">
        <f>IFERROR(O424/M424,0)</f>
        <v/>
      </c>
      <c r="Q424" s="3">
        <f>IF(H424&lt;=0,"Review: quantity &lt;= 0",IF(K424&gt;0.3,"Review: discount &gt; 30%",IF(G424="","Review: missing customer type","OK")))</f>
        <v/>
      </c>
    </row>
    <row r="425">
      <c r="A425" s="3" t="inlineStr">
        <is>
          <t>ORD-10424</t>
        </is>
      </c>
      <c r="B425" s="7" t="n">
        <v>45891</v>
      </c>
      <c r="C425" s="3" t="inlineStr">
        <is>
          <t>Accessories</t>
        </is>
      </c>
      <c r="D425" s="3" t="inlineStr">
        <is>
          <t>Belts</t>
        </is>
      </c>
      <c r="E425" s="3" t="inlineStr">
        <is>
          <t>Ashanti</t>
        </is>
      </c>
      <c r="F425" s="3" t="inlineStr">
        <is>
          <t>Online</t>
        </is>
      </c>
      <c r="G425" s="3" t="inlineStr">
        <is>
          <t>Returning</t>
        </is>
      </c>
      <c r="H425" s="3" t="n">
        <v>3</v>
      </c>
      <c r="I425" s="8" t="n">
        <v>80</v>
      </c>
      <c r="J425" s="8" t="n">
        <v>41.56</v>
      </c>
      <c r="K425" s="9" t="n">
        <v>0.1</v>
      </c>
      <c r="L425" s="8" t="n">
        <v>41.27</v>
      </c>
      <c r="M425" s="8">
        <f>H425*I425*(1-K425)</f>
        <v/>
      </c>
      <c r="N425" s="8">
        <f>H425*J425</f>
        <v/>
      </c>
      <c r="O425" s="8">
        <f>M425-N425-L425</f>
        <v/>
      </c>
      <c r="P425" s="10">
        <f>IFERROR(O425/M425,0)</f>
        <v/>
      </c>
      <c r="Q425" s="3">
        <f>IF(H425&lt;=0,"Review: quantity &lt;= 0",IF(K425&gt;0.3,"Review: discount &gt; 30%",IF(G425="","Review: missing customer type","OK")))</f>
        <v/>
      </c>
    </row>
    <row r="426">
      <c r="A426" s="3" t="inlineStr">
        <is>
          <t>ORD-10425</t>
        </is>
      </c>
      <c r="B426" s="7" t="n">
        <v>46013</v>
      </c>
      <c r="C426" s="3" t="inlineStr">
        <is>
          <t>Footwear</t>
        </is>
      </c>
      <c r="D426" s="3" t="inlineStr">
        <is>
          <t>Formal Shoes</t>
        </is>
      </c>
      <c r="E426" s="3" t="inlineStr">
        <is>
          <t>Central</t>
        </is>
      </c>
      <c r="F426" s="3" t="inlineStr">
        <is>
          <t>Retail Shop</t>
        </is>
      </c>
      <c r="G426" s="3" t="inlineStr">
        <is>
          <t>Returning</t>
        </is>
      </c>
      <c r="H426" s="3" t="n">
        <v>1</v>
      </c>
      <c r="I426" s="8" t="n">
        <v>355</v>
      </c>
      <c r="J426" s="8" t="n">
        <v>181.54</v>
      </c>
      <c r="K426" s="9" t="n">
        <v>0</v>
      </c>
      <c r="L426" s="8" t="n">
        <v>0.95</v>
      </c>
      <c r="M426" s="8">
        <f>H426*I426*(1-K426)</f>
        <v/>
      </c>
      <c r="N426" s="8">
        <f>H426*J426</f>
        <v/>
      </c>
      <c r="O426" s="8">
        <f>M426-N426-L426</f>
        <v/>
      </c>
      <c r="P426" s="10">
        <f>IFERROR(O426/M426,0)</f>
        <v/>
      </c>
      <c r="Q426" s="3">
        <f>IF(H426&lt;=0,"Review: quantity &lt;= 0",IF(K426&gt;0.3,"Review: discount &gt; 30%",IF(G426="","Review: missing customer type","OK")))</f>
        <v/>
      </c>
    </row>
    <row r="427">
      <c r="A427" s="3" t="inlineStr">
        <is>
          <t>ORD-10426</t>
        </is>
      </c>
      <c r="B427" s="7" t="n">
        <v>45947</v>
      </c>
      <c r="C427" s="3" t="inlineStr">
        <is>
          <t>Clothing</t>
        </is>
      </c>
      <c r="D427" s="3" t="inlineStr">
        <is>
          <t>Shirts</t>
        </is>
      </c>
      <c r="E427" s="3" t="inlineStr">
        <is>
          <t>Greater Accra</t>
        </is>
      </c>
      <c r="F427" s="3" t="inlineStr">
        <is>
          <t>Retail Shop</t>
        </is>
      </c>
      <c r="G427" s="3" t="inlineStr">
        <is>
          <t>New</t>
        </is>
      </c>
      <c r="H427" s="3" t="n">
        <v>4</v>
      </c>
      <c r="I427" s="8" t="n">
        <v>110</v>
      </c>
      <c r="J427" s="8" t="n">
        <v>62.08</v>
      </c>
      <c r="K427" s="9" t="n">
        <v>0</v>
      </c>
      <c r="L427" s="8" t="n">
        <v>9.42</v>
      </c>
      <c r="M427" s="8">
        <f>H427*I427*(1-K427)</f>
        <v/>
      </c>
      <c r="N427" s="8">
        <f>H427*J427</f>
        <v/>
      </c>
      <c r="O427" s="8">
        <f>M427-N427-L427</f>
        <v/>
      </c>
      <c r="P427" s="10">
        <f>IFERROR(O427/M427,0)</f>
        <v/>
      </c>
      <c r="Q427" s="3">
        <f>IF(H427&lt;=0,"Review: quantity &lt;= 0",IF(K427&gt;0.3,"Review: discount &gt; 30%",IF(G427="","Review: missing customer type","OK")))</f>
        <v/>
      </c>
    </row>
    <row r="428">
      <c r="A428" s="3" t="inlineStr">
        <is>
          <t>ORD-10427</t>
        </is>
      </c>
      <c r="B428" s="7" t="n">
        <v>45956</v>
      </c>
      <c r="C428" s="3" t="inlineStr">
        <is>
          <t>Accessories</t>
        </is>
      </c>
      <c r="D428" s="3" t="inlineStr">
        <is>
          <t>Watches</t>
        </is>
      </c>
      <c r="E428" s="3" t="inlineStr">
        <is>
          <t>Greater Accra</t>
        </is>
      </c>
      <c r="F428" s="3" t="inlineStr">
        <is>
          <t>Online</t>
        </is>
      </c>
      <c r="G428" s="3" t="inlineStr">
        <is>
          <t>Returning</t>
        </is>
      </c>
      <c r="H428" s="3" t="n">
        <v>1</v>
      </c>
      <c r="I428" s="8" t="n">
        <v>125</v>
      </c>
      <c r="J428" s="8" t="n">
        <v>55.24</v>
      </c>
      <c r="K428" s="9" t="n">
        <v>0.05</v>
      </c>
      <c r="L428" s="8" t="n">
        <v>28.89</v>
      </c>
      <c r="M428" s="8">
        <f>H428*I428*(1-K428)</f>
        <v/>
      </c>
      <c r="N428" s="8">
        <f>H428*J428</f>
        <v/>
      </c>
      <c r="O428" s="8">
        <f>M428-N428-L428</f>
        <v/>
      </c>
      <c r="P428" s="10">
        <f>IFERROR(O428/M428,0)</f>
        <v/>
      </c>
      <c r="Q428" s="3">
        <f>IF(H428&lt;=0,"Review: quantity &lt;= 0",IF(K428&gt;0.3,"Review: discount &gt; 30%",IF(G428="","Review: missing customer type","OK")))</f>
        <v/>
      </c>
    </row>
    <row r="429">
      <c r="A429" s="3" t="inlineStr">
        <is>
          <t>ORD-10428</t>
        </is>
      </c>
      <c r="B429" s="7" t="n">
        <v>45910</v>
      </c>
      <c r="C429" s="3" t="inlineStr">
        <is>
          <t>Footwear</t>
        </is>
      </c>
      <c r="D429" s="3" t="inlineStr">
        <is>
          <t>Sandals</t>
        </is>
      </c>
      <c r="E429" s="3" t="inlineStr">
        <is>
          <t>Western</t>
        </is>
      </c>
      <c r="F429" s="3" t="inlineStr">
        <is>
          <t>Retail Shop</t>
        </is>
      </c>
      <c r="G429" s="3" t="inlineStr">
        <is>
          <t>Returning</t>
        </is>
      </c>
      <c r="H429" s="3" t="n">
        <v>1</v>
      </c>
      <c r="I429" s="8" t="n">
        <v>385</v>
      </c>
      <c r="J429" s="8" t="n">
        <v>235.02</v>
      </c>
      <c r="K429" s="9" t="n">
        <v>0.1</v>
      </c>
      <c r="L429" s="8" t="n">
        <v>3.85</v>
      </c>
      <c r="M429" s="8">
        <f>H429*I429*(1-K429)</f>
        <v/>
      </c>
      <c r="N429" s="8">
        <f>H429*J429</f>
        <v/>
      </c>
      <c r="O429" s="8">
        <f>M429-N429-L429</f>
        <v/>
      </c>
      <c r="P429" s="10">
        <f>IFERROR(O429/M429,0)</f>
        <v/>
      </c>
      <c r="Q429" s="3">
        <f>IF(H429&lt;=0,"Review: quantity &lt;= 0",IF(K429&gt;0.3,"Review: discount &gt; 30%",IF(G429="","Review: missing customer type","OK")))</f>
        <v/>
      </c>
    </row>
    <row r="430">
      <c r="A430" s="3" t="inlineStr">
        <is>
          <t>ORD-10429</t>
        </is>
      </c>
      <c r="B430" s="7" t="n">
        <v>45759</v>
      </c>
      <c r="C430" s="3" t="inlineStr">
        <is>
          <t>Home &amp; Lifestyle</t>
        </is>
      </c>
      <c r="D430" s="3" t="inlineStr">
        <is>
          <t>Wallets</t>
        </is>
      </c>
      <c r="E430" s="3" t="inlineStr">
        <is>
          <t>Greater Accra</t>
        </is>
      </c>
      <c r="F430" s="3" t="inlineStr">
        <is>
          <t>Online</t>
        </is>
      </c>
      <c r="G430" s="3" t="inlineStr">
        <is>
          <t>Returning</t>
        </is>
      </c>
      <c r="H430" s="3" t="n">
        <v>2</v>
      </c>
      <c r="I430" s="8" t="n">
        <v>110</v>
      </c>
      <c r="J430" s="8" t="n">
        <v>55.74</v>
      </c>
      <c r="K430" s="9" t="n">
        <v>0.05</v>
      </c>
      <c r="L430" s="8" t="n">
        <v>21.59</v>
      </c>
      <c r="M430" s="8">
        <f>H430*I430*(1-K430)</f>
        <v/>
      </c>
      <c r="N430" s="8">
        <f>H430*J430</f>
        <v/>
      </c>
      <c r="O430" s="8">
        <f>M430-N430-L430</f>
        <v/>
      </c>
      <c r="P430" s="10">
        <f>IFERROR(O430/M430,0)</f>
        <v/>
      </c>
      <c r="Q430" s="3">
        <f>IF(H430&lt;=0,"Review: quantity &lt;= 0",IF(K430&gt;0.3,"Review: discount &gt; 30%",IF(G430="","Review: missing customer type","OK")))</f>
        <v/>
      </c>
    </row>
    <row r="431">
      <c r="A431" s="3" t="inlineStr">
        <is>
          <t>ORD-10430</t>
        </is>
      </c>
      <c r="B431" s="7" t="n">
        <v>45688</v>
      </c>
      <c r="C431" s="3" t="inlineStr">
        <is>
          <t>Accessories</t>
        </is>
      </c>
      <c r="D431" s="3" t="inlineStr">
        <is>
          <t>Sunglasses</t>
        </is>
      </c>
      <c r="E431" s="3" t="inlineStr">
        <is>
          <t>Greater Accra</t>
        </is>
      </c>
      <c r="F431" s="3" t="inlineStr">
        <is>
          <t>Online</t>
        </is>
      </c>
      <c r="G431" s="3" t="inlineStr">
        <is>
          <t>Returning</t>
        </is>
      </c>
      <c r="H431" s="3" t="n">
        <v>2</v>
      </c>
      <c r="I431" s="8" t="n">
        <v>80</v>
      </c>
      <c r="J431" s="8" t="n">
        <v>36.84</v>
      </c>
      <c r="K431" s="9" t="n">
        <v>0</v>
      </c>
      <c r="L431" s="8" t="n">
        <v>18.74</v>
      </c>
      <c r="M431" s="8">
        <f>H431*I431*(1-K431)</f>
        <v/>
      </c>
      <c r="N431" s="8">
        <f>H431*J431</f>
        <v/>
      </c>
      <c r="O431" s="8">
        <f>M431-N431-L431</f>
        <v/>
      </c>
      <c r="P431" s="10">
        <f>IFERROR(O431/M431,0)</f>
        <v/>
      </c>
      <c r="Q431" s="3">
        <f>IF(H431&lt;=0,"Review: quantity &lt;= 0",IF(K431&gt;0.3,"Review: discount &gt; 30%",IF(G431="","Review: missing customer type","OK")))</f>
        <v/>
      </c>
    </row>
    <row r="432">
      <c r="A432" s="3" t="inlineStr">
        <is>
          <t>ORD-10431</t>
        </is>
      </c>
      <c r="B432" s="7" t="n">
        <v>45909</v>
      </c>
      <c r="C432" s="3" t="inlineStr">
        <is>
          <t>Clothing</t>
        </is>
      </c>
      <c r="D432" s="3" t="inlineStr">
        <is>
          <t>Shirts</t>
        </is>
      </c>
      <c r="E432" s="3" t="inlineStr">
        <is>
          <t>Ashanti</t>
        </is>
      </c>
      <c r="F432" s="3" t="inlineStr">
        <is>
          <t>Online</t>
        </is>
      </c>
      <c r="G432" s="3" t="inlineStr">
        <is>
          <t>New</t>
        </is>
      </c>
      <c r="H432" s="3" t="n">
        <v>1</v>
      </c>
      <c r="I432" s="8" t="n">
        <v>215</v>
      </c>
      <c r="J432" s="8" t="n">
        <v>118.59</v>
      </c>
      <c r="K432" s="9" t="n">
        <v>0.2</v>
      </c>
      <c r="L432" s="8" t="n">
        <v>30.17</v>
      </c>
      <c r="M432" s="8">
        <f>H432*I432*(1-K432)</f>
        <v/>
      </c>
      <c r="N432" s="8">
        <f>H432*J432</f>
        <v/>
      </c>
      <c r="O432" s="8">
        <f>M432-N432-L432</f>
        <v/>
      </c>
      <c r="P432" s="10">
        <f>IFERROR(O432/M432,0)</f>
        <v/>
      </c>
      <c r="Q432" s="3">
        <f>IF(H432&lt;=0,"Review: quantity &lt;= 0",IF(K432&gt;0.3,"Review: discount &gt; 30%",IF(G432="","Review: missing customer type","OK")))</f>
        <v/>
      </c>
    </row>
    <row r="433">
      <c r="A433" s="3" t="inlineStr">
        <is>
          <t>ORD-10432</t>
        </is>
      </c>
      <c r="B433" s="7" t="n">
        <v>45924</v>
      </c>
      <c r="C433" s="3" t="inlineStr">
        <is>
          <t>Accessories</t>
        </is>
      </c>
      <c r="D433" s="3" t="inlineStr">
        <is>
          <t>Belts</t>
        </is>
      </c>
      <c r="E433" s="3" t="inlineStr">
        <is>
          <t>Greater Accra</t>
        </is>
      </c>
      <c r="F433" s="3" t="inlineStr">
        <is>
          <t>Online</t>
        </is>
      </c>
      <c r="G433" s="3" t="inlineStr">
        <is>
          <t>Returning</t>
        </is>
      </c>
      <c r="H433" s="3" t="n">
        <v>1</v>
      </c>
      <c r="I433" s="8" t="n">
        <v>90</v>
      </c>
      <c r="J433" s="8" t="n">
        <v>39.39</v>
      </c>
      <c r="K433" s="9" t="n">
        <v>0</v>
      </c>
      <c r="L433" s="8" t="n">
        <v>39.07</v>
      </c>
      <c r="M433" s="8">
        <f>H433*I433*(1-K433)</f>
        <v/>
      </c>
      <c r="N433" s="8">
        <f>H433*J433</f>
        <v/>
      </c>
      <c r="O433" s="8">
        <f>M433-N433-L433</f>
        <v/>
      </c>
      <c r="P433" s="10">
        <f>IFERROR(O433/M433,0)</f>
        <v/>
      </c>
      <c r="Q433" s="3">
        <f>IF(H433&lt;=0,"Review: quantity &lt;= 0",IF(K433&gt;0.3,"Review: discount &gt; 30%",IF(G433="","Review: missing customer type","OK")))</f>
        <v/>
      </c>
    </row>
    <row r="434">
      <c r="A434" s="3" t="inlineStr">
        <is>
          <t>ORD-10433</t>
        </is>
      </c>
      <c r="B434" s="7" t="n">
        <v>45785</v>
      </c>
      <c r="C434" s="3" t="inlineStr">
        <is>
          <t>Home &amp; Lifestyle</t>
        </is>
      </c>
      <c r="D434" s="3" t="inlineStr">
        <is>
          <t>Travel Mugs</t>
        </is>
      </c>
      <c r="E434" s="3" t="inlineStr">
        <is>
          <t>Greater Accra</t>
        </is>
      </c>
      <c r="F434" s="3" t="inlineStr">
        <is>
          <t>Online</t>
        </is>
      </c>
      <c r="G434" s="3" t="inlineStr">
        <is>
          <t>Returning</t>
        </is>
      </c>
      <c r="H434" s="3" t="n">
        <v>2</v>
      </c>
      <c r="I434" s="8" t="n">
        <v>155</v>
      </c>
      <c r="J434" s="8" t="n">
        <v>91.05</v>
      </c>
      <c r="K434" s="9" t="n">
        <v>0.2</v>
      </c>
      <c r="L434" s="8" t="n">
        <v>8.83</v>
      </c>
      <c r="M434" s="8">
        <f>H434*I434*(1-K434)</f>
        <v/>
      </c>
      <c r="N434" s="8">
        <f>H434*J434</f>
        <v/>
      </c>
      <c r="O434" s="8">
        <f>M434-N434-L434</f>
        <v/>
      </c>
      <c r="P434" s="10">
        <f>IFERROR(O434/M434,0)</f>
        <v/>
      </c>
      <c r="Q434" s="3">
        <f>IF(H434&lt;=0,"Review: quantity &lt;= 0",IF(K434&gt;0.3,"Review: discount &gt; 30%",IF(G434="","Review: missing customer type","OK")))</f>
        <v/>
      </c>
    </row>
    <row r="435">
      <c r="A435" s="3" t="inlineStr">
        <is>
          <t>ORD-10434</t>
        </is>
      </c>
      <c r="B435" s="7" t="n">
        <v>45701</v>
      </c>
      <c r="C435" s="3" t="inlineStr">
        <is>
          <t>Clothing</t>
        </is>
      </c>
      <c r="D435" s="3" t="inlineStr">
        <is>
          <t>Dresses</t>
        </is>
      </c>
      <c r="E435" s="3" t="inlineStr">
        <is>
          <t>Central</t>
        </is>
      </c>
      <c r="F435" s="3" t="inlineStr">
        <is>
          <t>Retail Shop</t>
        </is>
      </c>
      <c r="G435" s="3" t="inlineStr">
        <is>
          <t>New</t>
        </is>
      </c>
      <c r="H435" s="3" t="n">
        <v>4</v>
      </c>
      <c r="I435" s="8" t="n">
        <v>175</v>
      </c>
      <c r="J435" s="8" t="n">
        <v>90.26000000000001</v>
      </c>
      <c r="K435" s="9" t="n">
        <v>0.05</v>
      </c>
      <c r="L435" s="8" t="n">
        <v>6.28</v>
      </c>
      <c r="M435" s="8">
        <f>H435*I435*(1-K435)</f>
        <v/>
      </c>
      <c r="N435" s="8">
        <f>H435*J435</f>
        <v/>
      </c>
      <c r="O435" s="8">
        <f>M435-N435-L435</f>
        <v/>
      </c>
      <c r="P435" s="10">
        <f>IFERROR(O435/M435,0)</f>
        <v/>
      </c>
      <c r="Q435" s="3">
        <f>IF(H435&lt;=0,"Review: quantity &lt;= 0",IF(K435&gt;0.3,"Review: discount &gt; 30%",IF(G435="","Review: missing customer type","OK")))</f>
        <v/>
      </c>
    </row>
    <row r="436">
      <c r="A436" s="3" t="inlineStr">
        <is>
          <t>ORD-10435</t>
        </is>
      </c>
      <c r="B436" s="7" t="n">
        <v>46014</v>
      </c>
      <c r="C436" s="3" t="inlineStr">
        <is>
          <t>Home &amp; Lifestyle</t>
        </is>
      </c>
      <c r="D436" s="3" t="inlineStr">
        <is>
          <t>Backpacks</t>
        </is>
      </c>
      <c r="E436" s="3" t="inlineStr">
        <is>
          <t>Central</t>
        </is>
      </c>
      <c r="F436" s="3" t="inlineStr">
        <is>
          <t>Retail Shop</t>
        </is>
      </c>
      <c r="G436" s="3" t="inlineStr">
        <is>
          <t>Returning</t>
        </is>
      </c>
      <c r="H436" s="3" t="n">
        <v>2</v>
      </c>
      <c r="I436" s="8" t="n">
        <v>90</v>
      </c>
      <c r="J436" s="8" t="n">
        <v>49.31</v>
      </c>
      <c r="K436" s="9" t="n">
        <v>0.1</v>
      </c>
      <c r="L436" s="8" t="n">
        <v>0.2</v>
      </c>
      <c r="M436" s="8">
        <f>H436*I436*(1-K436)</f>
        <v/>
      </c>
      <c r="N436" s="8">
        <f>H436*J436</f>
        <v/>
      </c>
      <c r="O436" s="8">
        <f>M436-N436-L436</f>
        <v/>
      </c>
      <c r="P436" s="10">
        <f>IFERROR(O436/M436,0)</f>
        <v/>
      </c>
      <c r="Q436" s="3">
        <f>IF(H436&lt;=0,"Review: quantity &lt;= 0",IF(K436&gt;0.3,"Review: discount &gt; 30%",IF(G436="","Review: missing customer type","OK")))</f>
        <v/>
      </c>
    </row>
    <row r="437">
      <c r="A437" s="3" t="inlineStr">
        <is>
          <t>ORD-10436</t>
        </is>
      </c>
      <c r="B437" s="7" t="n">
        <v>45661</v>
      </c>
      <c r="C437" s="3" t="inlineStr">
        <is>
          <t>Footwear</t>
        </is>
      </c>
      <c r="D437" s="3" t="inlineStr">
        <is>
          <t>Boots</t>
        </is>
      </c>
      <c r="E437" s="3" t="inlineStr">
        <is>
          <t>Greater Accra</t>
        </is>
      </c>
      <c r="F437" s="3" t="inlineStr">
        <is>
          <t>Retail Shop</t>
        </is>
      </c>
      <c r="G437" s="3" t="inlineStr">
        <is>
          <t>Returning</t>
        </is>
      </c>
      <c r="H437" s="3" t="n">
        <v>3</v>
      </c>
      <c r="I437" s="8" t="n">
        <v>230</v>
      </c>
      <c r="J437" s="8" t="n">
        <v>115.5</v>
      </c>
      <c r="K437" s="9" t="n">
        <v>0</v>
      </c>
      <c r="L437" s="8" t="n">
        <v>3.42</v>
      </c>
      <c r="M437" s="8">
        <f>H437*I437*(1-K437)</f>
        <v/>
      </c>
      <c r="N437" s="8">
        <f>H437*J437</f>
        <v/>
      </c>
      <c r="O437" s="8">
        <f>M437-N437-L437</f>
        <v/>
      </c>
      <c r="P437" s="10">
        <f>IFERROR(O437/M437,0)</f>
        <v/>
      </c>
      <c r="Q437" s="3">
        <f>IF(H437&lt;=0,"Review: quantity &lt;= 0",IF(K437&gt;0.3,"Review: discount &gt; 30%",IF(G437="","Review: missing customer type","OK")))</f>
        <v/>
      </c>
    </row>
    <row r="438">
      <c r="A438" s="3" t="inlineStr">
        <is>
          <t>ORD-10437</t>
        </is>
      </c>
      <c r="B438" s="7" t="n">
        <v>45718</v>
      </c>
      <c r="C438" s="3" t="inlineStr">
        <is>
          <t>Accessories</t>
        </is>
      </c>
      <c r="D438" s="3" t="inlineStr">
        <is>
          <t>Sunglasses</t>
        </is>
      </c>
      <c r="E438" s="3" t="inlineStr">
        <is>
          <t>Greater Accra</t>
        </is>
      </c>
      <c r="F438" s="3" t="inlineStr">
        <is>
          <t>Online</t>
        </is>
      </c>
      <c r="G438" s="3" t="inlineStr">
        <is>
          <t>New</t>
        </is>
      </c>
      <c r="H438" s="3" t="n">
        <v>3</v>
      </c>
      <c r="I438" s="8" t="n">
        <v>95</v>
      </c>
      <c r="J438" s="8" t="n">
        <v>47.41</v>
      </c>
      <c r="K438" s="9" t="n">
        <v>0.1</v>
      </c>
      <c r="L438" s="8" t="n">
        <v>39.39</v>
      </c>
      <c r="M438" s="8">
        <f>H438*I438*(1-K438)</f>
        <v/>
      </c>
      <c r="N438" s="8">
        <f>H438*J438</f>
        <v/>
      </c>
      <c r="O438" s="8">
        <f>M438-N438-L438</f>
        <v/>
      </c>
      <c r="P438" s="10">
        <f>IFERROR(O438/M438,0)</f>
        <v/>
      </c>
      <c r="Q438" s="3">
        <f>IF(H438&lt;=0,"Review: quantity &lt;= 0",IF(K438&gt;0.3,"Review: discount &gt; 30%",IF(G438="","Review: missing customer type","OK")))</f>
        <v/>
      </c>
    </row>
    <row r="439">
      <c r="A439" s="3" t="inlineStr">
        <is>
          <t>ORD-10438</t>
        </is>
      </c>
      <c r="B439" s="7" t="n">
        <v>45690</v>
      </c>
      <c r="C439" s="3" t="inlineStr">
        <is>
          <t>Clothing</t>
        </is>
      </c>
      <c r="D439" s="3" t="inlineStr">
        <is>
          <t>Trousers</t>
        </is>
      </c>
      <c r="E439" s="3" t="inlineStr">
        <is>
          <t>Ashanti</t>
        </is>
      </c>
      <c r="F439" s="3" t="inlineStr">
        <is>
          <t>Online</t>
        </is>
      </c>
      <c r="G439" s="3" t="inlineStr">
        <is>
          <t>Returning</t>
        </is>
      </c>
      <c r="H439" s="3" t="n">
        <v>1</v>
      </c>
      <c r="I439" s="8" t="n">
        <v>110</v>
      </c>
      <c r="J439" s="8" t="n">
        <v>57.86</v>
      </c>
      <c r="K439" s="9" t="n">
        <v>0.1</v>
      </c>
      <c r="L439" s="8" t="n">
        <v>20.23</v>
      </c>
      <c r="M439" s="8">
        <f>H439*I439*(1-K439)</f>
        <v/>
      </c>
      <c r="N439" s="8">
        <f>H439*J439</f>
        <v/>
      </c>
      <c r="O439" s="8">
        <f>M439-N439-L439</f>
        <v/>
      </c>
      <c r="P439" s="10">
        <f>IFERROR(O439/M439,0)</f>
        <v/>
      </c>
      <c r="Q439" s="3">
        <f>IF(H439&lt;=0,"Review: quantity &lt;= 0",IF(K439&gt;0.3,"Review: discount &gt; 30%",IF(G439="","Review: missing customer type","OK")))</f>
        <v/>
      </c>
    </row>
    <row r="440">
      <c r="A440" s="3" t="inlineStr">
        <is>
          <t>ORD-10439</t>
        </is>
      </c>
      <c r="B440" s="7" t="n">
        <v>45962</v>
      </c>
      <c r="C440" s="3" t="inlineStr">
        <is>
          <t>Accessories</t>
        </is>
      </c>
      <c r="D440" s="3" t="inlineStr">
        <is>
          <t>Belts</t>
        </is>
      </c>
      <c r="E440" s="3" t="inlineStr">
        <is>
          <t>Greater Accra</t>
        </is>
      </c>
      <c r="F440" s="3" t="inlineStr">
        <is>
          <t>Retail Shop</t>
        </is>
      </c>
      <c r="G440" s="3" t="inlineStr">
        <is>
          <t>Returning</t>
        </is>
      </c>
      <c r="H440" s="3" t="n">
        <v>1</v>
      </c>
      <c r="I440" s="8" t="n">
        <v>80</v>
      </c>
      <c r="J440" s="8" t="n">
        <v>38.12</v>
      </c>
      <c r="K440" s="9" t="n">
        <v>0.05</v>
      </c>
      <c r="L440" s="8" t="n">
        <v>5.89</v>
      </c>
      <c r="M440" s="8">
        <f>H440*I440*(1-K440)</f>
        <v/>
      </c>
      <c r="N440" s="8">
        <f>H440*J440</f>
        <v/>
      </c>
      <c r="O440" s="8">
        <f>M440-N440-L440</f>
        <v/>
      </c>
      <c r="P440" s="10">
        <f>IFERROR(O440/M440,0)</f>
        <v/>
      </c>
      <c r="Q440" s="3">
        <f>IF(H440&lt;=0,"Review: quantity &lt;= 0",IF(K440&gt;0.3,"Review: discount &gt; 30%",IF(G440="","Review: missing customer type","OK")))</f>
        <v/>
      </c>
    </row>
    <row r="441">
      <c r="A441" s="3" t="inlineStr">
        <is>
          <t>ORD-10440</t>
        </is>
      </c>
      <c r="B441" s="7" t="n">
        <v>45802</v>
      </c>
      <c r="C441" s="3" t="inlineStr">
        <is>
          <t>Footwear</t>
        </is>
      </c>
      <c r="D441" s="3" t="inlineStr">
        <is>
          <t>Boots</t>
        </is>
      </c>
      <c r="E441" s="3" t="inlineStr">
        <is>
          <t>Ashanti</t>
        </is>
      </c>
      <c r="F441" s="3" t="inlineStr">
        <is>
          <t>Retail Shop</t>
        </is>
      </c>
      <c r="G441" s="3" t="inlineStr">
        <is>
          <t>Returning</t>
        </is>
      </c>
      <c r="H441" s="3" t="n">
        <v>2</v>
      </c>
      <c r="I441" s="8" t="n">
        <v>380</v>
      </c>
      <c r="J441" s="8" t="n">
        <v>206.24</v>
      </c>
      <c r="K441" s="9" t="n">
        <v>0.1</v>
      </c>
      <c r="L441" s="8" t="n">
        <v>5.41</v>
      </c>
      <c r="M441" s="8">
        <f>H441*I441*(1-K441)</f>
        <v/>
      </c>
      <c r="N441" s="8">
        <f>H441*J441</f>
        <v/>
      </c>
      <c r="O441" s="8">
        <f>M441-N441-L441</f>
        <v/>
      </c>
      <c r="P441" s="10">
        <f>IFERROR(O441/M441,0)</f>
        <v/>
      </c>
      <c r="Q441" s="3">
        <f>IF(H441&lt;=0,"Review: quantity &lt;= 0",IF(K441&gt;0.3,"Review: discount &gt; 30%",IF(G441="","Review: missing customer type","OK")))</f>
        <v/>
      </c>
    </row>
    <row r="442">
      <c r="A442" s="3" t="inlineStr">
        <is>
          <t>ORD-10441</t>
        </is>
      </c>
      <c r="B442" s="7" t="n">
        <v>45916</v>
      </c>
      <c r="C442" s="3" t="inlineStr">
        <is>
          <t>Footwear</t>
        </is>
      </c>
      <c r="D442" s="3" t="inlineStr">
        <is>
          <t>Sneakers</t>
        </is>
      </c>
      <c r="E442" s="3" t="inlineStr">
        <is>
          <t>Western</t>
        </is>
      </c>
      <c r="F442" s="3" t="inlineStr">
        <is>
          <t>Online</t>
        </is>
      </c>
      <c r="G442" s="3" t="inlineStr">
        <is>
          <t>Returning</t>
        </is>
      </c>
      <c r="H442" s="3" t="n">
        <v>2</v>
      </c>
      <c r="I442" s="8" t="n">
        <v>550</v>
      </c>
      <c r="J442" s="8" t="n">
        <v>286.6</v>
      </c>
      <c r="K442" s="9" t="n">
        <v>0</v>
      </c>
      <c r="L442" s="8" t="n">
        <v>18.56</v>
      </c>
      <c r="M442" s="8">
        <f>H442*I442*(1-K442)</f>
        <v/>
      </c>
      <c r="N442" s="8">
        <f>H442*J442</f>
        <v/>
      </c>
      <c r="O442" s="8">
        <f>M442-N442-L442</f>
        <v/>
      </c>
      <c r="P442" s="10">
        <f>IFERROR(O442/M442,0)</f>
        <v/>
      </c>
      <c r="Q442" s="3">
        <f>IF(H442&lt;=0,"Review: quantity &lt;= 0",IF(K442&gt;0.3,"Review: discount &gt; 30%",IF(G442="","Review: missing customer type","OK")))</f>
        <v/>
      </c>
    </row>
    <row r="443">
      <c r="A443" s="3" t="inlineStr">
        <is>
          <t>ORD-10442</t>
        </is>
      </c>
      <c r="B443" s="7" t="n">
        <v>45981</v>
      </c>
      <c r="C443" s="3" t="inlineStr">
        <is>
          <t>Footwear</t>
        </is>
      </c>
      <c r="D443" s="3" t="inlineStr">
        <is>
          <t>Sneakers</t>
        </is>
      </c>
      <c r="E443" s="3" t="inlineStr">
        <is>
          <t>Central</t>
        </is>
      </c>
      <c r="F443" s="3" t="inlineStr">
        <is>
          <t>Phone/WhatsApp</t>
        </is>
      </c>
      <c r="G443" s="3" t="inlineStr">
        <is>
          <t>Returning</t>
        </is>
      </c>
      <c r="H443" s="3" t="n">
        <v>2</v>
      </c>
      <c r="I443" s="8" t="n">
        <v>385</v>
      </c>
      <c r="J443" s="8" t="n">
        <v>239.54</v>
      </c>
      <c r="K443" s="9" t="n">
        <v>0.05</v>
      </c>
      <c r="L443" s="8" t="n">
        <v>30.39</v>
      </c>
      <c r="M443" s="8">
        <f>H443*I443*(1-K443)</f>
        <v/>
      </c>
      <c r="N443" s="8">
        <f>H443*J443</f>
        <v/>
      </c>
      <c r="O443" s="8">
        <f>M443-N443-L443</f>
        <v/>
      </c>
      <c r="P443" s="10">
        <f>IFERROR(O443/M443,0)</f>
        <v/>
      </c>
      <c r="Q443" s="3">
        <f>IF(H443&lt;=0,"Review: quantity &lt;= 0",IF(K443&gt;0.3,"Review: discount &gt; 30%",IF(G443="","Review: missing customer type","OK")))</f>
        <v/>
      </c>
    </row>
    <row r="444">
      <c r="A444" s="3" t="inlineStr">
        <is>
          <t>ORD-10443</t>
        </is>
      </c>
      <c r="B444" s="7" t="n">
        <v>45669</v>
      </c>
      <c r="C444" s="3" t="inlineStr">
        <is>
          <t>Clothing</t>
        </is>
      </c>
      <c r="D444" s="3" t="inlineStr">
        <is>
          <t>Shirts</t>
        </is>
      </c>
      <c r="E444" s="3" t="inlineStr">
        <is>
          <t>Greater Accra</t>
        </is>
      </c>
      <c r="F444" s="3" t="inlineStr">
        <is>
          <t>Phone/WhatsApp</t>
        </is>
      </c>
      <c r="G444" s="3" t="inlineStr">
        <is>
          <t>Returning</t>
        </is>
      </c>
      <c r="H444" s="3" t="n">
        <v>2</v>
      </c>
      <c r="I444" s="8" t="n">
        <v>175</v>
      </c>
      <c r="J444" s="8" t="n">
        <v>85.87</v>
      </c>
      <c r="K444" s="9" t="n">
        <v>0.1</v>
      </c>
      <c r="L444" s="8" t="n">
        <v>30.07</v>
      </c>
      <c r="M444" s="8">
        <f>H444*I444*(1-K444)</f>
        <v/>
      </c>
      <c r="N444" s="8">
        <f>H444*J444</f>
        <v/>
      </c>
      <c r="O444" s="8">
        <f>M444-N444-L444</f>
        <v/>
      </c>
      <c r="P444" s="10">
        <f>IFERROR(O444/M444,0)</f>
        <v/>
      </c>
      <c r="Q444" s="3">
        <f>IF(H444&lt;=0,"Review: quantity &lt;= 0",IF(K444&gt;0.3,"Review: discount &gt; 30%",IF(G444="","Review: missing customer type","OK")))</f>
        <v/>
      </c>
    </row>
    <row r="445">
      <c r="A445" s="3" t="inlineStr">
        <is>
          <t>ORD-10444</t>
        </is>
      </c>
      <c r="B445" s="7" t="n">
        <v>46008</v>
      </c>
      <c r="C445" s="3" t="inlineStr">
        <is>
          <t>Footwear</t>
        </is>
      </c>
      <c r="D445" s="3" t="inlineStr">
        <is>
          <t>Formal Shoes</t>
        </is>
      </c>
      <c r="E445" s="3" t="inlineStr">
        <is>
          <t>Western</t>
        </is>
      </c>
      <c r="F445" s="3" t="inlineStr">
        <is>
          <t>Online</t>
        </is>
      </c>
      <c r="G445" s="3" t="inlineStr">
        <is>
          <t>Returning</t>
        </is>
      </c>
      <c r="H445" s="3" t="n">
        <v>7</v>
      </c>
      <c r="I445" s="8" t="n">
        <v>735</v>
      </c>
      <c r="J445" s="8" t="n">
        <v>420.31</v>
      </c>
      <c r="K445" s="9" t="n">
        <v>0</v>
      </c>
      <c r="L445" s="8" t="n">
        <v>38.32</v>
      </c>
      <c r="M445" s="8">
        <f>H445*I445*(1-K445)</f>
        <v/>
      </c>
      <c r="N445" s="8">
        <f>H445*J445</f>
        <v/>
      </c>
      <c r="O445" s="8">
        <f>M445-N445-L445</f>
        <v/>
      </c>
      <c r="P445" s="10">
        <f>IFERROR(O445/M445,0)</f>
        <v/>
      </c>
      <c r="Q445" s="3">
        <f>IF(H445&lt;=0,"Review: quantity &lt;= 0",IF(K445&gt;0.3,"Review: discount &gt; 30%",IF(G445="","Review: missing customer type","OK")))</f>
        <v/>
      </c>
    </row>
    <row r="446">
      <c r="A446" s="3" t="inlineStr">
        <is>
          <t>ORD-10445</t>
        </is>
      </c>
      <c r="B446" s="7" t="n">
        <v>45749</v>
      </c>
      <c r="C446" s="3" t="inlineStr">
        <is>
          <t>Home &amp; Lifestyle</t>
        </is>
      </c>
      <c r="D446" s="3" t="inlineStr">
        <is>
          <t>Travel Mugs</t>
        </is>
      </c>
      <c r="E446" s="3" t="inlineStr">
        <is>
          <t>Ashanti</t>
        </is>
      </c>
      <c r="F446" s="3" t="inlineStr">
        <is>
          <t>Retail Shop</t>
        </is>
      </c>
      <c r="G446" s="3" t="inlineStr">
        <is>
          <t>New</t>
        </is>
      </c>
      <c r="H446" s="3" t="n">
        <v>3</v>
      </c>
      <c r="I446" s="8" t="n">
        <v>115</v>
      </c>
      <c r="J446" s="8" t="n">
        <v>70.78</v>
      </c>
      <c r="K446" s="9" t="n">
        <v>0.1</v>
      </c>
      <c r="L446" s="8" t="n">
        <v>11.73</v>
      </c>
      <c r="M446" s="8">
        <f>H446*I446*(1-K446)</f>
        <v/>
      </c>
      <c r="N446" s="8">
        <f>H446*J446</f>
        <v/>
      </c>
      <c r="O446" s="8">
        <f>M446-N446-L446</f>
        <v/>
      </c>
      <c r="P446" s="10">
        <f>IFERROR(O446/M446,0)</f>
        <v/>
      </c>
      <c r="Q446" s="3">
        <f>IF(H446&lt;=0,"Review: quantity &lt;= 0",IF(K446&gt;0.3,"Review: discount &gt; 30%",IF(G446="","Review: missing customer type","OK")))</f>
        <v/>
      </c>
    </row>
    <row r="447">
      <c r="A447" s="3" t="inlineStr">
        <is>
          <t>ORD-10446</t>
        </is>
      </c>
      <c r="B447" s="7" t="n">
        <v>45731</v>
      </c>
      <c r="C447" s="3" t="inlineStr">
        <is>
          <t>Accessories</t>
        </is>
      </c>
      <c r="D447" s="3" t="inlineStr">
        <is>
          <t>Watches</t>
        </is>
      </c>
      <c r="E447" s="3" t="inlineStr">
        <is>
          <t>Greater Accra</t>
        </is>
      </c>
      <c r="F447" s="3" t="inlineStr">
        <is>
          <t>Phone/WhatsApp</t>
        </is>
      </c>
      <c r="G447" s="3" t="inlineStr">
        <is>
          <t>New</t>
        </is>
      </c>
      <c r="H447" s="3" t="n">
        <v>1</v>
      </c>
      <c r="I447" s="8" t="n">
        <v>95</v>
      </c>
      <c r="J447" s="8" t="n">
        <v>48.65</v>
      </c>
      <c r="K447" s="9" t="n">
        <v>0</v>
      </c>
      <c r="L447" s="8" t="n">
        <v>33.39</v>
      </c>
      <c r="M447" s="8">
        <f>H447*I447*(1-K447)</f>
        <v/>
      </c>
      <c r="N447" s="8">
        <f>H447*J447</f>
        <v/>
      </c>
      <c r="O447" s="8">
        <f>M447-N447-L447</f>
        <v/>
      </c>
      <c r="P447" s="10">
        <f>IFERROR(O447/M447,0)</f>
        <v/>
      </c>
      <c r="Q447" s="3">
        <f>IF(H447&lt;=0,"Review: quantity &lt;= 0",IF(K447&gt;0.3,"Review: discount &gt; 30%",IF(G447="","Review: missing customer type","OK")))</f>
        <v/>
      </c>
    </row>
    <row r="448">
      <c r="A448" s="3" t="inlineStr">
        <is>
          <t>ORD-10447</t>
        </is>
      </c>
      <c r="B448" s="7" t="n">
        <v>45937</v>
      </c>
      <c r="C448" s="3" t="inlineStr">
        <is>
          <t>Footwear</t>
        </is>
      </c>
      <c r="D448" s="3" t="inlineStr">
        <is>
          <t>Formal Shoes</t>
        </is>
      </c>
      <c r="E448" s="3" t="inlineStr">
        <is>
          <t>Greater Accra</t>
        </is>
      </c>
      <c r="F448" s="3" t="inlineStr">
        <is>
          <t>Retail Shop</t>
        </is>
      </c>
      <c r="G448" s="3" t="inlineStr">
        <is>
          <t>Returning</t>
        </is>
      </c>
      <c r="H448" s="3" t="n">
        <v>2</v>
      </c>
      <c r="I448" s="8" t="n">
        <v>205</v>
      </c>
      <c r="J448" s="8" t="n">
        <v>113.55</v>
      </c>
      <c r="K448" s="9" t="n">
        <v>0</v>
      </c>
      <c r="L448" s="8" t="n">
        <v>11.74</v>
      </c>
      <c r="M448" s="8">
        <f>H448*I448*(1-K448)</f>
        <v/>
      </c>
      <c r="N448" s="8">
        <f>H448*J448</f>
        <v/>
      </c>
      <c r="O448" s="8">
        <f>M448-N448-L448</f>
        <v/>
      </c>
      <c r="P448" s="10">
        <f>IFERROR(O448/M448,0)</f>
        <v/>
      </c>
      <c r="Q448" s="3">
        <f>IF(H448&lt;=0,"Review: quantity &lt;= 0",IF(K448&gt;0.3,"Review: discount &gt; 30%",IF(G448="","Review: missing customer type","OK")))</f>
        <v/>
      </c>
    </row>
    <row r="449">
      <c r="A449" s="3" t="inlineStr">
        <is>
          <t>ORD-10448</t>
        </is>
      </c>
      <c r="B449" s="7" t="n">
        <v>45687</v>
      </c>
      <c r="C449" s="3" t="inlineStr">
        <is>
          <t>Clothing</t>
        </is>
      </c>
      <c r="D449" s="3" t="inlineStr">
        <is>
          <t>Trousers</t>
        </is>
      </c>
      <c r="E449" s="3" t="inlineStr">
        <is>
          <t>Ashanti</t>
        </is>
      </c>
      <c r="F449" s="3" t="inlineStr">
        <is>
          <t>Online</t>
        </is>
      </c>
      <c r="G449" s="3" t="inlineStr">
        <is>
          <t>Returning</t>
        </is>
      </c>
      <c r="H449" s="3" t="n">
        <v>1</v>
      </c>
      <c r="I449" s="8" t="n">
        <v>155</v>
      </c>
      <c r="J449" s="8" t="n">
        <v>86.5</v>
      </c>
      <c r="K449" s="9" t="n">
        <v>0</v>
      </c>
      <c r="L449" s="8" t="n">
        <v>30.68</v>
      </c>
      <c r="M449" s="8">
        <f>H449*I449*(1-K449)</f>
        <v/>
      </c>
      <c r="N449" s="8">
        <f>H449*J449</f>
        <v/>
      </c>
      <c r="O449" s="8">
        <f>M449-N449-L449</f>
        <v/>
      </c>
      <c r="P449" s="10">
        <f>IFERROR(O449/M449,0)</f>
        <v/>
      </c>
      <c r="Q449" s="3">
        <f>IF(H449&lt;=0,"Review: quantity &lt;= 0",IF(K449&gt;0.3,"Review: discount &gt; 30%",IF(G449="","Review: missing customer type","OK")))</f>
        <v/>
      </c>
    </row>
    <row r="450">
      <c r="A450" s="3" t="inlineStr">
        <is>
          <t>ORD-10449</t>
        </is>
      </c>
      <c r="B450" s="7" t="n">
        <v>45707</v>
      </c>
      <c r="C450" s="3" t="inlineStr">
        <is>
          <t>Clothing</t>
        </is>
      </c>
      <c r="D450" s="3" t="inlineStr">
        <is>
          <t>Shirts</t>
        </is>
      </c>
      <c r="E450" s="3" t="inlineStr">
        <is>
          <t>Central</t>
        </is>
      </c>
      <c r="F450" s="3" t="inlineStr">
        <is>
          <t>Phone/WhatsApp</t>
        </is>
      </c>
      <c r="G450" s="3" t="inlineStr">
        <is>
          <t>New</t>
        </is>
      </c>
      <c r="H450" s="3" t="n">
        <v>6</v>
      </c>
      <c r="I450" s="8" t="n">
        <v>95</v>
      </c>
      <c r="J450" s="8" t="n">
        <v>48.25</v>
      </c>
      <c r="K450" s="9" t="n">
        <v>0.05</v>
      </c>
      <c r="L450" s="8" t="n">
        <v>42.28</v>
      </c>
      <c r="M450" s="8">
        <f>H450*I450*(1-K450)</f>
        <v/>
      </c>
      <c r="N450" s="8">
        <f>H450*J450</f>
        <v/>
      </c>
      <c r="O450" s="8">
        <f>M450-N450-L450</f>
        <v/>
      </c>
      <c r="P450" s="10">
        <f>IFERROR(O450/M450,0)</f>
        <v/>
      </c>
      <c r="Q450" s="3">
        <f>IF(H450&lt;=0,"Review: quantity &lt;= 0",IF(K450&gt;0.3,"Review: discount &gt; 30%",IF(G450="","Review: missing customer type","OK")))</f>
        <v/>
      </c>
    </row>
    <row r="451">
      <c r="A451" s="3" t="inlineStr">
        <is>
          <t>ORD-10450</t>
        </is>
      </c>
      <c r="B451" s="7" t="n">
        <v>45955</v>
      </c>
      <c r="C451" s="3" t="inlineStr">
        <is>
          <t>Home &amp; Lifestyle</t>
        </is>
      </c>
      <c r="D451" s="3" t="inlineStr">
        <is>
          <t>Travel Mugs</t>
        </is>
      </c>
      <c r="E451" s="3" t="inlineStr">
        <is>
          <t>Greater Accra</t>
        </is>
      </c>
      <c r="F451" s="3" t="inlineStr">
        <is>
          <t>Retail Shop</t>
        </is>
      </c>
      <c r="G451" s="3" t="inlineStr">
        <is>
          <t>New</t>
        </is>
      </c>
      <c r="H451" s="3" t="n">
        <v>1</v>
      </c>
      <c r="I451" s="8" t="n">
        <v>65</v>
      </c>
      <c r="J451" s="8" t="n">
        <v>33.17</v>
      </c>
      <c r="K451" s="9" t="n">
        <v>0.1</v>
      </c>
      <c r="L451" s="8" t="n">
        <v>11.16</v>
      </c>
      <c r="M451" s="8">
        <f>H451*I451*(1-K451)</f>
        <v/>
      </c>
      <c r="N451" s="8">
        <f>H451*J451</f>
        <v/>
      </c>
      <c r="O451" s="8">
        <f>M451-N451-L451</f>
        <v/>
      </c>
      <c r="P451" s="10">
        <f>IFERROR(O451/M451,0)</f>
        <v/>
      </c>
      <c r="Q451" s="3">
        <f>IF(H451&lt;=0,"Review: quantity &lt;= 0",IF(K451&gt;0.3,"Review: discount &gt; 30%",IF(G451="","Review: missing customer type","OK")))</f>
        <v/>
      </c>
    </row>
    <row r="452">
      <c r="A452" s="3" t="inlineStr">
        <is>
          <t>ORD-10451</t>
        </is>
      </c>
      <c r="B452" s="7" t="n">
        <v>45863</v>
      </c>
      <c r="C452" s="3" t="inlineStr">
        <is>
          <t>Accessories</t>
        </is>
      </c>
      <c r="D452" s="3" t="inlineStr">
        <is>
          <t>Sunglasses</t>
        </is>
      </c>
      <c r="E452" s="3" t="inlineStr">
        <is>
          <t>Ashanti</t>
        </is>
      </c>
      <c r="F452" s="3" t="inlineStr">
        <is>
          <t>Online</t>
        </is>
      </c>
      <c r="G452" s="3" t="inlineStr">
        <is>
          <t>New</t>
        </is>
      </c>
      <c r="H452" s="3" t="n">
        <v>2</v>
      </c>
      <c r="I452" s="8" t="n">
        <v>95</v>
      </c>
      <c r="J452" s="8" t="n">
        <v>43.86</v>
      </c>
      <c r="K452" s="9" t="n">
        <v>0</v>
      </c>
      <c r="L452" s="8" t="n">
        <v>11.32</v>
      </c>
      <c r="M452" s="8">
        <f>H452*I452*(1-K452)</f>
        <v/>
      </c>
      <c r="N452" s="8">
        <f>H452*J452</f>
        <v/>
      </c>
      <c r="O452" s="8">
        <f>M452-N452-L452</f>
        <v/>
      </c>
      <c r="P452" s="10">
        <f>IFERROR(O452/M452,0)</f>
        <v/>
      </c>
      <c r="Q452" s="3">
        <f>IF(H452&lt;=0,"Review: quantity &lt;= 0",IF(K452&gt;0.3,"Review: discount &gt; 30%",IF(G452="","Review: missing customer type","OK")))</f>
        <v/>
      </c>
    </row>
    <row r="453">
      <c r="A453" s="3" t="inlineStr">
        <is>
          <t>ORD-10452</t>
        </is>
      </c>
      <c r="B453" s="7" t="n">
        <v>45755</v>
      </c>
      <c r="C453" s="3" t="inlineStr">
        <is>
          <t>Home &amp; Lifestyle</t>
        </is>
      </c>
      <c r="D453" s="3" t="inlineStr">
        <is>
          <t>Backpacks</t>
        </is>
      </c>
      <c r="E453" s="3" t="inlineStr">
        <is>
          <t>Greater Accra</t>
        </is>
      </c>
      <c r="F453" s="3" t="inlineStr">
        <is>
          <t>Retail Shop</t>
        </is>
      </c>
      <c r="G453" s="3" t="inlineStr">
        <is>
          <t>Returning</t>
        </is>
      </c>
      <c r="H453" s="3" t="n">
        <v>2</v>
      </c>
      <c r="I453" s="8" t="n">
        <v>105</v>
      </c>
      <c r="J453" s="8" t="n">
        <v>51.92</v>
      </c>
      <c r="K453" s="9" t="n">
        <v>0.1</v>
      </c>
      <c r="L453" s="8" t="n">
        <v>2.81</v>
      </c>
      <c r="M453" s="8">
        <f>H453*I453*(1-K453)</f>
        <v/>
      </c>
      <c r="N453" s="8">
        <f>H453*J453</f>
        <v/>
      </c>
      <c r="O453" s="8">
        <f>M453-N453-L453</f>
        <v/>
      </c>
      <c r="P453" s="10">
        <f>IFERROR(O453/M453,0)</f>
        <v/>
      </c>
      <c r="Q453" s="3">
        <f>IF(H453&lt;=0,"Review: quantity &lt;= 0",IF(K453&gt;0.3,"Review: discount &gt; 30%",IF(G453="","Review: missing customer type","OK")))</f>
        <v/>
      </c>
    </row>
    <row r="454">
      <c r="A454" s="3" t="inlineStr">
        <is>
          <t>ORD-10453</t>
        </is>
      </c>
      <c r="B454" s="7" t="n">
        <v>45812</v>
      </c>
      <c r="C454" s="3" t="inlineStr">
        <is>
          <t>Footwear</t>
        </is>
      </c>
      <c r="D454" s="3" t="inlineStr">
        <is>
          <t>Boots</t>
        </is>
      </c>
      <c r="E454" s="3" t="inlineStr">
        <is>
          <t>Western</t>
        </is>
      </c>
      <c r="F454" s="3" t="inlineStr">
        <is>
          <t>Retail Shop</t>
        </is>
      </c>
      <c r="G454" s="3" t="inlineStr">
        <is>
          <t>Returning</t>
        </is>
      </c>
      <c r="H454" s="3" t="n">
        <v>4</v>
      </c>
      <c r="I454" s="8" t="n">
        <v>340</v>
      </c>
      <c r="J454" s="8" t="n">
        <v>202.31</v>
      </c>
      <c r="K454" s="9" t="n">
        <v>0</v>
      </c>
      <c r="L454" s="8" t="n">
        <v>2.39</v>
      </c>
      <c r="M454" s="8">
        <f>H454*I454*(1-K454)</f>
        <v/>
      </c>
      <c r="N454" s="8">
        <f>H454*J454</f>
        <v/>
      </c>
      <c r="O454" s="8">
        <f>M454-N454-L454</f>
        <v/>
      </c>
      <c r="P454" s="10">
        <f>IFERROR(O454/M454,0)</f>
        <v/>
      </c>
      <c r="Q454" s="3">
        <f>IF(H454&lt;=0,"Review: quantity &lt;= 0",IF(K454&gt;0.3,"Review: discount &gt; 30%",IF(G454="","Review: missing customer type","OK")))</f>
        <v/>
      </c>
    </row>
    <row r="455">
      <c r="A455" s="3" t="inlineStr">
        <is>
          <t>ORD-10454</t>
        </is>
      </c>
      <c r="B455" s="7" t="n">
        <v>45767</v>
      </c>
      <c r="C455" s="3" t="inlineStr">
        <is>
          <t>Clothing</t>
        </is>
      </c>
      <c r="D455" s="3" t="inlineStr">
        <is>
          <t>Dresses</t>
        </is>
      </c>
      <c r="E455" s="3" t="inlineStr">
        <is>
          <t>Western</t>
        </is>
      </c>
      <c r="F455" s="3" t="inlineStr">
        <is>
          <t>Online</t>
        </is>
      </c>
      <c r="G455" s="3" t="inlineStr">
        <is>
          <t>Returning</t>
        </is>
      </c>
      <c r="H455" s="3" t="n">
        <v>1</v>
      </c>
      <c r="I455" s="8" t="n">
        <v>210</v>
      </c>
      <c r="J455" s="8" t="n">
        <v>111.71</v>
      </c>
      <c r="K455" s="9" t="n">
        <v>0.15</v>
      </c>
      <c r="L455" s="8" t="n">
        <v>25.32</v>
      </c>
      <c r="M455" s="8">
        <f>H455*I455*(1-K455)</f>
        <v/>
      </c>
      <c r="N455" s="8">
        <f>H455*J455</f>
        <v/>
      </c>
      <c r="O455" s="8">
        <f>M455-N455-L455</f>
        <v/>
      </c>
      <c r="P455" s="10">
        <f>IFERROR(O455/M455,0)</f>
        <v/>
      </c>
      <c r="Q455" s="3">
        <f>IF(H455&lt;=0,"Review: quantity &lt;= 0",IF(K455&gt;0.3,"Review: discount &gt; 30%",IF(G455="","Review: missing customer type","OK")))</f>
        <v/>
      </c>
    </row>
    <row r="456">
      <c r="A456" s="3" t="inlineStr">
        <is>
          <t>ORD-10455</t>
        </is>
      </c>
      <c r="B456" s="7" t="n">
        <v>45805</v>
      </c>
      <c r="C456" s="3" t="inlineStr">
        <is>
          <t>Footwear</t>
        </is>
      </c>
      <c r="D456" s="3" t="inlineStr">
        <is>
          <t>Sandals</t>
        </is>
      </c>
      <c r="E456" s="3" t="inlineStr">
        <is>
          <t>Greater Accra</t>
        </is>
      </c>
      <c r="F456" s="3" t="inlineStr">
        <is>
          <t>Phone/WhatsApp</t>
        </is>
      </c>
      <c r="G456" s="3" t="inlineStr">
        <is>
          <t>Returning</t>
        </is>
      </c>
      <c r="H456" s="3" t="n">
        <v>1</v>
      </c>
      <c r="I456" s="8" t="n">
        <v>225</v>
      </c>
      <c r="J456" s="8" t="n">
        <v>116.7</v>
      </c>
      <c r="K456" s="9" t="n">
        <v>0</v>
      </c>
      <c r="L456" s="8" t="n">
        <v>14.04</v>
      </c>
      <c r="M456" s="8">
        <f>H456*I456*(1-K456)</f>
        <v/>
      </c>
      <c r="N456" s="8">
        <f>H456*J456</f>
        <v/>
      </c>
      <c r="O456" s="8">
        <f>M456-N456-L456</f>
        <v/>
      </c>
      <c r="P456" s="10">
        <f>IFERROR(O456/M456,0)</f>
        <v/>
      </c>
      <c r="Q456" s="3">
        <f>IF(H456&lt;=0,"Review: quantity &lt;= 0",IF(K456&gt;0.3,"Review: discount &gt; 30%",IF(G456="","Review: missing customer type","OK")))</f>
        <v/>
      </c>
    </row>
    <row r="457">
      <c r="A457" s="3" t="inlineStr">
        <is>
          <t>ORD-10456</t>
        </is>
      </c>
      <c r="B457" s="7" t="n">
        <v>45836</v>
      </c>
      <c r="C457" s="3" t="inlineStr">
        <is>
          <t>Footwear</t>
        </is>
      </c>
      <c r="D457" s="3" t="inlineStr">
        <is>
          <t>Sandals</t>
        </is>
      </c>
      <c r="E457" s="3" t="inlineStr">
        <is>
          <t>Ashanti</t>
        </is>
      </c>
      <c r="F457" s="3" t="inlineStr">
        <is>
          <t>Online</t>
        </is>
      </c>
      <c r="G457" s="3" t="inlineStr">
        <is>
          <t>Returning</t>
        </is>
      </c>
      <c r="H457" s="3" t="n">
        <v>2</v>
      </c>
      <c r="I457" s="8" t="n">
        <v>235</v>
      </c>
      <c r="J457" s="8" t="n">
        <v>132.74</v>
      </c>
      <c r="K457" s="9" t="n">
        <v>0</v>
      </c>
      <c r="L457" s="8" t="n">
        <v>38.32</v>
      </c>
      <c r="M457" s="8">
        <f>H457*I457*(1-K457)</f>
        <v/>
      </c>
      <c r="N457" s="8">
        <f>H457*J457</f>
        <v/>
      </c>
      <c r="O457" s="8">
        <f>M457-N457-L457</f>
        <v/>
      </c>
      <c r="P457" s="10">
        <f>IFERROR(O457/M457,0)</f>
        <v/>
      </c>
      <c r="Q457" s="3">
        <f>IF(H457&lt;=0,"Review: quantity &lt;= 0",IF(K457&gt;0.3,"Review: discount &gt; 30%",IF(G457="","Review: missing customer type","OK")))</f>
        <v/>
      </c>
    </row>
    <row r="458">
      <c r="A458" s="3" t="inlineStr">
        <is>
          <t>ORD-10457</t>
        </is>
      </c>
      <c r="B458" s="7" t="n">
        <v>45697</v>
      </c>
      <c r="C458" s="3" t="inlineStr">
        <is>
          <t>Home &amp; Lifestyle</t>
        </is>
      </c>
      <c r="D458" s="3" t="inlineStr">
        <is>
          <t>Travel Mugs</t>
        </is>
      </c>
      <c r="E458" s="3" t="inlineStr">
        <is>
          <t>Western</t>
        </is>
      </c>
      <c r="F458" s="3" t="inlineStr">
        <is>
          <t>Retail Shop</t>
        </is>
      </c>
      <c r="G458" s="3" t="inlineStr">
        <is>
          <t>Returning</t>
        </is>
      </c>
      <c r="H458" s="3" t="n">
        <v>10</v>
      </c>
      <c r="I458" s="8" t="n">
        <v>205</v>
      </c>
      <c r="J458" s="8" t="n">
        <v>110.67</v>
      </c>
      <c r="K458" s="9" t="n">
        <v>0.05</v>
      </c>
      <c r="L458" s="8" t="n">
        <v>0.64</v>
      </c>
      <c r="M458" s="8">
        <f>H458*I458*(1-K458)</f>
        <v/>
      </c>
      <c r="N458" s="8">
        <f>H458*J458</f>
        <v/>
      </c>
      <c r="O458" s="8">
        <f>M458-N458-L458</f>
        <v/>
      </c>
      <c r="P458" s="10">
        <f>IFERROR(O458/M458,0)</f>
        <v/>
      </c>
      <c r="Q458" s="3">
        <f>IF(H458&lt;=0,"Review: quantity &lt;= 0",IF(K458&gt;0.3,"Review: discount &gt; 30%",IF(G458="","Review: missing customer type","OK")))</f>
        <v/>
      </c>
    </row>
    <row r="459">
      <c r="A459" s="3" t="inlineStr">
        <is>
          <t>ORD-10458</t>
        </is>
      </c>
      <c r="B459" s="7" t="n">
        <v>45971</v>
      </c>
      <c r="C459" s="3" t="inlineStr">
        <is>
          <t>Accessories</t>
        </is>
      </c>
      <c r="D459" s="3" t="inlineStr">
        <is>
          <t>Sunglasses</t>
        </is>
      </c>
      <c r="E459" s="3" t="inlineStr">
        <is>
          <t>Ashanti</t>
        </is>
      </c>
      <c r="F459" s="3" t="inlineStr">
        <is>
          <t>Retail Shop</t>
        </is>
      </c>
      <c r="G459" s="3" t="inlineStr">
        <is>
          <t>Returning</t>
        </is>
      </c>
      <c r="H459" s="3" t="n">
        <v>1</v>
      </c>
      <c r="I459" s="8" t="n">
        <v>105</v>
      </c>
      <c r="J459" s="8" t="n">
        <v>44.38</v>
      </c>
      <c r="K459" s="9" t="n">
        <v>0</v>
      </c>
      <c r="L459" s="8" t="n">
        <v>4.67</v>
      </c>
      <c r="M459" s="8">
        <f>H459*I459*(1-K459)</f>
        <v/>
      </c>
      <c r="N459" s="8">
        <f>H459*J459</f>
        <v/>
      </c>
      <c r="O459" s="8">
        <f>M459-N459-L459</f>
        <v/>
      </c>
      <c r="P459" s="10">
        <f>IFERROR(O459/M459,0)</f>
        <v/>
      </c>
      <c r="Q459" s="3">
        <f>IF(H459&lt;=0,"Review: quantity &lt;= 0",IF(K459&gt;0.3,"Review: discount &gt; 30%",IF(G459="","Review: missing customer type","OK")))</f>
        <v/>
      </c>
    </row>
    <row r="460">
      <c r="A460" s="3" t="inlineStr">
        <is>
          <t>ORD-10459</t>
        </is>
      </c>
      <c r="B460" s="7" t="n">
        <v>45937</v>
      </c>
      <c r="C460" s="3" t="inlineStr">
        <is>
          <t>Home &amp; Lifestyle</t>
        </is>
      </c>
      <c r="D460" s="3" t="inlineStr">
        <is>
          <t>Backpacks</t>
        </is>
      </c>
      <c r="E460" s="3" t="inlineStr">
        <is>
          <t>Greater Accra</t>
        </is>
      </c>
      <c r="F460" s="3" t="inlineStr">
        <is>
          <t>Retail Shop</t>
        </is>
      </c>
      <c r="G460" s="3" t="inlineStr">
        <is>
          <t>Returning</t>
        </is>
      </c>
      <c r="H460" s="3" t="n">
        <v>1</v>
      </c>
      <c r="I460" s="8" t="n">
        <v>180</v>
      </c>
      <c r="J460" s="8" t="n">
        <v>94.45</v>
      </c>
      <c r="K460" s="9" t="n">
        <v>0.05</v>
      </c>
      <c r="L460" s="8" t="n">
        <v>8.31</v>
      </c>
      <c r="M460" s="8">
        <f>H460*I460*(1-K460)</f>
        <v/>
      </c>
      <c r="N460" s="8">
        <f>H460*J460</f>
        <v/>
      </c>
      <c r="O460" s="8">
        <f>M460-N460-L460</f>
        <v/>
      </c>
      <c r="P460" s="10">
        <f>IFERROR(O460/M460,0)</f>
        <v/>
      </c>
      <c r="Q460" s="3">
        <f>IF(H460&lt;=0,"Review: quantity &lt;= 0",IF(K460&gt;0.3,"Review: discount &gt; 30%",IF(G460="","Review: missing customer type","OK")))</f>
        <v/>
      </c>
    </row>
    <row r="461">
      <c r="A461" s="3" t="inlineStr">
        <is>
          <t>ORD-10460</t>
        </is>
      </c>
      <c r="B461" s="7" t="n">
        <v>45671</v>
      </c>
      <c r="C461" s="3" t="inlineStr">
        <is>
          <t>Clothing</t>
        </is>
      </c>
      <c r="D461" s="3" t="inlineStr">
        <is>
          <t>Shirts</t>
        </is>
      </c>
      <c r="E461" s="3" t="inlineStr">
        <is>
          <t>Ashanti</t>
        </is>
      </c>
      <c r="F461" s="3" t="inlineStr">
        <is>
          <t>Retail Shop</t>
        </is>
      </c>
      <c r="G461" s="3" t="inlineStr">
        <is>
          <t>Returning</t>
        </is>
      </c>
      <c r="H461" s="3" t="n">
        <v>2</v>
      </c>
      <c r="I461" s="8" t="n">
        <v>175</v>
      </c>
      <c r="J461" s="8" t="n">
        <v>89.26000000000001</v>
      </c>
      <c r="K461" s="9" t="n">
        <v>0.05</v>
      </c>
      <c r="L461" s="8" t="n">
        <v>0.02</v>
      </c>
      <c r="M461" s="8">
        <f>H461*I461*(1-K461)</f>
        <v/>
      </c>
      <c r="N461" s="8">
        <f>H461*J461</f>
        <v/>
      </c>
      <c r="O461" s="8">
        <f>M461-N461-L461</f>
        <v/>
      </c>
      <c r="P461" s="10">
        <f>IFERROR(O461/M461,0)</f>
        <v/>
      </c>
      <c r="Q461" s="3">
        <f>IF(H461&lt;=0,"Review: quantity &lt;= 0",IF(K461&gt;0.3,"Review: discount &gt; 30%",IF(G461="","Review: missing customer type","OK")))</f>
        <v/>
      </c>
    </row>
    <row r="462">
      <c r="A462" s="3" t="inlineStr">
        <is>
          <t>ORD-10461</t>
        </is>
      </c>
      <c r="B462" s="7" t="n">
        <v>45877</v>
      </c>
      <c r="C462" s="3" t="inlineStr">
        <is>
          <t>Footwear</t>
        </is>
      </c>
      <c r="D462" s="3" t="inlineStr">
        <is>
          <t>Sneakers</t>
        </is>
      </c>
      <c r="E462" s="3" t="inlineStr">
        <is>
          <t>Ashanti</t>
        </is>
      </c>
      <c r="F462" s="3" t="inlineStr">
        <is>
          <t>Online</t>
        </is>
      </c>
      <c r="G462" s="3" t="inlineStr">
        <is>
          <t>New</t>
        </is>
      </c>
      <c r="H462" s="3" t="n">
        <v>5</v>
      </c>
      <c r="I462" s="8" t="n">
        <v>335</v>
      </c>
      <c r="J462" s="8" t="n">
        <v>181.31</v>
      </c>
      <c r="K462" s="9" t="n">
        <v>0.05</v>
      </c>
      <c r="L462" s="8" t="n">
        <v>12.87</v>
      </c>
      <c r="M462" s="8">
        <f>H462*I462*(1-K462)</f>
        <v/>
      </c>
      <c r="N462" s="8">
        <f>H462*J462</f>
        <v/>
      </c>
      <c r="O462" s="8">
        <f>M462-N462-L462</f>
        <v/>
      </c>
      <c r="P462" s="10">
        <f>IFERROR(O462/M462,0)</f>
        <v/>
      </c>
      <c r="Q462" s="3">
        <f>IF(H462&lt;=0,"Review: quantity &lt;= 0",IF(K462&gt;0.3,"Review: discount &gt; 30%",IF(G462="","Review: missing customer type","OK")))</f>
        <v/>
      </c>
    </row>
    <row r="463">
      <c r="A463" s="3" t="inlineStr">
        <is>
          <t>ORD-10462</t>
        </is>
      </c>
      <c r="B463" s="7" t="n">
        <v>45964</v>
      </c>
      <c r="C463" s="3" t="inlineStr">
        <is>
          <t>Footwear</t>
        </is>
      </c>
      <c r="D463" s="3" t="inlineStr">
        <is>
          <t>Sandals</t>
        </is>
      </c>
      <c r="E463" s="3" t="inlineStr">
        <is>
          <t>Western</t>
        </is>
      </c>
      <c r="F463" s="3" t="inlineStr">
        <is>
          <t>Online</t>
        </is>
      </c>
      <c r="G463" s="3" t="inlineStr">
        <is>
          <t>New</t>
        </is>
      </c>
      <c r="H463" s="3" t="n">
        <v>2</v>
      </c>
      <c r="I463" s="8" t="n">
        <v>365</v>
      </c>
      <c r="J463" s="8" t="n">
        <v>220.05</v>
      </c>
      <c r="K463" s="9" t="n">
        <v>0.1</v>
      </c>
      <c r="L463" s="8" t="n">
        <v>26.68</v>
      </c>
      <c r="M463" s="8">
        <f>H463*I463*(1-K463)</f>
        <v/>
      </c>
      <c r="N463" s="8">
        <f>H463*J463</f>
        <v/>
      </c>
      <c r="O463" s="8">
        <f>M463-N463-L463</f>
        <v/>
      </c>
      <c r="P463" s="10">
        <f>IFERROR(O463/M463,0)</f>
        <v/>
      </c>
      <c r="Q463" s="3">
        <f>IF(H463&lt;=0,"Review: quantity &lt;= 0",IF(K463&gt;0.3,"Review: discount &gt; 30%",IF(G463="","Review: missing customer type","OK")))</f>
        <v/>
      </c>
    </row>
    <row r="464">
      <c r="A464" s="3" t="inlineStr">
        <is>
          <t>ORD-10463</t>
        </is>
      </c>
      <c r="B464" s="7" t="n">
        <v>45759</v>
      </c>
      <c r="C464" s="3" t="inlineStr">
        <is>
          <t>Footwear</t>
        </is>
      </c>
      <c r="D464" s="3" t="inlineStr">
        <is>
          <t>Sneakers</t>
        </is>
      </c>
      <c r="E464" s="3" t="inlineStr">
        <is>
          <t>Central</t>
        </is>
      </c>
      <c r="F464" s="3" t="inlineStr">
        <is>
          <t>Online</t>
        </is>
      </c>
      <c r="G464" s="3" t="inlineStr">
        <is>
          <t>Returning</t>
        </is>
      </c>
      <c r="H464" s="3" t="n">
        <v>1</v>
      </c>
      <c r="I464" s="8" t="n">
        <v>310</v>
      </c>
      <c r="J464" s="8" t="n">
        <v>185.02</v>
      </c>
      <c r="K464" s="9" t="n">
        <v>0</v>
      </c>
      <c r="L464" s="8" t="n">
        <v>15.66</v>
      </c>
      <c r="M464" s="8">
        <f>H464*I464*(1-K464)</f>
        <v/>
      </c>
      <c r="N464" s="8">
        <f>H464*J464</f>
        <v/>
      </c>
      <c r="O464" s="8">
        <f>M464-N464-L464</f>
        <v/>
      </c>
      <c r="P464" s="10">
        <f>IFERROR(O464/M464,0)</f>
        <v/>
      </c>
      <c r="Q464" s="3">
        <f>IF(H464&lt;=0,"Review: quantity &lt;= 0",IF(K464&gt;0.3,"Review: discount &gt; 30%",IF(G464="","Review: missing customer type","OK")))</f>
        <v/>
      </c>
    </row>
    <row r="465">
      <c r="A465" s="3" t="inlineStr">
        <is>
          <t>ORD-10464</t>
        </is>
      </c>
      <c r="B465" s="7" t="n">
        <v>45841</v>
      </c>
      <c r="C465" s="3" t="inlineStr">
        <is>
          <t>Clothing</t>
        </is>
      </c>
      <c r="D465" s="3" t="inlineStr">
        <is>
          <t>Shirts</t>
        </is>
      </c>
      <c r="E465" s="3" t="inlineStr">
        <is>
          <t>Greater Accra</t>
        </is>
      </c>
      <c r="F465" s="3" t="inlineStr">
        <is>
          <t>Retail Shop</t>
        </is>
      </c>
      <c r="G465" s="3" t="inlineStr">
        <is>
          <t>New</t>
        </is>
      </c>
      <c r="H465" s="3" t="n">
        <v>5</v>
      </c>
      <c r="I465" s="8" t="n">
        <v>245</v>
      </c>
      <c r="J465" s="8" t="n">
        <v>125.87</v>
      </c>
      <c r="K465" s="9" t="n">
        <v>0.05</v>
      </c>
      <c r="L465" s="8" t="n">
        <v>1.89</v>
      </c>
      <c r="M465" s="8">
        <f>H465*I465*(1-K465)</f>
        <v/>
      </c>
      <c r="N465" s="8">
        <f>H465*J465</f>
        <v/>
      </c>
      <c r="O465" s="8">
        <f>M465-N465-L465</f>
        <v/>
      </c>
      <c r="P465" s="10">
        <f>IFERROR(O465/M465,0)</f>
        <v/>
      </c>
      <c r="Q465" s="3">
        <f>IF(H465&lt;=0,"Review: quantity &lt;= 0",IF(K465&gt;0.3,"Review: discount &gt; 30%",IF(G465="","Review: missing customer type","OK")))</f>
        <v/>
      </c>
    </row>
    <row r="466">
      <c r="A466" s="3" t="inlineStr">
        <is>
          <t>ORD-10465</t>
        </is>
      </c>
      <c r="B466" s="7" t="n">
        <v>45806</v>
      </c>
      <c r="C466" s="3" t="inlineStr">
        <is>
          <t>Footwear</t>
        </is>
      </c>
      <c r="D466" s="3" t="inlineStr">
        <is>
          <t>Boots</t>
        </is>
      </c>
      <c r="E466" s="3" t="inlineStr">
        <is>
          <t>Greater Accra</t>
        </is>
      </c>
      <c r="F466" s="3" t="inlineStr">
        <is>
          <t>Retail Shop</t>
        </is>
      </c>
      <c r="G466" s="3" t="inlineStr">
        <is>
          <t>Returning</t>
        </is>
      </c>
      <c r="H466" s="3" t="n">
        <v>7</v>
      </c>
      <c r="I466" s="8" t="n">
        <v>170</v>
      </c>
      <c r="J466" s="8" t="n">
        <v>95.54000000000001</v>
      </c>
      <c r="K466" s="9" t="n">
        <v>0.05</v>
      </c>
      <c r="L466" s="8" t="n">
        <v>6.7</v>
      </c>
      <c r="M466" s="8">
        <f>H466*I466*(1-K466)</f>
        <v/>
      </c>
      <c r="N466" s="8">
        <f>H466*J466</f>
        <v/>
      </c>
      <c r="O466" s="8">
        <f>M466-N466-L466</f>
        <v/>
      </c>
      <c r="P466" s="10">
        <f>IFERROR(O466/M466,0)</f>
        <v/>
      </c>
      <c r="Q466" s="3">
        <f>IF(H466&lt;=0,"Review: quantity &lt;= 0",IF(K466&gt;0.3,"Review: discount &gt; 30%",IF(G466="","Review: missing customer type","OK")))</f>
        <v/>
      </c>
    </row>
    <row r="467">
      <c r="A467" s="3" t="inlineStr">
        <is>
          <t>ORD-10466</t>
        </is>
      </c>
      <c r="B467" s="7" t="n">
        <v>45784</v>
      </c>
      <c r="C467" s="3" t="inlineStr">
        <is>
          <t>Accessories</t>
        </is>
      </c>
      <c r="D467" s="3" t="inlineStr">
        <is>
          <t>Bags</t>
        </is>
      </c>
      <c r="E467" s="3" t="inlineStr">
        <is>
          <t>Ashanti</t>
        </is>
      </c>
      <c r="F467" s="3" t="inlineStr">
        <is>
          <t>Phone/WhatsApp</t>
        </is>
      </c>
      <c r="G467" s="3" t="inlineStr">
        <is>
          <t>Returning</t>
        </is>
      </c>
      <c r="H467" s="3" t="n">
        <v>5</v>
      </c>
      <c r="I467" s="8" t="n">
        <v>70</v>
      </c>
      <c r="J467" s="8" t="n">
        <v>32.54</v>
      </c>
      <c r="K467" s="9" t="n">
        <v>0</v>
      </c>
      <c r="L467" s="8" t="n">
        <v>13.54</v>
      </c>
      <c r="M467" s="8">
        <f>H467*I467*(1-K467)</f>
        <v/>
      </c>
      <c r="N467" s="8">
        <f>H467*J467</f>
        <v/>
      </c>
      <c r="O467" s="8">
        <f>M467-N467-L467</f>
        <v/>
      </c>
      <c r="P467" s="10">
        <f>IFERROR(O467/M467,0)</f>
        <v/>
      </c>
      <c r="Q467" s="3">
        <f>IF(H467&lt;=0,"Review: quantity &lt;= 0",IF(K467&gt;0.3,"Review: discount &gt; 30%",IF(G467="","Review: missing customer type","OK")))</f>
        <v/>
      </c>
    </row>
    <row r="468">
      <c r="A468" s="3" t="inlineStr">
        <is>
          <t>ORD-10467</t>
        </is>
      </c>
      <c r="B468" s="7" t="n">
        <v>45821</v>
      </c>
      <c r="C468" s="3" t="inlineStr">
        <is>
          <t>Accessories</t>
        </is>
      </c>
      <c r="D468" s="3" t="inlineStr">
        <is>
          <t>Belts</t>
        </is>
      </c>
      <c r="E468" s="3" t="inlineStr">
        <is>
          <t>Ashanti</t>
        </is>
      </c>
      <c r="F468" s="3" t="inlineStr">
        <is>
          <t>Phone/WhatsApp</t>
        </is>
      </c>
      <c r="G468" s="3" t="inlineStr">
        <is>
          <t>Returning</t>
        </is>
      </c>
      <c r="H468" s="3" t="n">
        <v>2</v>
      </c>
      <c r="I468" s="8" t="n">
        <v>100</v>
      </c>
      <c r="J468" s="8" t="n">
        <v>45.88</v>
      </c>
      <c r="K468" s="9" t="n">
        <v>0.1</v>
      </c>
      <c r="L468" s="8" t="n">
        <v>28.55</v>
      </c>
      <c r="M468" s="8">
        <f>H468*I468*(1-K468)</f>
        <v/>
      </c>
      <c r="N468" s="8">
        <f>H468*J468</f>
        <v/>
      </c>
      <c r="O468" s="8">
        <f>M468-N468-L468</f>
        <v/>
      </c>
      <c r="P468" s="10">
        <f>IFERROR(O468/M468,0)</f>
        <v/>
      </c>
      <c r="Q468" s="3">
        <f>IF(H468&lt;=0,"Review: quantity &lt;= 0",IF(K468&gt;0.3,"Review: discount &gt; 30%",IF(G468="","Review: missing customer type","OK")))</f>
        <v/>
      </c>
    </row>
    <row r="469">
      <c r="A469" s="3" t="inlineStr">
        <is>
          <t>ORD-10468</t>
        </is>
      </c>
      <c r="B469" s="7" t="n">
        <v>46018</v>
      </c>
      <c r="C469" s="3" t="inlineStr">
        <is>
          <t>Accessories</t>
        </is>
      </c>
      <c r="D469" s="3" t="inlineStr">
        <is>
          <t>Watches</t>
        </is>
      </c>
      <c r="E469" s="3" t="inlineStr">
        <is>
          <t>Central</t>
        </is>
      </c>
      <c r="F469" s="3" t="inlineStr">
        <is>
          <t>Online</t>
        </is>
      </c>
      <c r="G469" s="3" t="inlineStr">
        <is>
          <t>Returning</t>
        </is>
      </c>
      <c r="H469" s="3" t="n">
        <v>1</v>
      </c>
      <c r="I469" s="8" t="n">
        <v>85</v>
      </c>
      <c r="J469" s="8" t="n">
        <v>41.46</v>
      </c>
      <c r="K469" s="9" t="n">
        <v>0.05</v>
      </c>
      <c r="L469" s="8" t="n">
        <v>34.94</v>
      </c>
      <c r="M469" s="8">
        <f>H469*I469*(1-K469)</f>
        <v/>
      </c>
      <c r="N469" s="8">
        <f>H469*J469</f>
        <v/>
      </c>
      <c r="O469" s="8">
        <f>M469-N469-L469</f>
        <v/>
      </c>
      <c r="P469" s="10">
        <f>IFERROR(O469/M469,0)</f>
        <v/>
      </c>
      <c r="Q469" s="3">
        <f>IF(H469&lt;=0,"Review: quantity &lt;= 0",IF(K469&gt;0.3,"Review: discount &gt; 30%",IF(G469="","Review: missing customer type","OK")))</f>
        <v/>
      </c>
    </row>
    <row r="470">
      <c r="A470" s="3" t="inlineStr">
        <is>
          <t>ORD-10469</t>
        </is>
      </c>
      <c r="B470" s="7" t="n">
        <v>45835</v>
      </c>
      <c r="C470" s="3" t="inlineStr">
        <is>
          <t>Accessories</t>
        </is>
      </c>
      <c r="D470" s="3" t="inlineStr">
        <is>
          <t>Sunglasses</t>
        </is>
      </c>
      <c r="E470" s="3" t="inlineStr">
        <is>
          <t>Western</t>
        </is>
      </c>
      <c r="F470" s="3" t="inlineStr">
        <is>
          <t>Online</t>
        </is>
      </c>
      <c r="G470" s="3" t="inlineStr">
        <is>
          <t>Returning</t>
        </is>
      </c>
      <c r="H470" s="3" t="n">
        <v>1</v>
      </c>
      <c r="I470" s="8" t="n">
        <v>90</v>
      </c>
      <c r="J470" s="8" t="n">
        <v>39.82</v>
      </c>
      <c r="K470" s="9" t="n">
        <v>0.2</v>
      </c>
      <c r="L470" s="8" t="n">
        <v>32.61</v>
      </c>
      <c r="M470" s="8">
        <f>H470*I470*(1-K470)</f>
        <v/>
      </c>
      <c r="N470" s="8">
        <f>H470*J470</f>
        <v/>
      </c>
      <c r="O470" s="8">
        <f>M470-N470-L470</f>
        <v/>
      </c>
      <c r="P470" s="10">
        <f>IFERROR(O470/M470,0)</f>
        <v/>
      </c>
      <c r="Q470" s="3">
        <f>IF(H470&lt;=0,"Review: quantity &lt;= 0",IF(K470&gt;0.3,"Review: discount &gt; 30%",IF(G470="","Review: missing customer type","OK")))</f>
        <v/>
      </c>
    </row>
    <row r="471">
      <c r="A471" s="3" t="inlineStr">
        <is>
          <t>ORD-10470</t>
        </is>
      </c>
      <c r="B471" s="7" t="n">
        <v>45741</v>
      </c>
      <c r="C471" s="3" t="inlineStr">
        <is>
          <t>Footwear</t>
        </is>
      </c>
      <c r="D471" s="3" t="inlineStr">
        <is>
          <t>Formal Shoes</t>
        </is>
      </c>
      <c r="E471" s="3" t="inlineStr">
        <is>
          <t>Greater Accra</t>
        </is>
      </c>
      <c r="F471" s="3" t="inlineStr">
        <is>
          <t>Retail Shop</t>
        </is>
      </c>
      <c r="G471" s="3" t="inlineStr">
        <is>
          <t>Returning</t>
        </is>
      </c>
      <c r="H471" s="3" t="n">
        <v>2</v>
      </c>
      <c r="I471" s="8" t="n">
        <v>270</v>
      </c>
      <c r="J471" s="8" t="n">
        <v>141.1</v>
      </c>
      <c r="K471" s="9" t="n">
        <v>0</v>
      </c>
      <c r="L471" s="8" t="n">
        <v>8.050000000000001</v>
      </c>
      <c r="M471" s="8">
        <f>H471*I471*(1-K471)</f>
        <v/>
      </c>
      <c r="N471" s="8">
        <f>H471*J471</f>
        <v/>
      </c>
      <c r="O471" s="8">
        <f>M471-N471-L471</f>
        <v/>
      </c>
      <c r="P471" s="10">
        <f>IFERROR(O471/M471,0)</f>
        <v/>
      </c>
      <c r="Q471" s="3">
        <f>IF(H471&lt;=0,"Review: quantity &lt;= 0",IF(K471&gt;0.3,"Review: discount &gt; 30%",IF(G471="","Review: missing customer type","OK")))</f>
        <v/>
      </c>
    </row>
    <row r="472">
      <c r="A472" s="3" t="inlineStr">
        <is>
          <t>ORD-10471</t>
        </is>
      </c>
      <c r="B472" s="7" t="n">
        <v>45717</v>
      </c>
      <c r="C472" s="3" t="inlineStr">
        <is>
          <t>Clothing</t>
        </is>
      </c>
      <c r="D472" s="3" t="inlineStr">
        <is>
          <t>Trousers</t>
        </is>
      </c>
      <c r="E472" s="3" t="inlineStr">
        <is>
          <t>Central</t>
        </is>
      </c>
      <c r="F472" s="3" t="inlineStr">
        <is>
          <t>Retail Shop</t>
        </is>
      </c>
      <c r="G472" s="3" t="inlineStr">
        <is>
          <t>Returning</t>
        </is>
      </c>
      <c r="H472" s="3" t="n">
        <v>1</v>
      </c>
      <c r="I472" s="8" t="n">
        <v>175</v>
      </c>
      <c r="J472" s="8" t="n">
        <v>95.38</v>
      </c>
      <c r="K472" s="9" t="n">
        <v>0</v>
      </c>
      <c r="L472" s="8" t="n">
        <v>9.44</v>
      </c>
      <c r="M472" s="8">
        <f>H472*I472*(1-K472)</f>
        <v/>
      </c>
      <c r="N472" s="8">
        <f>H472*J472</f>
        <v/>
      </c>
      <c r="O472" s="8">
        <f>M472-N472-L472</f>
        <v/>
      </c>
      <c r="P472" s="10">
        <f>IFERROR(O472/M472,0)</f>
        <v/>
      </c>
      <c r="Q472" s="3">
        <f>IF(H472&lt;=0,"Review: quantity &lt;= 0",IF(K472&gt;0.3,"Review: discount &gt; 30%",IF(G472="","Review: missing customer type","OK")))</f>
        <v/>
      </c>
    </row>
    <row r="473">
      <c r="A473" s="3" t="inlineStr">
        <is>
          <t>ORD-10472</t>
        </is>
      </c>
      <c r="B473" s="7" t="n">
        <v>45731</v>
      </c>
      <c r="C473" s="3" t="inlineStr">
        <is>
          <t>Home &amp; Lifestyle</t>
        </is>
      </c>
      <c r="D473" s="3" t="inlineStr">
        <is>
          <t>Wallets</t>
        </is>
      </c>
      <c r="E473" s="3" t="inlineStr">
        <is>
          <t>Ashanti</t>
        </is>
      </c>
      <c r="F473" s="3" t="inlineStr">
        <is>
          <t>Online</t>
        </is>
      </c>
      <c r="G473" s="3" t="inlineStr">
        <is>
          <t>Returning</t>
        </is>
      </c>
      <c r="H473" s="3" t="n">
        <v>3</v>
      </c>
      <c r="I473" s="8" t="n">
        <v>90</v>
      </c>
      <c r="J473" s="8" t="n">
        <v>49.67</v>
      </c>
      <c r="K473" s="9" t="n">
        <v>0</v>
      </c>
      <c r="L473" s="8" t="n">
        <v>22.97</v>
      </c>
      <c r="M473" s="8">
        <f>H473*I473*(1-K473)</f>
        <v/>
      </c>
      <c r="N473" s="8">
        <f>H473*J473</f>
        <v/>
      </c>
      <c r="O473" s="8">
        <f>M473-N473-L473</f>
        <v/>
      </c>
      <c r="P473" s="10">
        <f>IFERROR(O473/M473,0)</f>
        <v/>
      </c>
      <c r="Q473" s="3">
        <f>IF(H473&lt;=0,"Review: quantity &lt;= 0",IF(K473&gt;0.3,"Review: discount &gt; 30%",IF(G473="","Review: missing customer type","OK")))</f>
        <v/>
      </c>
    </row>
    <row r="474">
      <c r="A474" s="3" t="inlineStr">
        <is>
          <t>ORD-10473</t>
        </is>
      </c>
      <c r="B474" s="7" t="n">
        <v>45989</v>
      </c>
      <c r="C474" s="3" t="inlineStr">
        <is>
          <t>Clothing</t>
        </is>
      </c>
      <c r="D474" s="3" t="inlineStr">
        <is>
          <t>Trousers</t>
        </is>
      </c>
      <c r="E474" s="3" t="inlineStr">
        <is>
          <t>Ashanti</t>
        </is>
      </c>
      <c r="F474" s="3" t="inlineStr">
        <is>
          <t>Phone/WhatsApp</t>
        </is>
      </c>
      <c r="G474" s="3" t="inlineStr">
        <is>
          <t>New</t>
        </is>
      </c>
      <c r="H474" s="3" t="n">
        <v>1</v>
      </c>
      <c r="I474" s="8" t="n">
        <v>170</v>
      </c>
      <c r="J474" s="8" t="n">
        <v>82.44</v>
      </c>
      <c r="K474" s="9" t="n">
        <v>0.15</v>
      </c>
      <c r="L474" s="8" t="n">
        <v>12.86</v>
      </c>
      <c r="M474" s="8">
        <f>H474*I474*(1-K474)</f>
        <v/>
      </c>
      <c r="N474" s="8">
        <f>H474*J474</f>
        <v/>
      </c>
      <c r="O474" s="8">
        <f>M474-N474-L474</f>
        <v/>
      </c>
      <c r="P474" s="10">
        <f>IFERROR(O474/M474,0)</f>
        <v/>
      </c>
      <c r="Q474" s="3">
        <f>IF(H474&lt;=0,"Review: quantity &lt;= 0",IF(K474&gt;0.3,"Review: discount &gt; 30%",IF(G474="","Review: missing customer type","OK")))</f>
        <v/>
      </c>
    </row>
    <row r="475">
      <c r="A475" s="3" t="inlineStr">
        <is>
          <t>ORD-10474</t>
        </is>
      </c>
      <c r="B475" s="7" t="n">
        <v>45807</v>
      </c>
      <c r="C475" s="3" t="inlineStr">
        <is>
          <t>Footwear</t>
        </is>
      </c>
      <c r="D475" s="3" t="inlineStr">
        <is>
          <t>Boots</t>
        </is>
      </c>
      <c r="E475" s="3" t="inlineStr">
        <is>
          <t>Greater Accra</t>
        </is>
      </c>
      <c r="F475" s="3" t="inlineStr">
        <is>
          <t>Phone/WhatsApp</t>
        </is>
      </c>
      <c r="G475" s="3" t="inlineStr">
        <is>
          <t>Returning</t>
        </is>
      </c>
      <c r="H475" s="3" t="n">
        <v>5</v>
      </c>
      <c r="I475" s="8" t="n">
        <v>230</v>
      </c>
      <c r="J475" s="8" t="n">
        <v>143.6</v>
      </c>
      <c r="K475" s="9" t="n">
        <v>0</v>
      </c>
      <c r="L475" s="8" t="n">
        <v>17.85</v>
      </c>
      <c r="M475" s="8">
        <f>H475*I475*(1-K475)</f>
        <v/>
      </c>
      <c r="N475" s="8">
        <f>H475*J475</f>
        <v/>
      </c>
      <c r="O475" s="8">
        <f>M475-N475-L475</f>
        <v/>
      </c>
      <c r="P475" s="10">
        <f>IFERROR(O475/M475,0)</f>
        <v/>
      </c>
      <c r="Q475" s="3">
        <f>IF(H475&lt;=0,"Review: quantity &lt;= 0",IF(K475&gt;0.3,"Review: discount &gt; 30%",IF(G475="","Review: missing customer type","OK")))</f>
        <v/>
      </c>
    </row>
    <row r="476">
      <c r="A476" s="3" t="inlineStr">
        <is>
          <t>ORD-10475</t>
        </is>
      </c>
      <c r="B476" s="7" t="n">
        <v>45682</v>
      </c>
      <c r="C476" s="3" t="inlineStr">
        <is>
          <t>Home &amp; Lifestyle</t>
        </is>
      </c>
      <c r="D476" s="3" t="inlineStr">
        <is>
          <t>Small Home Goods</t>
        </is>
      </c>
      <c r="E476" s="3" t="inlineStr">
        <is>
          <t>Northern</t>
        </is>
      </c>
      <c r="F476" s="3" t="inlineStr">
        <is>
          <t>Retail Shop</t>
        </is>
      </c>
      <c r="G476" s="3" t="inlineStr">
        <is>
          <t>New</t>
        </is>
      </c>
      <c r="H476" s="3" t="n">
        <v>2</v>
      </c>
      <c r="I476" s="8" t="n">
        <v>140</v>
      </c>
      <c r="J476" s="8" t="n">
        <v>74.22</v>
      </c>
      <c r="K476" s="9" t="n">
        <v>0</v>
      </c>
      <c r="L476" s="8" t="n">
        <v>5.08</v>
      </c>
      <c r="M476" s="8">
        <f>H476*I476*(1-K476)</f>
        <v/>
      </c>
      <c r="N476" s="8">
        <f>H476*J476</f>
        <v/>
      </c>
      <c r="O476" s="8">
        <f>M476-N476-L476</f>
        <v/>
      </c>
      <c r="P476" s="10">
        <f>IFERROR(O476/M476,0)</f>
        <v/>
      </c>
      <c r="Q476" s="3">
        <f>IF(H476&lt;=0,"Review: quantity &lt;= 0",IF(K476&gt;0.3,"Review: discount &gt; 30%",IF(G476="","Review: missing customer type","OK")))</f>
        <v/>
      </c>
    </row>
    <row r="477">
      <c r="A477" s="3" t="inlineStr">
        <is>
          <t>ORD-10476</t>
        </is>
      </c>
      <c r="B477" s="7" t="n">
        <v>45898</v>
      </c>
      <c r="C477" s="3" t="inlineStr">
        <is>
          <t>Footwear</t>
        </is>
      </c>
      <c r="D477" s="3" t="inlineStr">
        <is>
          <t>Boots</t>
        </is>
      </c>
      <c r="E477" s="3" t="inlineStr">
        <is>
          <t>Greater Accra</t>
        </is>
      </c>
      <c r="F477" s="3" t="inlineStr">
        <is>
          <t>Online</t>
        </is>
      </c>
      <c r="G477" s="3" t="inlineStr">
        <is>
          <t>New</t>
        </is>
      </c>
      <c r="H477" s="3" t="n">
        <v>4</v>
      </c>
      <c r="I477" s="8" t="n">
        <v>295</v>
      </c>
      <c r="J477" s="8" t="n">
        <v>156.55</v>
      </c>
      <c r="K477" s="9" t="n">
        <v>0</v>
      </c>
      <c r="L477" s="8" t="n">
        <v>8.43</v>
      </c>
      <c r="M477" s="8">
        <f>H477*I477*(1-K477)</f>
        <v/>
      </c>
      <c r="N477" s="8">
        <f>H477*J477</f>
        <v/>
      </c>
      <c r="O477" s="8">
        <f>M477-N477-L477</f>
        <v/>
      </c>
      <c r="P477" s="10">
        <f>IFERROR(O477/M477,0)</f>
        <v/>
      </c>
      <c r="Q477" s="3">
        <f>IF(H477&lt;=0,"Review: quantity &lt;= 0",IF(K477&gt;0.3,"Review: discount &gt; 30%",IF(G477="","Review: missing customer type","OK")))</f>
        <v/>
      </c>
    </row>
    <row r="478">
      <c r="A478" s="3" t="inlineStr">
        <is>
          <t>ORD-10477</t>
        </is>
      </c>
      <c r="B478" s="7" t="n">
        <v>45848</v>
      </c>
      <c r="C478" s="3" t="inlineStr">
        <is>
          <t>Accessories</t>
        </is>
      </c>
      <c r="D478" s="3" t="inlineStr">
        <is>
          <t>Bags</t>
        </is>
      </c>
      <c r="E478" s="3" t="inlineStr">
        <is>
          <t>Ashanti</t>
        </is>
      </c>
      <c r="F478" s="3" t="inlineStr">
        <is>
          <t>Phone/WhatsApp</t>
        </is>
      </c>
      <c r="G478" s="3" t="inlineStr">
        <is>
          <t>Returning</t>
        </is>
      </c>
      <c r="H478" s="3" t="n">
        <v>1</v>
      </c>
      <c r="I478" s="8" t="n">
        <v>100</v>
      </c>
      <c r="J478" s="8" t="n">
        <v>48.18</v>
      </c>
      <c r="K478" s="9" t="n">
        <v>0.05</v>
      </c>
      <c r="L478" s="8" t="n">
        <v>9.56</v>
      </c>
      <c r="M478" s="8">
        <f>H478*I478*(1-K478)</f>
        <v/>
      </c>
      <c r="N478" s="8">
        <f>H478*J478</f>
        <v/>
      </c>
      <c r="O478" s="8">
        <f>M478-N478-L478</f>
        <v/>
      </c>
      <c r="P478" s="10">
        <f>IFERROR(O478/M478,0)</f>
        <v/>
      </c>
      <c r="Q478" s="3">
        <f>IF(H478&lt;=0,"Review: quantity &lt;= 0",IF(K478&gt;0.3,"Review: discount &gt; 30%",IF(G478="","Review: missing customer type","OK")))</f>
        <v/>
      </c>
    </row>
    <row r="479">
      <c r="A479" s="3" t="inlineStr">
        <is>
          <t>ORD-10478</t>
        </is>
      </c>
      <c r="B479" s="7" t="n">
        <v>45745</v>
      </c>
      <c r="C479" s="3" t="inlineStr">
        <is>
          <t>Footwear</t>
        </is>
      </c>
      <c r="D479" s="3" t="inlineStr">
        <is>
          <t>Formal Shoes</t>
        </is>
      </c>
      <c r="E479" s="3" t="inlineStr">
        <is>
          <t>Northern</t>
        </is>
      </c>
      <c r="F479" s="3" t="inlineStr">
        <is>
          <t>Online</t>
        </is>
      </c>
      <c r="G479" s="3" t="inlineStr">
        <is>
          <t>Returning</t>
        </is>
      </c>
      <c r="H479" s="3" t="n">
        <v>1</v>
      </c>
      <c r="I479" s="8" t="n">
        <v>300</v>
      </c>
      <c r="J479" s="8" t="n">
        <v>177.86</v>
      </c>
      <c r="K479" s="9" t="n">
        <v>0.05</v>
      </c>
      <c r="L479" s="8" t="n">
        <v>17.54</v>
      </c>
      <c r="M479" s="8">
        <f>H479*I479*(1-K479)</f>
        <v/>
      </c>
      <c r="N479" s="8">
        <f>H479*J479</f>
        <v/>
      </c>
      <c r="O479" s="8">
        <f>M479-N479-L479</f>
        <v/>
      </c>
      <c r="P479" s="10">
        <f>IFERROR(O479/M479,0)</f>
        <v/>
      </c>
      <c r="Q479" s="3">
        <f>IF(H479&lt;=0,"Review: quantity &lt;= 0",IF(K479&gt;0.3,"Review: discount &gt; 30%",IF(G479="","Review: missing customer type","OK")))</f>
        <v/>
      </c>
    </row>
    <row r="480">
      <c r="A480" s="3" t="inlineStr">
        <is>
          <t>ORD-10479</t>
        </is>
      </c>
      <c r="B480" s="7" t="n">
        <v>45835</v>
      </c>
      <c r="C480" s="3" t="inlineStr">
        <is>
          <t>Accessories</t>
        </is>
      </c>
      <c r="D480" s="3" t="inlineStr">
        <is>
          <t>Watches</t>
        </is>
      </c>
      <c r="E480" s="3" t="inlineStr">
        <is>
          <t>Ashanti</t>
        </is>
      </c>
      <c r="F480" s="3" t="inlineStr">
        <is>
          <t>Online</t>
        </is>
      </c>
      <c r="G480" s="3" t="inlineStr">
        <is>
          <t>Returning</t>
        </is>
      </c>
      <c r="H480" s="3" t="n">
        <v>1</v>
      </c>
      <c r="I480" s="8" t="n">
        <v>180</v>
      </c>
      <c r="J480" s="8" t="n">
        <v>94.41</v>
      </c>
      <c r="K480" s="9" t="n">
        <v>0.1</v>
      </c>
      <c r="L480" s="8" t="n">
        <v>39.05</v>
      </c>
      <c r="M480" s="8">
        <f>H480*I480*(1-K480)</f>
        <v/>
      </c>
      <c r="N480" s="8">
        <f>H480*J480</f>
        <v/>
      </c>
      <c r="O480" s="8">
        <f>M480-N480-L480</f>
        <v/>
      </c>
      <c r="P480" s="10">
        <f>IFERROR(O480/M480,0)</f>
        <v/>
      </c>
      <c r="Q480" s="3">
        <f>IF(H480&lt;=0,"Review: quantity &lt;= 0",IF(K480&gt;0.3,"Review: discount &gt; 30%",IF(G480="","Review: missing customer type","OK")))</f>
        <v/>
      </c>
    </row>
    <row r="481">
      <c r="A481" s="3" t="inlineStr">
        <is>
          <t>ORD-10480</t>
        </is>
      </c>
      <c r="B481" s="7" t="n">
        <v>45950</v>
      </c>
      <c r="C481" s="3" t="inlineStr">
        <is>
          <t>Footwear</t>
        </is>
      </c>
      <c r="D481" s="3" t="inlineStr">
        <is>
          <t>Boots</t>
        </is>
      </c>
      <c r="E481" s="3" t="inlineStr">
        <is>
          <t>Northern</t>
        </is>
      </c>
      <c r="F481" s="3" t="inlineStr">
        <is>
          <t>Retail Shop</t>
        </is>
      </c>
      <c r="G481" s="3" t="inlineStr">
        <is>
          <t>Returning</t>
        </is>
      </c>
      <c r="H481" s="3" t="n">
        <v>2</v>
      </c>
      <c r="I481" s="8" t="n">
        <v>320</v>
      </c>
      <c r="J481" s="8" t="n">
        <v>173.25</v>
      </c>
      <c r="K481" s="9" t="n">
        <v>0</v>
      </c>
      <c r="L481" s="8" t="n">
        <v>0.53</v>
      </c>
      <c r="M481" s="8">
        <f>H481*I481*(1-K481)</f>
        <v/>
      </c>
      <c r="N481" s="8">
        <f>H481*J481</f>
        <v/>
      </c>
      <c r="O481" s="8">
        <f>M481-N481-L481</f>
        <v/>
      </c>
      <c r="P481" s="10">
        <f>IFERROR(O481/M481,0)</f>
        <v/>
      </c>
      <c r="Q481" s="3">
        <f>IF(H481&lt;=0,"Review: quantity &lt;= 0",IF(K481&gt;0.3,"Review: discount &gt; 30%",IF(G481="","Review: missing customer type","OK")))</f>
        <v/>
      </c>
    </row>
    <row r="482">
      <c r="A482" s="3" t="inlineStr">
        <is>
          <t>ORD-10481</t>
        </is>
      </c>
      <c r="B482" s="7" t="n">
        <v>45957</v>
      </c>
      <c r="C482" s="3" t="inlineStr">
        <is>
          <t>Clothing</t>
        </is>
      </c>
      <c r="D482" s="3" t="inlineStr">
        <is>
          <t>Jackets</t>
        </is>
      </c>
      <c r="E482" s="3" t="inlineStr">
        <is>
          <t>Greater Accra</t>
        </is>
      </c>
      <c r="F482" s="3" t="inlineStr">
        <is>
          <t>Online</t>
        </is>
      </c>
      <c r="G482" s="3" t="inlineStr">
        <is>
          <t>New</t>
        </is>
      </c>
      <c r="H482" s="3" t="n">
        <v>1</v>
      </c>
      <c r="I482" s="8" t="n">
        <v>135</v>
      </c>
      <c r="J482" s="8" t="n">
        <v>70.48999999999999</v>
      </c>
      <c r="K482" s="9" t="n">
        <v>0.15</v>
      </c>
      <c r="L482" s="8" t="n">
        <v>21.64</v>
      </c>
      <c r="M482" s="8">
        <f>H482*I482*(1-K482)</f>
        <v/>
      </c>
      <c r="N482" s="8">
        <f>H482*J482</f>
        <v/>
      </c>
      <c r="O482" s="8">
        <f>M482-N482-L482</f>
        <v/>
      </c>
      <c r="P482" s="10">
        <f>IFERROR(O482/M482,0)</f>
        <v/>
      </c>
      <c r="Q482" s="3">
        <f>IF(H482&lt;=0,"Review: quantity &lt;= 0",IF(K482&gt;0.3,"Review: discount &gt; 30%",IF(G482="","Review: missing customer type","OK")))</f>
        <v/>
      </c>
    </row>
    <row r="483">
      <c r="A483" s="3" t="inlineStr">
        <is>
          <t>ORD-10482</t>
        </is>
      </c>
      <c r="B483" s="7" t="n">
        <v>45886</v>
      </c>
      <c r="C483" s="3" t="inlineStr">
        <is>
          <t>Footwear</t>
        </is>
      </c>
      <c r="D483" s="3" t="inlineStr">
        <is>
          <t>Boots</t>
        </is>
      </c>
      <c r="E483" s="3" t="inlineStr">
        <is>
          <t>Greater Accra</t>
        </is>
      </c>
      <c r="F483" s="3" t="inlineStr">
        <is>
          <t>Retail Shop</t>
        </is>
      </c>
      <c r="G483" s="3" t="inlineStr">
        <is>
          <t>Returning</t>
        </is>
      </c>
      <c r="H483" s="3" t="n">
        <v>3</v>
      </c>
      <c r="I483" s="8" t="n">
        <v>235</v>
      </c>
      <c r="J483" s="8" t="n">
        <v>120.57</v>
      </c>
      <c r="K483" s="9" t="n">
        <v>0.2</v>
      </c>
      <c r="L483" s="8" t="n">
        <v>8.380000000000001</v>
      </c>
      <c r="M483" s="8">
        <f>H483*I483*(1-K483)</f>
        <v/>
      </c>
      <c r="N483" s="8">
        <f>H483*J483</f>
        <v/>
      </c>
      <c r="O483" s="8">
        <f>M483-N483-L483</f>
        <v/>
      </c>
      <c r="P483" s="10">
        <f>IFERROR(O483/M483,0)</f>
        <v/>
      </c>
      <c r="Q483" s="3">
        <f>IF(H483&lt;=0,"Review: quantity &lt;= 0",IF(K483&gt;0.3,"Review: discount &gt; 30%",IF(G483="","Review: missing customer type","OK")))</f>
        <v/>
      </c>
    </row>
    <row r="484">
      <c r="A484" s="3" t="inlineStr">
        <is>
          <t>ORD-10483</t>
        </is>
      </c>
      <c r="B484" s="7" t="n">
        <v>45959</v>
      </c>
      <c r="C484" s="3" t="inlineStr">
        <is>
          <t>Footwear</t>
        </is>
      </c>
      <c r="D484" s="3" t="inlineStr">
        <is>
          <t>Formal Shoes</t>
        </is>
      </c>
      <c r="E484" s="3" t="inlineStr">
        <is>
          <t>Greater Accra</t>
        </is>
      </c>
      <c r="F484" s="3" t="inlineStr">
        <is>
          <t>Retail Shop</t>
        </is>
      </c>
      <c r="G484" s="3" t="inlineStr">
        <is>
          <t>Returning</t>
        </is>
      </c>
      <c r="H484" s="3" t="n">
        <v>1</v>
      </c>
      <c r="I484" s="8" t="n">
        <v>175</v>
      </c>
      <c r="J484" s="8" t="n">
        <v>102.78</v>
      </c>
      <c r="K484" s="9" t="n">
        <v>0</v>
      </c>
      <c r="L484" s="8" t="n">
        <v>8.07</v>
      </c>
      <c r="M484" s="8">
        <f>H484*I484*(1-K484)</f>
        <v/>
      </c>
      <c r="N484" s="8">
        <f>H484*J484</f>
        <v/>
      </c>
      <c r="O484" s="8">
        <f>M484-N484-L484</f>
        <v/>
      </c>
      <c r="P484" s="10">
        <f>IFERROR(O484/M484,0)</f>
        <v/>
      </c>
      <c r="Q484" s="3">
        <f>IF(H484&lt;=0,"Review: quantity &lt;= 0",IF(K484&gt;0.3,"Review: discount &gt; 30%",IF(G484="","Review: missing customer type","OK")))</f>
        <v/>
      </c>
    </row>
    <row r="485">
      <c r="A485" s="3" t="inlineStr">
        <is>
          <t>ORD-10484</t>
        </is>
      </c>
      <c r="B485" s="7" t="n">
        <v>45924</v>
      </c>
      <c r="C485" s="3" t="inlineStr">
        <is>
          <t>Footwear</t>
        </is>
      </c>
      <c r="D485" s="3" t="inlineStr">
        <is>
          <t>Sneakers</t>
        </is>
      </c>
      <c r="E485" s="3" t="inlineStr">
        <is>
          <t>Ashanti</t>
        </is>
      </c>
      <c r="F485" s="3" t="inlineStr">
        <is>
          <t>Retail Shop</t>
        </is>
      </c>
      <c r="G485" s="3" t="inlineStr">
        <is>
          <t>Returning</t>
        </is>
      </c>
      <c r="H485" s="3" t="n">
        <v>1</v>
      </c>
      <c r="I485" s="8" t="n">
        <v>345</v>
      </c>
      <c r="J485" s="8" t="n">
        <v>185.78</v>
      </c>
      <c r="K485" s="9" t="n">
        <v>0</v>
      </c>
      <c r="L485" s="8" t="n">
        <v>11.44</v>
      </c>
      <c r="M485" s="8">
        <f>H485*I485*(1-K485)</f>
        <v/>
      </c>
      <c r="N485" s="8">
        <f>H485*J485</f>
        <v/>
      </c>
      <c r="O485" s="8">
        <f>M485-N485-L485</f>
        <v/>
      </c>
      <c r="P485" s="10">
        <f>IFERROR(O485/M485,0)</f>
        <v/>
      </c>
      <c r="Q485" s="3">
        <f>IF(H485&lt;=0,"Review: quantity &lt;= 0",IF(K485&gt;0.3,"Review: discount &gt; 30%",IF(G485="","Review: missing customer type","OK")))</f>
        <v/>
      </c>
    </row>
    <row r="486">
      <c r="A486" s="3" t="inlineStr">
        <is>
          <t>ORD-10485</t>
        </is>
      </c>
      <c r="B486" s="7" t="n">
        <v>45754</v>
      </c>
      <c r="C486" s="3" t="inlineStr">
        <is>
          <t>Clothing</t>
        </is>
      </c>
      <c r="D486" s="3" t="inlineStr">
        <is>
          <t>Dresses</t>
        </is>
      </c>
      <c r="E486" s="3" t="inlineStr">
        <is>
          <t>Central</t>
        </is>
      </c>
      <c r="F486" s="3" t="inlineStr">
        <is>
          <t>Retail Shop</t>
        </is>
      </c>
      <c r="G486" s="3" t="inlineStr">
        <is>
          <t>New</t>
        </is>
      </c>
      <c r="H486" s="3" t="n">
        <v>1</v>
      </c>
      <c r="I486" s="8" t="n">
        <v>175</v>
      </c>
      <c r="J486" s="8" t="n">
        <v>101.91</v>
      </c>
      <c r="K486" s="9" t="n">
        <v>0</v>
      </c>
      <c r="L486" s="8" t="n">
        <v>1.52</v>
      </c>
      <c r="M486" s="8">
        <f>H486*I486*(1-K486)</f>
        <v/>
      </c>
      <c r="N486" s="8">
        <f>H486*J486</f>
        <v/>
      </c>
      <c r="O486" s="8">
        <f>M486-N486-L486</f>
        <v/>
      </c>
      <c r="P486" s="10">
        <f>IFERROR(O486/M486,0)</f>
        <v/>
      </c>
      <c r="Q486" s="3">
        <f>IF(H486&lt;=0,"Review: quantity &lt;= 0",IF(K486&gt;0.3,"Review: discount &gt; 30%",IF(G486="","Review: missing customer type","OK")))</f>
        <v/>
      </c>
    </row>
    <row r="487">
      <c r="A487" s="3" t="inlineStr">
        <is>
          <t>ORD-10486</t>
        </is>
      </c>
      <c r="B487" s="7" t="n">
        <v>45864</v>
      </c>
      <c r="C487" s="3" t="inlineStr">
        <is>
          <t>Footwear</t>
        </is>
      </c>
      <c r="D487" s="3" t="inlineStr">
        <is>
          <t>Sandals</t>
        </is>
      </c>
      <c r="E487" s="3" t="inlineStr">
        <is>
          <t>Ashanti</t>
        </is>
      </c>
      <c r="F487" s="3" t="inlineStr">
        <is>
          <t>Phone/WhatsApp</t>
        </is>
      </c>
      <c r="G487" s="3" t="inlineStr">
        <is>
          <t>New</t>
        </is>
      </c>
      <c r="H487" s="3" t="n">
        <v>4</v>
      </c>
      <c r="I487" s="8" t="n">
        <v>175</v>
      </c>
      <c r="J487" s="8" t="n">
        <v>95.79000000000001</v>
      </c>
      <c r="K487" s="9" t="n">
        <v>0.05</v>
      </c>
      <c r="L487" s="8" t="n">
        <v>10.65</v>
      </c>
      <c r="M487" s="8">
        <f>H487*I487*(1-K487)</f>
        <v/>
      </c>
      <c r="N487" s="8">
        <f>H487*J487</f>
        <v/>
      </c>
      <c r="O487" s="8">
        <f>M487-N487-L487</f>
        <v/>
      </c>
      <c r="P487" s="10">
        <f>IFERROR(O487/M487,0)</f>
        <v/>
      </c>
      <c r="Q487" s="3">
        <f>IF(H487&lt;=0,"Review: quantity &lt;= 0",IF(K487&gt;0.3,"Review: discount &gt; 30%",IF(G487="","Review: missing customer type","OK")))</f>
        <v/>
      </c>
    </row>
    <row r="488">
      <c r="A488" s="3" t="inlineStr">
        <is>
          <t>ORD-10487</t>
        </is>
      </c>
      <c r="B488" s="7" t="n">
        <v>45722</v>
      </c>
      <c r="C488" s="3" t="inlineStr">
        <is>
          <t>Clothing</t>
        </is>
      </c>
      <c r="D488" s="3" t="inlineStr">
        <is>
          <t>Jackets</t>
        </is>
      </c>
      <c r="E488" s="3" t="inlineStr">
        <is>
          <t>Northern</t>
        </is>
      </c>
      <c r="F488" s="3" t="inlineStr">
        <is>
          <t>Online</t>
        </is>
      </c>
      <c r="G488" s="3" t="inlineStr">
        <is>
          <t>Returning</t>
        </is>
      </c>
      <c r="H488" s="3" t="n">
        <v>6</v>
      </c>
      <c r="I488" s="8" t="n">
        <v>215</v>
      </c>
      <c r="J488" s="8" t="n">
        <v>109.51</v>
      </c>
      <c r="K488" s="9" t="n">
        <v>0</v>
      </c>
      <c r="L488" s="8" t="n">
        <v>14.75</v>
      </c>
      <c r="M488" s="8">
        <f>H488*I488*(1-K488)</f>
        <v/>
      </c>
      <c r="N488" s="8">
        <f>H488*J488</f>
        <v/>
      </c>
      <c r="O488" s="8">
        <f>M488-N488-L488</f>
        <v/>
      </c>
      <c r="P488" s="10">
        <f>IFERROR(O488/M488,0)</f>
        <v/>
      </c>
      <c r="Q488" s="3">
        <f>IF(H488&lt;=0,"Review: quantity &lt;= 0",IF(K488&gt;0.3,"Review: discount &gt; 30%",IF(G488="","Review: missing customer type","OK")))</f>
        <v/>
      </c>
    </row>
    <row r="489">
      <c r="A489" s="3" t="inlineStr">
        <is>
          <t>ORD-10488</t>
        </is>
      </c>
      <c r="B489" s="7" t="n">
        <v>45699</v>
      </c>
      <c r="C489" s="3" t="inlineStr">
        <is>
          <t>Clothing</t>
        </is>
      </c>
      <c r="D489" s="3" t="inlineStr">
        <is>
          <t>Trousers</t>
        </is>
      </c>
      <c r="E489" s="3" t="inlineStr">
        <is>
          <t>Northern</t>
        </is>
      </c>
      <c r="F489" s="3" t="inlineStr">
        <is>
          <t>Online</t>
        </is>
      </c>
      <c r="G489" s="3" t="inlineStr">
        <is>
          <t>Returning</t>
        </is>
      </c>
      <c r="H489" s="3" t="n">
        <v>1</v>
      </c>
      <c r="I489" s="8" t="n">
        <v>215</v>
      </c>
      <c r="J489" s="8" t="n">
        <v>106.98</v>
      </c>
      <c r="K489" s="9" t="n">
        <v>0</v>
      </c>
      <c r="L489" s="8" t="n">
        <v>23.23</v>
      </c>
      <c r="M489" s="8">
        <f>H489*I489*(1-K489)</f>
        <v/>
      </c>
      <c r="N489" s="8">
        <f>H489*J489</f>
        <v/>
      </c>
      <c r="O489" s="8">
        <f>M489-N489-L489</f>
        <v/>
      </c>
      <c r="P489" s="10">
        <f>IFERROR(O489/M489,0)</f>
        <v/>
      </c>
      <c r="Q489" s="3">
        <f>IF(H489&lt;=0,"Review: quantity &lt;= 0",IF(K489&gt;0.3,"Review: discount &gt; 30%",IF(G489="","Review: missing customer type","OK")))</f>
        <v/>
      </c>
    </row>
    <row r="490">
      <c r="A490" s="3" t="inlineStr">
        <is>
          <t>ORD-10489</t>
        </is>
      </c>
      <c r="B490" s="7" t="n">
        <v>45707</v>
      </c>
      <c r="C490" s="3" t="inlineStr">
        <is>
          <t>Footwear</t>
        </is>
      </c>
      <c r="D490" s="3" t="inlineStr">
        <is>
          <t>Sneakers</t>
        </is>
      </c>
      <c r="E490" s="3" t="inlineStr">
        <is>
          <t>Greater Accra</t>
        </is>
      </c>
      <c r="F490" s="3" t="inlineStr">
        <is>
          <t>Retail Shop</t>
        </is>
      </c>
      <c r="G490" s="3" t="inlineStr">
        <is>
          <t>New</t>
        </is>
      </c>
      <c r="H490" s="3" t="n">
        <v>4</v>
      </c>
      <c r="I490" s="8" t="n">
        <v>335</v>
      </c>
      <c r="J490" s="8" t="n">
        <v>192.83</v>
      </c>
      <c r="K490" s="9" t="n">
        <v>0.05</v>
      </c>
      <c r="L490" s="8" t="n">
        <v>7.94</v>
      </c>
      <c r="M490" s="8">
        <f>H490*I490*(1-K490)</f>
        <v/>
      </c>
      <c r="N490" s="8">
        <f>H490*J490</f>
        <v/>
      </c>
      <c r="O490" s="8">
        <f>M490-N490-L490</f>
        <v/>
      </c>
      <c r="P490" s="10">
        <f>IFERROR(O490/M490,0)</f>
        <v/>
      </c>
      <c r="Q490" s="3">
        <f>IF(H490&lt;=0,"Review: quantity &lt;= 0",IF(K490&gt;0.3,"Review: discount &gt; 30%",IF(G490="","Review: missing customer type","OK")))</f>
        <v/>
      </c>
    </row>
    <row r="491">
      <c r="A491" s="3" t="inlineStr">
        <is>
          <t>ORD-10490</t>
        </is>
      </c>
      <c r="B491" s="7" t="n">
        <v>45807</v>
      </c>
      <c r="C491" s="3" t="inlineStr">
        <is>
          <t>Clothing</t>
        </is>
      </c>
      <c r="D491" s="3" t="inlineStr">
        <is>
          <t>Trousers</t>
        </is>
      </c>
      <c r="E491" s="3" t="inlineStr">
        <is>
          <t>Greater Accra</t>
        </is>
      </c>
      <c r="F491" s="3" t="inlineStr">
        <is>
          <t>Retail Shop</t>
        </is>
      </c>
      <c r="G491" s="3" t="inlineStr">
        <is>
          <t>Returning</t>
        </is>
      </c>
      <c r="H491" s="3" t="n">
        <v>1</v>
      </c>
      <c r="I491" s="8" t="n">
        <v>100</v>
      </c>
      <c r="J491" s="8" t="n">
        <v>50.82</v>
      </c>
      <c r="K491" s="9" t="n">
        <v>0</v>
      </c>
      <c r="L491" s="8" t="n">
        <v>3.97</v>
      </c>
      <c r="M491" s="8">
        <f>H491*I491*(1-K491)</f>
        <v/>
      </c>
      <c r="N491" s="8">
        <f>H491*J491</f>
        <v/>
      </c>
      <c r="O491" s="8">
        <f>M491-N491-L491</f>
        <v/>
      </c>
      <c r="P491" s="10">
        <f>IFERROR(O491/M491,0)</f>
        <v/>
      </c>
      <c r="Q491" s="3">
        <f>IF(H491&lt;=0,"Review: quantity &lt;= 0",IF(K491&gt;0.3,"Review: discount &gt; 30%",IF(G491="","Review: missing customer type","OK")))</f>
        <v/>
      </c>
    </row>
    <row r="492">
      <c r="A492" s="3" t="inlineStr">
        <is>
          <t>ORD-10491</t>
        </is>
      </c>
      <c r="B492" s="7" t="n">
        <v>45707</v>
      </c>
      <c r="C492" s="3" t="inlineStr">
        <is>
          <t>Accessories</t>
        </is>
      </c>
      <c r="D492" s="3" t="inlineStr">
        <is>
          <t>Watches</t>
        </is>
      </c>
      <c r="E492" s="3" t="inlineStr">
        <is>
          <t>Central</t>
        </is>
      </c>
      <c r="F492" s="3" t="inlineStr">
        <is>
          <t>Online</t>
        </is>
      </c>
      <c r="G492" s="3" t="inlineStr">
        <is>
          <t>New</t>
        </is>
      </c>
      <c r="H492" s="3" t="n">
        <v>5</v>
      </c>
      <c r="I492" s="8" t="n">
        <v>55</v>
      </c>
      <c r="J492" s="8" t="n">
        <v>23.25</v>
      </c>
      <c r="K492" s="9" t="n">
        <v>0.05</v>
      </c>
      <c r="L492" s="8" t="n">
        <v>10.83</v>
      </c>
      <c r="M492" s="8">
        <f>H492*I492*(1-K492)</f>
        <v/>
      </c>
      <c r="N492" s="8">
        <f>H492*J492</f>
        <v/>
      </c>
      <c r="O492" s="8">
        <f>M492-N492-L492</f>
        <v/>
      </c>
      <c r="P492" s="10">
        <f>IFERROR(O492/M492,0)</f>
        <v/>
      </c>
      <c r="Q492" s="3">
        <f>IF(H492&lt;=0,"Review: quantity &lt;= 0",IF(K492&gt;0.3,"Review: discount &gt; 30%",IF(G492="","Review: missing customer type","OK")))</f>
        <v/>
      </c>
    </row>
    <row r="493">
      <c r="A493" s="3" t="inlineStr">
        <is>
          <t>ORD-10492</t>
        </is>
      </c>
      <c r="B493" s="7" t="n">
        <v>45723</v>
      </c>
      <c r="C493" s="3" t="inlineStr">
        <is>
          <t>Accessories</t>
        </is>
      </c>
      <c r="D493" s="3" t="inlineStr">
        <is>
          <t>Sunglasses</t>
        </is>
      </c>
      <c r="E493" s="3" t="inlineStr">
        <is>
          <t>Greater Accra</t>
        </is>
      </c>
      <c r="F493" s="3" t="inlineStr">
        <is>
          <t>Retail Shop</t>
        </is>
      </c>
      <c r="G493" s="3" t="inlineStr">
        <is>
          <t>Returning</t>
        </is>
      </c>
      <c r="H493" s="3" t="n">
        <v>1</v>
      </c>
      <c r="I493" s="8" t="n">
        <v>80</v>
      </c>
      <c r="J493" s="8" t="n">
        <v>41.24</v>
      </c>
      <c r="K493" s="9" t="n">
        <v>0.05</v>
      </c>
      <c r="L493" s="8" t="n">
        <v>11.19</v>
      </c>
      <c r="M493" s="8">
        <f>H493*I493*(1-K493)</f>
        <v/>
      </c>
      <c r="N493" s="8">
        <f>H493*J493</f>
        <v/>
      </c>
      <c r="O493" s="8">
        <f>M493-N493-L493</f>
        <v/>
      </c>
      <c r="P493" s="10">
        <f>IFERROR(O493/M493,0)</f>
        <v/>
      </c>
      <c r="Q493" s="3">
        <f>IF(H493&lt;=0,"Review: quantity &lt;= 0",IF(K493&gt;0.3,"Review: discount &gt; 30%",IF(G493="","Review: missing customer type","OK")))</f>
        <v/>
      </c>
    </row>
    <row r="494">
      <c r="A494" s="3" t="inlineStr">
        <is>
          <t>ORD-10493</t>
        </is>
      </c>
      <c r="B494" s="7" t="n">
        <v>45750</v>
      </c>
      <c r="C494" s="3" t="inlineStr">
        <is>
          <t>Home &amp; Lifestyle</t>
        </is>
      </c>
      <c r="D494" s="3" t="inlineStr">
        <is>
          <t>Travel Mugs</t>
        </is>
      </c>
      <c r="E494" s="3" t="inlineStr">
        <is>
          <t>Ashanti</t>
        </is>
      </c>
      <c r="F494" s="3" t="inlineStr">
        <is>
          <t>Online</t>
        </is>
      </c>
      <c r="G494" s="3" t="inlineStr">
        <is>
          <t>Returning</t>
        </is>
      </c>
      <c r="H494" s="3" t="n">
        <v>6</v>
      </c>
      <c r="I494" s="8" t="n">
        <v>75</v>
      </c>
      <c r="J494" s="8" t="n">
        <v>43.17</v>
      </c>
      <c r="K494" s="9" t="n">
        <v>0</v>
      </c>
      <c r="L494" s="8" t="n">
        <v>17.28</v>
      </c>
      <c r="M494" s="8">
        <f>H494*I494*(1-K494)</f>
        <v/>
      </c>
      <c r="N494" s="8">
        <f>H494*J494</f>
        <v/>
      </c>
      <c r="O494" s="8">
        <f>M494-N494-L494</f>
        <v/>
      </c>
      <c r="P494" s="10">
        <f>IFERROR(O494/M494,0)</f>
        <v/>
      </c>
      <c r="Q494" s="3">
        <f>IF(H494&lt;=0,"Review: quantity &lt;= 0",IF(K494&gt;0.3,"Review: discount &gt; 30%",IF(G494="","Review: missing customer type","OK")))</f>
        <v/>
      </c>
    </row>
    <row r="495">
      <c r="A495" s="3" t="inlineStr">
        <is>
          <t>ORD-10494</t>
        </is>
      </c>
      <c r="B495" s="7" t="n">
        <v>45824</v>
      </c>
      <c r="C495" s="3" t="inlineStr">
        <is>
          <t>Clothing</t>
        </is>
      </c>
      <c r="D495" s="3" t="inlineStr">
        <is>
          <t>Dresses</t>
        </is>
      </c>
      <c r="E495" s="3" t="inlineStr">
        <is>
          <t>Greater Accra</t>
        </is>
      </c>
      <c r="F495" s="3" t="inlineStr">
        <is>
          <t>Online</t>
        </is>
      </c>
      <c r="G495" s="3" t="inlineStr">
        <is>
          <t>Returning</t>
        </is>
      </c>
      <c r="H495" s="3" t="n">
        <v>1</v>
      </c>
      <c r="I495" s="8" t="n">
        <v>205</v>
      </c>
      <c r="J495" s="8" t="n">
        <v>99.09999999999999</v>
      </c>
      <c r="K495" s="9" t="n">
        <v>0</v>
      </c>
      <c r="L495" s="8" t="n">
        <v>33.76</v>
      </c>
      <c r="M495" s="8">
        <f>H495*I495*(1-K495)</f>
        <v/>
      </c>
      <c r="N495" s="8">
        <f>H495*J495</f>
        <v/>
      </c>
      <c r="O495" s="8">
        <f>M495-N495-L495</f>
        <v/>
      </c>
      <c r="P495" s="10">
        <f>IFERROR(O495/M495,0)</f>
        <v/>
      </c>
      <c r="Q495" s="3">
        <f>IF(H495&lt;=0,"Review: quantity &lt;= 0",IF(K495&gt;0.3,"Review: discount &gt; 30%",IF(G495="","Review: missing customer type","OK")))</f>
        <v/>
      </c>
    </row>
    <row r="496">
      <c r="A496" s="3" t="inlineStr">
        <is>
          <t>ORD-10495</t>
        </is>
      </c>
      <c r="B496" s="7" t="n">
        <v>45933</v>
      </c>
      <c r="C496" s="3" t="inlineStr">
        <is>
          <t>Home &amp; Lifestyle</t>
        </is>
      </c>
      <c r="D496" s="3" t="inlineStr">
        <is>
          <t>Travel Mugs</t>
        </is>
      </c>
      <c r="E496" s="3" t="inlineStr">
        <is>
          <t>Greater Accra</t>
        </is>
      </c>
      <c r="F496" s="3" t="inlineStr">
        <is>
          <t>Phone/WhatsApp</t>
        </is>
      </c>
      <c r="G496" s="3" t="inlineStr">
        <is>
          <t>Returning</t>
        </is>
      </c>
      <c r="H496" s="3" t="n">
        <v>1</v>
      </c>
      <c r="I496" s="8" t="n">
        <v>95</v>
      </c>
      <c r="J496" s="8" t="n">
        <v>46.47</v>
      </c>
      <c r="K496" s="9" t="n">
        <v>0</v>
      </c>
      <c r="L496" s="8" t="n">
        <v>33.33</v>
      </c>
      <c r="M496" s="8">
        <f>H496*I496*(1-K496)</f>
        <v/>
      </c>
      <c r="N496" s="8">
        <f>H496*J496</f>
        <v/>
      </c>
      <c r="O496" s="8">
        <f>M496-N496-L496</f>
        <v/>
      </c>
      <c r="P496" s="10">
        <f>IFERROR(O496/M496,0)</f>
        <v/>
      </c>
      <c r="Q496" s="3">
        <f>IF(H496&lt;=0,"Review: quantity &lt;= 0",IF(K496&gt;0.3,"Review: discount &gt; 30%",IF(G496="","Review: missing customer type","OK")))</f>
        <v/>
      </c>
    </row>
    <row r="497">
      <c r="A497" s="3" t="inlineStr">
        <is>
          <t>ORD-10496</t>
        </is>
      </c>
      <c r="B497" s="7" t="n">
        <v>45708</v>
      </c>
      <c r="C497" s="3" t="inlineStr">
        <is>
          <t>Home &amp; Lifestyle</t>
        </is>
      </c>
      <c r="D497" s="3" t="inlineStr">
        <is>
          <t>Small Home Goods</t>
        </is>
      </c>
      <c r="E497" s="3" t="inlineStr">
        <is>
          <t>Ashanti</t>
        </is>
      </c>
      <c r="F497" s="3" t="inlineStr">
        <is>
          <t>Online</t>
        </is>
      </c>
      <c r="G497" s="3" t="inlineStr">
        <is>
          <t>New</t>
        </is>
      </c>
      <c r="H497" s="3" t="n">
        <v>2</v>
      </c>
      <c r="I497" s="8" t="n">
        <v>165</v>
      </c>
      <c r="J497" s="8" t="n">
        <v>80.79000000000001</v>
      </c>
      <c r="K497" s="9" t="n">
        <v>0.05</v>
      </c>
      <c r="L497" s="8" t="n">
        <v>26.6</v>
      </c>
      <c r="M497" s="8">
        <f>H497*I497*(1-K497)</f>
        <v/>
      </c>
      <c r="N497" s="8">
        <f>H497*J497</f>
        <v/>
      </c>
      <c r="O497" s="8">
        <f>M497-N497-L497</f>
        <v/>
      </c>
      <c r="P497" s="10">
        <f>IFERROR(O497/M497,0)</f>
        <v/>
      </c>
      <c r="Q497" s="3">
        <f>IF(H497&lt;=0,"Review: quantity &lt;= 0",IF(K497&gt;0.3,"Review: discount &gt; 30%",IF(G497="","Review: missing customer type","OK")))</f>
        <v/>
      </c>
    </row>
    <row r="498">
      <c r="A498" s="3" t="inlineStr">
        <is>
          <t>ORD-10497</t>
        </is>
      </c>
      <c r="B498" s="7" t="n">
        <v>46005</v>
      </c>
      <c r="C498" s="3" t="inlineStr">
        <is>
          <t>Footwear</t>
        </is>
      </c>
      <c r="D498" s="3" t="inlineStr">
        <is>
          <t>Boots</t>
        </is>
      </c>
      <c r="E498" s="3" t="inlineStr">
        <is>
          <t>Ashanti</t>
        </is>
      </c>
      <c r="F498" s="3" t="inlineStr">
        <is>
          <t>Retail Shop</t>
        </is>
      </c>
      <c r="G498" s="3" t="inlineStr">
        <is>
          <t>New</t>
        </is>
      </c>
      <c r="H498" s="3" t="n">
        <v>5</v>
      </c>
      <c r="I498" s="8" t="n">
        <v>490</v>
      </c>
      <c r="J498" s="8" t="n">
        <v>295.73</v>
      </c>
      <c r="K498" s="9" t="n">
        <v>0</v>
      </c>
      <c r="L498" s="8" t="n">
        <v>3.24</v>
      </c>
      <c r="M498" s="8">
        <f>H498*I498*(1-K498)</f>
        <v/>
      </c>
      <c r="N498" s="8">
        <f>H498*J498</f>
        <v/>
      </c>
      <c r="O498" s="8">
        <f>M498-N498-L498</f>
        <v/>
      </c>
      <c r="P498" s="10">
        <f>IFERROR(O498/M498,0)</f>
        <v/>
      </c>
      <c r="Q498" s="3">
        <f>IF(H498&lt;=0,"Review: quantity &lt;= 0",IF(K498&gt;0.3,"Review: discount &gt; 30%",IF(G498="","Review: missing customer type","OK")))</f>
        <v/>
      </c>
    </row>
    <row r="499">
      <c r="A499" s="3" t="inlineStr">
        <is>
          <t>ORD-10498</t>
        </is>
      </c>
      <c r="B499" s="7" t="n">
        <v>45720</v>
      </c>
      <c r="C499" s="3" t="inlineStr">
        <is>
          <t>Accessories</t>
        </is>
      </c>
      <c r="D499" s="3" t="inlineStr">
        <is>
          <t>Watches</t>
        </is>
      </c>
      <c r="E499" s="3" t="inlineStr">
        <is>
          <t>Central</t>
        </is>
      </c>
      <c r="F499" s="3" t="inlineStr">
        <is>
          <t>Phone/WhatsApp</t>
        </is>
      </c>
      <c r="G499" s="3" t="inlineStr">
        <is>
          <t>Returning</t>
        </is>
      </c>
      <c r="H499" s="3" t="n">
        <v>8</v>
      </c>
      <c r="I499" s="8" t="n">
        <v>125</v>
      </c>
      <c r="J499" s="8" t="n">
        <v>60.89</v>
      </c>
      <c r="K499" s="9" t="n">
        <v>0</v>
      </c>
      <c r="L499" s="8" t="n">
        <v>36.74</v>
      </c>
      <c r="M499" s="8">
        <f>H499*I499*(1-K499)</f>
        <v/>
      </c>
      <c r="N499" s="8">
        <f>H499*J499</f>
        <v/>
      </c>
      <c r="O499" s="8">
        <f>M499-N499-L499</f>
        <v/>
      </c>
      <c r="P499" s="10">
        <f>IFERROR(O499/M499,0)</f>
        <v/>
      </c>
      <c r="Q499" s="3">
        <f>IF(H499&lt;=0,"Review: quantity &lt;= 0",IF(K499&gt;0.3,"Review: discount &gt; 30%",IF(G499="","Review: missing customer type","OK")))</f>
        <v/>
      </c>
    </row>
    <row r="500">
      <c r="A500" s="3" t="inlineStr">
        <is>
          <t>ORD-10499</t>
        </is>
      </c>
      <c r="B500" s="7" t="n">
        <v>45939</v>
      </c>
      <c r="C500" s="3" t="inlineStr">
        <is>
          <t>Home &amp; Lifestyle</t>
        </is>
      </c>
      <c r="D500" s="3" t="inlineStr">
        <is>
          <t>Travel Mugs</t>
        </is>
      </c>
      <c r="E500" s="3" t="inlineStr">
        <is>
          <t>Ashanti</t>
        </is>
      </c>
      <c r="F500" s="3" t="inlineStr">
        <is>
          <t>Retail Shop</t>
        </is>
      </c>
      <c r="G500" s="3" t="inlineStr">
        <is>
          <t>Returning</t>
        </is>
      </c>
      <c r="H500" s="3" t="n">
        <v>2</v>
      </c>
      <c r="I500" s="8" t="n">
        <v>120</v>
      </c>
      <c r="J500" s="8" t="n">
        <v>71.78</v>
      </c>
      <c r="K500" s="9" t="n">
        <v>0.2</v>
      </c>
      <c r="L500" s="8" t="n">
        <v>7.31</v>
      </c>
      <c r="M500" s="8">
        <f>H500*I500*(1-K500)</f>
        <v/>
      </c>
      <c r="N500" s="8">
        <f>H500*J500</f>
        <v/>
      </c>
      <c r="O500" s="8">
        <f>M500-N500-L500</f>
        <v/>
      </c>
      <c r="P500" s="10">
        <f>IFERROR(O500/M500,0)</f>
        <v/>
      </c>
      <c r="Q500" s="3">
        <f>IF(H500&lt;=0,"Review: quantity &lt;= 0",IF(K500&gt;0.3,"Review: discount &gt; 30%",IF(G500="","Review: missing customer type","OK")))</f>
        <v/>
      </c>
    </row>
    <row r="501">
      <c r="A501" s="3" t="inlineStr">
        <is>
          <t>ORD-10500</t>
        </is>
      </c>
      <c r="B501" s="7" t="n">
        <v>45822</v>
      </c>
      <c r="C501" s="3" t="inlineStr">
        <is>
          <t>Footwear</t>
        </is>
      </c>
      <c r="D501" s="3" t="inlineStr">
        <is>
          <t>Boots</t>
        </is>
      </c>
      <c r="E501" s="3" t="inlineStr">
        <is>
          <t>Greater Accra</t>
        </is>
      </c>
      <c r="F501" s="3" t="inlineStr">
        <is>
          <t>Phone/WhatsApp</t>
        </is>
      </c>
      <c r="G501" s="3" t="inlineStr">
        <is>
          <t>New</t>
        </is>
      </c>
      <c r="H501" s="3" t="n">
        <v>1</v>
      </c>
      <c r="I501" s="8" t="n">
        <v>350</v>
      </c>
      <c r="J501" s="8" t="n">
        <v>189.95</v>
      </c>
      <c r="K501" s="9" t="n">
        <v>0.05</v>
      </c>
      <c r="L501" s="8" t="n">
        <v>40.97</v>
      </c>
      <c r="M501" s="8">
        <f>H501*I501*(1-K501)</f>
        <v/>
      </c>
      <c r="N501" s="8">
        <f>H501*J501</f>
        <v/>
      </c>
      <c r="O501" s="8">
        <f>M501-N501-L501</f>
        <v/>
      </c>
      <c r="P501" s="10">
        <f>IFERROR(O501/M501,0)</f>
        <v/>
      </c>
      <c r="Q501" s="3">
        <f>IF(H501&lt;=0,"Review: quantity &lt;= 0",IF(K501&gt;0.3,"Review: discount &gt; 30%",IF(G501="","Review: missing customer type","OK")))</f>
        <v/>
      </c>
    </row>
    <row r="502">
      <c r="A502" s="3" t="inlineStr">
        <is>
          <t>ORD-10501</t>
        </is>
      </c>
      <c r="B502" s="7" t="n">
        <v>45903</v>
      </c>
      <c r="C502" s="3" t="inlineStr">
        <is>
          <t>Clothing</t>
        </is>
      </c>
      <c r="D502" s="3" t="inlineStr">
        <is>
          <t>Shirts</t>
        </is>
      </c>
      <c r="E502" s="3" t="inlineStr">
        <is>
          <t>Ashanti</t>
        </is>
      </c>
      <c r="F502" s="3" t="inlineStr">
        <is>
          <t>Retail Shop</t>
        </is>
      </c>
      <c r="G502" s="3" t="inlineStr">
        <is>
          <t>New</t>
        </is>
      </c>
      <c r="H502" s="3" t="n">
        <v>2</v>
      </c>
      <c r="I502" s="8" t="n">
        <v>100</v>
      </c>
      <c r="J502" s="8" t="n">
        <v>54.55</v>
      </c>
      <c r="K502" s="9" t="n">
        <v>0</v>
      </c>
      <c r="L502" s="8" t="n">
        <v>6.23</v>
      </c>
      <c r="M502" s="8">
        <f>H502*I502*(1-K502)</f>
        <v/>
      </c>
      <c r="N502" s="8">
        <f>H502*J502</f>
        <v/>
      </c>
      <c r="O502" s="8">
        <f>M502-N502-L502</f>
        <v/>
      </c>
      <c r="P502" s="10">
        <f>IFERROR(O502/M502,0)</f>
        <v/>
      </c>
      <c r="Q502" s="3">
        <f>IF(H502&lt;=0,"Review: quantity &lt;= 0",IF(K502&gt;0.3,"Review: discount &gt; 30%",IF(G502="","Review: missing customer type","OK")))</f>
        <v/>
      </c>
    </row>
    <row r="503">
      <c r="A503" s="3" t="inlineStr">
        <is>
          <t>ORD-10502</t>
        </is>
      </c>
      <c r="B503" s="7" t="n">
        <v>45811</v>
      </c>
      <c r="C503" s="3" t="inlineStr">
        <is>
          <t>Clothing</t>
        </is>
      </c>
      <c r="D503" s="3" t="inlineStr">
        <is>
          <t>Jackets</t>
        </is>
      </c>
      <c r="E503" s="3" t="inlineStr">
        <is>
          <t>Greater Accra</t>
        </is>
      </c>
      <c r="F503" s="3" t="inlineStr">
        <is>
          <t>Online</t>
        </is>
      </c>
      <c r="G503" s="3" t="inlineStr">
        <is>
          <t>Returning</t>
        </is>
      </c>
      <c r="H503" s="3" t="n">
        <v>1</v>
      </c>
      <c r="I503" s="8" t="n">
        <v>110</v>
      </c>
      <c r="J503" s="8" t="n">
        <v>57.65</v>
      </c>
      <c r="K503" s="9" t="n">
        <v>0.05</v>
      </c>
      <c r="L503" s="8" t="n">
        <v>17.82</v>
      </c>
      <c r="M503" s="8">
        <f>H503*I503*(1-K503)</f>
        <v/>
      </c>
      <c r="N503" s="8">
        <f>H503*J503</f>
        <v/>
      </c>
      <c r="O503" s="8">
        <f>M503-N503-L503</f>
        <v/>
      </c>
      <c r="P503" s="10">
        <f>IFERROR(O503/M503,0)</f>
        <v/>
      </c>
      <c r="Q503" s="3">
        <f>IF(H503&lt;=0,"Review: quantity &lt;= 0",IF(K503&gt;0.3,"Review: discount &gt; 30%",IF(G503="","Review: missing customer type","OK")))</f>
        <v/>
      </c>
    </row>
    <row r="504">
      <c r="A504" s="3" t="inlineStr">
        <is>
          <t>ORD-10503</t>
        </is>
      </c>
      <c r="B504" s="7" t="n">
        <v>45885</v>
      </c>
      <c r="C504" s="3" t="inlineStr">
        <is>
          <t>Footwear</t>
        </is>
      </c>
      <c r="D504" s="3" t="inlineStr">
        <is>
          <t>Boots</t>
        </is>
      </c>
      <c r="E504" s="3" t="inlineStr">
        <is>
          <t>Western</t>
        </is>
      </c>
      <c r="F504" s="3" t="inlineStr">
        <is>
          <t>Online</t>
        </is>
      </c>
      <c r="G504" s="3" t="inlineStr">
        <is>
          <t>Returning</t>
        </is>
      </c>
      <c r="H504" s="3" t="n">
        <v>2</v>
      </c>
      <c r="I504" s="8" t="n">
        <v>350</v>
      </c>
      <c r="J504" s="8" t="n">
        <v>217.55</v>
      </c>
      <c r="K504" s="9" t="n">
        <v>0</v>
      </c>
      <c r="L504" s="8" t="n">
        <v>22.66</v>
      </c>
      <c r="M504" s="8">
        <f>H504*I504*(1-K504)</f>
        <v/>
      </c>
      <c r="N504" s="8">
        <f>H504*J504</f>
        <v/>
      </c>
      <c r="O504" s="8">
        <f>M504-N504-L504</f>
        <v/>
      </c>
      <c r="P504" s="10">
        <f>IFERROR(O504/M504,0)</f>
        <v/>
      </c>
      <c r="Q504" s="3">
        <f>IF(H504&lt;=0,"Review: quantity &lt;= 0",IF(K504&gt;0.3,"Review: discount &gt; 30%",IF(G504="","Review: missing customer type","OK")))</f>
        <v/>
      </c>
    </row>
    <row r="505">
      <c r="A505" s="3" t="inlineStr">
        <is>
          <t>ORD-10504</t>
        </is>
      </c>
      <c r="B505" s="7" t="n">
        <v>45901</v>
      </c>
      <c r="C505" s="3" t="inlineStr">
        <is>
          <t>Footwear</t>
        </is>
      </c>
      <c r="D505" s="3" t="inlineStr">
        <is>
          <t>Sandals</t>
        </is>
      </c>
      <c r="E505" s="3" t="inlineStr">
        <is>
          <t>Greater Accra</t>
        </is>
      </c>
      <c r="F505" s="3" t="inlineStr">
        <is>
          <t>Retail Shop</t>
        </is>
      </c>
      <c r="G505" s="3" t="inlineStr">
        <is>
          <t>Returning</t>
        </is>
      </c>
      <c r="H505" s="3" t="n">
        <v>2</v>
      </c>
      <c r="I505" s="8" t="n">
        <v>160</v>
      </c>
      <c r="J505" s="8" t="n">
        <v>88.90000000000001</v>
      </c>
      <c r="K505" s="9" t="n">
        <v>0</v>
      </c>
      <c r="L505" s="8" t="n">
        <v>1.32</v>
      </c>
      <c r="M505" s="8">
        <f>H505*I505*(1-K505)</f>
        <v/>
      </c>
      <c r="N505" s="8">
        <f>H505*J505</f>
        <v/>
      </c>
      <c r="O505" s="8">
        <f>M505-N505-L505</f>
        <v/>
      </c>
      <c r="P505" s="10">
        <f>IFERROR(O505/M505,0)</f>
        <v/>
      </c>
      <c r="Q505" s="3">
        <f>IF(H505&lt;=0,"Review: quantity &lt;= 0",IF(K505&gt;0.3,"Review: discount &gt; 30%",IF(G505="","Review: missing customer type","OK")))</f>
        <v/>
      </c>
    </row>
    <row r="506">
      <c r="A506" s="3" t="inlineStr">
        <is>
          <t>ORD-10505</t>
        </is>
      </c>
      <c r="B506" s="7" t="n">
        <v>45831</v>
      </c>
      <c r="C506" s="3" t="inlineStr">
        <is>
          <t>Clothing</t>
        </is>
      </c>
      <c r="D506" s="3" t="inlineStr">
        <is>
          <t>Dresses</t>
        </is>
      </c>
      <c r="E506" s="3" t="inlineStr">
        <is>
          <t>Western</t>
        </is>
      </c>
      <c r="F506" s="3" t="inlineStr">
        <is>
          <t>Retail Shop</t>
        </is>
      </c>
      <c r="G506" s="3" t="inlineStr">
        <is>
          <t>Returning</t>
        </is>
      </c>
      <c r="H506" s="3" t="n">
        <v>1</v>
      </c>
      <c r="I506" s="8" t="n">
        <v>170</v>
      </c>
      <c r="J506" s="8" t="n">
        <v>84.97</v>
      </c>
      <c r="K506" s="9" t="n">
        <v>0.15</v>
      </c>
      <c r="L506" s="8" t="n">
        <v>6.85</v>
      </c>
      <c r="M506" s="8">
        <f>H506*I506*(1-K506)</f>
        <v/>
      </c>
      <c r="N506" s="8">
        <f>H506*J506</f>
        <v/>
      </c>
      <c r="O506" s="8">
        <f>M506-N506-L506</f>
        <v/>
      </c>
      <c r="P506" s="10">
        <f>IFERROR(O506/M506,0)</f>
        <v/>
      </c>
      <c r="Q506" s="3">
        <f>IF(H506&lt;=0,"Review: quantity &lt;= 0",IF(K506&gt;0.3,"Review: discount &gt; 30%",IF(G506="","Review: missing customer type","OK")))</f>
        <v/>
      </c>
    </row>
    <row r="507">
      <c r="A507" s="3" t="inlineStr">
        <is>
          <t>ORD-10506</t>
        </is>
      </c>
      <c r="B507" s="7" t="n">
        <v>45681</v>
      </c>
      <c r="C507" s="3" t="inlineStr">
        <is>
          <t>Clothing</t>
        </is>
      </c>
      <c r="D507" s="3" t="inlineStr">
        <is>
          <t>Shirts</t>
        </is>
      </c>
      <c r="E507" s="3" t="inlineStr">
        <is>
          <t>Northern</t>
        </is>
      </c>
      <c r="F507" s="3" t="inlineStr">
        <is>
          <t>Retail Shop</t>
        </is>
      </c>
      <c r="G507" s="3" t="inlineStr">
        <is>
          <t>Returning</t>
        </is>
      </c>
      <c r="H507" s="3" t="n">
        <v>1</v>
      </c>
      <c r="I507" s="8" t="n">
        <v>165</v>
      </c>
      <c r="J507" s="8" t="n">
        <v>87.47</v>
      </c>
      <c r="K507" s="9" t="n">
        <v>0</v>
      </c>
      <c r="L507" s="8" t="n">
        <v>0.79</v>
      </c>
      <c r="M507" s="8">
        <f>H507*I507*(1-K507)</f>
        <v/>
      </c>
      <c r="N507" s="8">
        <f>H507*J507</f>
        <v/>
      </c>
      <c r="O507" s="8">
        <f>M507-N507-L507</f>
        <v/>
      </c>
      <c r="P507" s="10">
        <f>IFERROR(O507/M507,0)</f>
        <v/>
      </c>
      <c r="Q507" s="3">
        <f>IF(H507&lt;=0,"Review: quantity &lt;= 0",IF(K507&gt;0.3,"Review: discount &gt; 30%",IF(G507="","Review: missing customer type","OK")))</f>
        <v/>
      </c>
    </row>
    <row r="508">
      <c r="A508" s="3" t="inlineStr">
        <is>
          <t>ORD-10507</t>
        </is>
      </c>
      <c r="B508" s="7" t="n">
        <v>45939</v>
      </c>
      <c r="C508" s="3" t="inlineStr">
        <is>
          <t>Accessories</t>
        </is>
      </c>
      <c r="D508" s="3" t="inlineStr">
        <is>
          <t>Bags</t>
        </is>
      </c>
      <c r="E508" s="3" t="inlineStr">
        <is>
          <t>Greater Accra</t>
        </is>
      </c>
      <c r="F508" s="3" t="inlineStr">
        <is>
          <t>Online</t>
        </is>
      </c>
      <c r="G508" s="3" t="inlineStr">
        <is>
          <t>New</t>
        </is>
      </c>
      <c r="H508" s="3" t="n">
        <v>4</v>
      </c>
      <c r="I508" s="8" t="n">
        <v>80</v>
      </c>
      <c r="J508" s="8" t="n">
        <v>37.15</v>
      </c>
      <c r="K508" s="9" t="n">
        <v>0</v>
      </c>
      <c r="L508" s="8" t="n">
        <v>42.19</v>
      </c>
      <c r="M508" s="8">
        <f>H508*I508*(1-K508)</f>
        <v/>
      </c>
      <c r="N508" s="8">
        <f>H508*J508</f>
        <v/>
      </c>
      <c r="O508" s="8">
        <f>M508-N508-L508</f>
        <v/>
      </c>
      <c r="P508" s="10">
        <f>IFERROR(O508/M508,0)</f>
        <v/>
      </c>
      <c r="Q508" s="3">
        <f>IF(H508&lt;=0,"Review: quantity &lt;= 0",IF(K508&gt;0.3,"Review: discount &gt; 30%",IF(G508="","Review: missing customer type","OK")))</f>
        <v/>
      </c>
    </row>
    <row r="509">
      <c r="A509" s="3" t="inlineStr">
        <is>
          <t>ORD-10508</t>
        </is>
      </c>
      <c r="B509" s="7" t="n">
        <v>45922</v>
      </c>
      <c r="C509" s="3" t="inlineStr">
        <is>
          <t>Clothing</t>
        </is>
      </c>
      <c r="D509" s="3" t="inlineStr">
        <is>
          <t>Trousers</t>
        </is>
      </c>
      <c r="E509" s="3" t="inlineStr">
        <is>
          <t>Western</t>
        </is>
      </c>
      <c r="F509" s="3" t="inlineStr">
        <is>
          <t>Retail Shop</t>
        </is>
      </c>
      <c r="G509" s="3" t="inlineStr">
        <is>
          <t>Returning</t>
        </is>
      </c>
      <c r="H509" s="3" t="n">
        <v>4</v>
      </c>
      <c r="I509" s="8" t="n">
        <v>160</v>
      </c>
      <c r="J509" s="8" t="n">
        <v>84.34</v>
      </c>
      <c r="K509" s="9" t="n">
        <v>0.05</v>
      </c>
      <c r="L509" s="8" t="n">
        <v>0.7</v>
      </c>
      <c r="M509" s="8">
        <f>H509*I509*(1-K509)</f>
        <v/>
      </c>
      <c r="N509" s="8">
        <f>H509*J509</f>
        <v/>
      </c>
      <c r="O509" s="8">
        <f>M509-N509-L509</f>
        <v/>
      </c>
      <c r="P509" s="10">
        <f>IFERROR(O509/M509,0)</f>
        <v/>
      </c>
      <c r="Q509" s="3">
        <f>IF(H509&lt;=0,"Review: quantity &lt;= 0",IF(K509&gt;0.3,"Review: discount &gt; 30%",IF(G509="","Review: missing customer type","OK")))</f>
        <v/>
      </c>
    </row>
    <row r="510">
      <c r="A510" s="3" t="inlineStr">
        <is>
          <t>ORD-10509</t>
        </is>
      </c>
      <c r="B510" s="7" t="n">
        <v>45852</v>
      </c>
      <c r="C510" s="3" t="inlineStr">
        <is>
          <t>Footwear</t>
        </is>
      </c>
      <c r="D510" s="3" t="inlineStr">
        <is>
          <t>Sneakers</t>
        </is>
      </c>
      <c r="E510" s="3" t="inlineStr">
        <is>
          <t>Greater Accra</t>
        </is>
      </c>
      <c r="F510" s="3" t="inlineStr">
        <is>
          <t>Online</t>
        </is>
      </c>
      <c r="G510" s="3" t="inlineStr">
        <is>
          <t>New</t>
        </is>
      </c>
      <c r="H510" s="3" t="n">
        <v>2</v>
      </c>
      <c r="I510" s="8" t="n">
        <v>300</v>
      </c>
      <c r="J510" s="8" t="n">
        <v>171.92</v>
      </c>
      <c r="K510" s="9" t="n">
        <v>0</v>
      </c>
      <c r="L510" s="8" t="n">
        <v>21.48</v>
      </c>
      <c r="M510" s="8">
        <f>H510*I510*(1-K510)</f>
        <v/>
      </c>
      <c r="N510" s="8">
        <f>H510*J510</f>
        <v/>
      </c>
      <c r="O510" s="8">
        <f>M510-N510-L510</f>
        <v/>
      </c>
      <c r="P510" s="10">
        <f>IFERROR(O510/M510,0)</f>
        <v/>
      </c>
      <c r="Q510" s="3">
        <f>IF(H510&lt;=0,"Review: quantity &lt;= 0",IF(K510&gt;0.3,"Review: discount &gt; 30%",IF(G510="","Review: missing customer type","OK")))</f>
        <v/>
      </c>
    </row>
    <row r="511">
      <c r="A511" s="3" t="inlineStr">
        <is>
          <t>ORD-10510</t>
        </is>
      </c>
      <c r="B511" s="7" t="n">
        <v>45971</v>
      </c>
      <c r="C511" s="3" t="inlineStr">
        <is>
          <t>Footwear</t>
        </is>
      </c>
      <c r="D511" s="3" t="inlineStr">
        <is>
          <t>Boots</t>
        </is>
      </c>
      <c r="E511" s="3" t="inlineStr">
        <is>
          <t>Greater Accra</t>
        </is>
      </c>
      <c r="F511" s="3" t="inlineStr">
        <is>
          <t>Retail Shop</t>
        </is>
      </c>
      <c r="G511" s="3" t="inlineStr">
        <is>
          <t>Returning</t>
        </is>
      </c>
      <c r="H511" s="3" t="n">
        <v>3</v>
      </c>
      <c r="I511" s="8" t="n">
        <v>355</v>
      </c>
      <c r="J511" s="8" t="n">
        <v>184.76</v>
      </c>
      <c r="K511" s="9" t="n">
        <v>0.35</v>
      </c>
      <c r="L511" s="8" t="n">
        <v>3.17</v>
      </c>
      <c r="M511" s="8">
        <f>H511*I511*(1-K511)</f>
        <v/>
      </c>
      <c r="N511" s="8">
        <f>H511*J511</f>
        <v/>
      </c>
      <c r="O511" s="8">
        <f>M511-N511-L511</f>
        <v/>
      </c>
      <c r="P511" s="10">
        <f>IFERROR(O511/M511,0)</f>
        <v/>
      </c>
      <c r="Q511" s="3">
        <f>IF(H511&lt;=0,"Review: quantity &lt;= 0",IF(K511&gt;0.3,"Review: discount &gt; 30%",IF(G511="","Review: missing customer type","OK")))</f>
        <v/>
      </c>
    </row>
    <row r="512">
      <c r="A512" s="3" t="inlineStr">
        <is>
          <t>ORD-10511</t>
        </is>
      </c>
      <c r="B512" s="7" t="n">
        <v>45676</v>
      </c>
      <c r="C512" s="3" t="inlineStr">
        <is>
          <t>Footwear</t>
        </is>
      </c>
      <c r="D512" s="3" t="inlineStr">
        <is>
          <t>Formal Shoes</t>
        </is>
      </c>
      <c r="E512" s="3" t="inlineStr">
        <is>
          <t>Ashanti</t>
        </is>
      </c>
      <c r="F512" s="3" t="inlineStr">
        <is>
          <t>Phone/WhatsApp</t>
        </is>
      </c>
      <c r="G512" s="3" t="inlineStr">
        <is>
          <t>Returning</t>
        </is>
      </c>
      <c r="H512" s="3" t="n">
        <v>2</v>
      </c>
      <c r="I512" s="8" t="n">
        <v>345</v>
      </c>
      <c r="J512" s="8" t="n">
        <v>177.98</v>
      </c>
      <c r="K512" s="9" t="n">
        <v>0</v>
      </c>
      <c r="L512" s="8" t="n">
        <v>15.27</v>
      </c>
      <c r="M512" s="8">
        <f>H512*I512*(1-K512)</f>
        <v/>
      </c>
      <c r="N512" s="8">
        <f>H512*J512</f>
        <v/>
      </c>
      <c r="O512" s="8">
        <f>M512-N512-L512</f>
        <v/>
      </c>
      <c r="P512" s="10">
        <f>IFERROR(O512/M512,0)</f>
        <v/>
      </c>
      <c r="Q512" s="3">
        <f>IF(H512&lt;=0,"Review: quantity &lt;= 0",IF(K512&gt;0.3,"Review: discount &gt; 30%",IF(G512="","Review: missing customer type","OK")))</f>
        <v/>
      </c>
    </row>
    <row r="513">
      <c r="A513" s="3" t="inlineStr">
        <is>
          <t>ORD-10512</t>
        </is>
      </c>
      <c r="B513" s="7" t="n">
        <v>45948</v>
      </c>
      <c r="C513" s="3" t="inlineStr">
        <is>
          <t>Clothing</t>
        </is>
      </c>
      <c r="D513" s="3" t="inlineStr">
        <is>
          <t>Jackets</t>
        </is>
      </c>
      <c r="E513" s="3" t="inlineStr">
        <is>
          <t>Western</t>
        </is>
      </c>
      <c r="F513" s="3" t="inlineStr">
        <is>
          <t>Phone/WhatsApp</t>
        </is>
      </c>
      <c r="G513" s="3" t="inlineStr">
        <is>
          <t>Returning</t>
        </is>
      </c>
      <c r="H513" s="3" t="n">
        <v>4</v>
      </c>
      <c r="I513" s="8" t="n">
        <v>110</v>
      </c>
      <c r="J513" s="8" t="n">
        <v>51.65</v>
      </c>
      <c r="K513" s="9" t="n">
        <v>0.15</v>
      </c>
      <c r="L513" s="8" t="n">
        <v>42.83</v>
      </c>
      <c r="M513" s="8">
        <f>H513*I513*(1-K513)</f>
        <v/>
      </c>
      <c r="N513" s="8">
        <f>H513*J513</f>
        <v/>
      </c>
      <c r="O513" s="8">
        <f>M513-N513-L513</f>
        <v/>
      </c>
      <c r="P513" s="10">
        <f>IFERROR(O513/M513,0)</f>
        <v/>
      </c>
      <c r="Q513" s="3">
        <f>IF(H513&lt;=0,"Review: quantity &lt;= 0",IF(K513&gt;0.3,"Review: discount &gt; 30%",IF(G513="","Review: missing customer type","OK")))</f>
        <v/>
      </c>
    </row>
    <row r="514">
      <c r="A514" s="3" t="inlineStr">
        <is>
          <t>ORD-10513</t>
        </is>
      </c>
      <c r="B514" s="7" t="n">
        <v>45835</v>
      </c>
      <c r="C514" s="3" t="inlineStr">
        <is>
          <t>Home &amp; Lifestyle</t>
        </is>
      </c>
      <c r="D514" s="3" t="inlineStr">
        <is>
          <t>Travel Mugs</t>
        </is>
      </c>
      <c r="E514" s="3" t="inlineStr">
        <is>
          <t>Western</t>
        </is>
      </c>
      <c r="F514" s="3" t="inlineStr">
        <is>
          <t>Retail Shop</t>
        </is>
      </c>
      <c r="G514" s="3" t="inlineStr">
        <is>
          <t>Returning</t>
        </is>
      </c>
      <c r="H514" s="3" t="n">
        <v>4</v>
      </c>
      <c r="I514" s="8" t="n">
        <v>165</v>
      </c>
      <c r="J514" s="8" t="n">
        <v>80.79000000000001</v>
      </c>
      <c r="K514" s="9" t="n">
        <v>0</v>
      </c>
      <c r="L514" s="8" t="n">
        <v>1.99</v>
      </c>
      <c r="M514" s="8">
        <f>H514*I514*(1-K514)</f>
        <v/>
      </c>
      <c r="N514" s="8">
        <f>H514*J514</f>
        <v/>
      </c>
      <c r="O514" s="8">
        <f>M514-N514-L514</f>
        <v/>
      </c>
      <c r="P514" s="10">
        <f>IFERROR(O514/M514,0)</f>
        <v/>
      </c>
      <c r="Q514" s="3">
        <f>IF(H514&lt;=0,"Review: quantity &lt;= 0",IF(K514&gt;0.3,"Review: discount &gt; 30%",IF(G514="","Review: missing customer type","OK")))</f>
        <v/>
      </c>
    </row>
    <row r="515">
      <c r="A515" s="3" t="inlineStr">
        <is>
          <t>ORD-10514</t>
        </is>
      </c>
      <c r="B515" s="7" t="n">
        <v>45663</v>
      </c>
      <c r="C515" s="3" t="inlineStr">
        <is>
          <t>Clothing</t>
        </is>
      </c>
      <c r="D515" s="3" t="inlineStr">
        <is>
          <t>Shirts</t>
        </is>
      </c>
      <c r="E515" s="3" t="inlineStr">
        <is>
          <t>Western</t>
        </is>
      </c>
      <c r="F515" s="3" t="inlineStr">
        <is>
          <t>Retail Shop</t>
        </is>
      </c>
      <c r="G515" s="3" t="inlineStr">
        <is>
          <t>Returning</t>
        </is>
      </c>
      <c r="H515" s="3" t="n">
        <v>4</v>
      </c>
      <c r="I515" s="8" t="n">
        <v>130</v>
      </c>
      <c r="J515" s="8" t="n">
        <v>65.62</v>
      </c>
      <c r="K515" s="9" t="n">
        <v>0.2</v>
      </c>
      <c r="L515" s="8" t="n">
        <v>4.28</v>
      </c>
      <c r="M515" s="8">
        <f>H515*I515*(1-K515)</f>
        <v/>
      </c>
      <c r="N515" s="8">
        <f>H515*J515</f>
        <v/>
      </c>
      <c r="O515" s="8">
        <f>M515-N515-L515</f>
        <v/>
      </c>
      <c r="P515" s="10">
        <f>IFERROR(O515/M515,0)</f>
        <v/>
      </c>
      <c r="Q515" s="3">
        <f>IF(H515&lt;=0,"Review: quantity &lt;= 0",IF(K515&gt;0.3,"Review: discount &gt; 30%",IF(G515="","Review: missing customer type","OK")))</f>
        <v/>
      </c>
    </row>
    <row r="516">
      <c r="A516" s="3" t="inlineStr">
        <is>
          <t>ORD-10515</t>
        </is>
      </c>
      <c r="B516" s="7" t="n">
        <v>45723</v>
      </c>
      <c r="C516" s="3" t="inlineStr">
        <is>
          <t>Accessories</t>
        </is>
      </c>
      <c r="D516" s="3" t="inlineStr">
        <is>
          <t>Watches</t>
        </is>
      </c>
      <c r="E516" s="3" t="inlineStr">
        <is>
          <t>Ashanti</t>
        </is>
      </c>
      <c r="F516" s="3" t="inlineStr">
        <is>
          <t>Online</t>
        </is>
      </c>
      <c r="G516" s="3" t="inlineStr">
        <is>
          <t>Returning</t>
        </is>
      </c>
      <c r="H516" s="3" t="n">
        <v>1</v>
      </c>
      <c r="I516" s="8" t="n">
        <v>70</v>
      </c>
      <c r="J516" s="8" t="n">
        <v>31.62</v>
      </c>
      <c r="K516" s="9" t="n">
        <v>0.2</v>
      </c>
      <c r="L516" s="8" t="n">
        <v>32.96</v>
      </c>
      <c r="M516" s="8">
        <f>H516*I516*(1-K516)</f>
        <v/>
      </c>
      <c r="N516" s="8">
        <f>H516*J516</f>
        <v/>
      </c>
      <c r="O516" s="8">
        <f>M516-N516-L516</f>
        <v/>
      </c>
      <c r="P516" s="10">
        <f>IFERROR(O516/M516,0)</f>
        <v/>
      </c>
      <c r="Q516" s="3">
        <f>IF(H516&lt;=0,"Review: quantity &lt;= 0",IF(K516&gt;0.3,"Review: discount &gt; 30%",IF(G516="","Review: missing customer type","OK")))</f>
        <v/>
      </c>
    </row>
    <row r="517">
      <c r="A517" s="3" t="inlineStr">
        <is>
          <t>ORD-10516</t>
        </is>
      </c>
      <c r="B517" s="7" t="n">
        <v>45853</v>
      </c>
      <c r="C517" s="3" t="inlineStr">
        <is>
          <t>Footwear</t>
        </is>
      </c>
      <c r="D517" s="3" t="inlineStr">
        <is>
          <t>Sneakers</t>
        </is>
      </c>
      <c r="E517" s="3" t="inlineStr">
        <is>
          <t>Western</t>
        </is>
      </c>
      <c r="F517" s="3" t="inlineStr">
        <is>
          <t>Retail Shop</t>
        </is>
      </c>
      <c r="G517" s="3" t="inlineStr">
        <is>
          <t>Returning</t>
        </is>
      </c>
      <c r="H517" s="3" t="n">
        <v>1</v>
      </c>
      <c r="I517" s="8" t="n">
        <v>185</v>
      </c>
      <c r="J517" s="8" t="n">
        <v>110.63</v>
      </c>
      <c r="K517" s="9" t="n">
        <v>0.2</v>
      </c>
      <c r="L517" s="8" t="n">
        <v>7.44</v>
      </c>
      <c r="M517" s="8">
        <f>H517*I517*(1-K517)</f>
        <v/>
      </c>
      <c r="N517" s="8">
        <f>H517*J517</f>
        <v/>
      </c>
      <c r="O517" s="8">
        <f>M517-N517-L517</f>
        <v/>
      </c>
      <c r="P517" s="10">
        <f>IFERROR(O517/M517,0)</f>
        <v/>
      </c>
      <c r="Q517" s="3">
        <f>IF(H517&lt;=0,"Review: quantity &lt;= 0",IF(K517&gt;0.3,"Review: discount &gt; 30%",IF(G517="","Review: missing customer type","OK")))</f>
        <v/>
      </c>
    </row>
    <row r="518">
      <c r="A518" s="3" t="inlineStr">
        <is>
          <t>ORD-10517</t>
        </is>
      </c>
      <c r="B518" s="7" t="n">
        <v>46014</v>
      </c>
      <c r="C518" s="3" t="inlineStr">
        <is>
          <t>Footwear</t>
        </is>
      </c>
      <c r="D518" s="3" t="inlineStr">
        <is>
          <t>Sandals</t>
        </is>
      </c>
      <c r="E518" s="3" t="inlineStr">
        <is>
          <t>Northern</t>
        </is>
      </c>
      <c r="F518" s="3" t="inlineStr">
        <is>
          <t>Online</t>
        </is>
      </c>
      <c r="G518" s="3" t="inlineStr">
        <is>
          <t>New</t>
        </is>
      </c>
      <c r="H518" s="3" t="n">
        <v>7</v>
      </c>
      <c r="I518" s="8" t="n">
        <v>235</v>
      </c>
      <c r="J518" s="8" t="n">
        <v>120.29</v>
      </c>
      <c r="K518" s="9" t="n">
        <v>0.1</v>
      </c>
      <c r="L518" s="8" t="n">
        <v>16.52</v>
      </c>
      <c r="M518" s="8">
        <f>H518*I518*(1-K518)</f>
        <v/>
      </c>
      <c r="N518" s="8">
        <f>H518*J518</f>
        <v/>
      </c>
      <c r="O518" s="8">
        <f>M518-N518-L518</f>
        <v/>
      </c>
      <c r="P518" s="10">
        <f>IFERROR(O518/M518,0)</f>
        <v/>
      </c>
      <c r="Q518" s="3">
        <f>IF(H518&lt;=0,"Review: quantity &lt;= 0",IF(K518&gt;0.3,"Review: discount &gt; 30%",IF(G518="","Review: missing customer type","OK")))</f>
        <v/>
      </c>
    </row>
    <row r="519">
      <c r="A519" s="3" t="inlineStr">
        <is>
          <t>ORD-10518</t>
        </is>
      </c>
      <c r="B519" s="7" t="n">
        <v>45918</v>
      </c>
      <c r="C519" s="3" t="inlineStr">
        <is>
          <t>Clothing</t>
        </is>
      </c>
      <c r="D519" s="3" t="inlineStr">
        <is>
          <t>Dresses</t>
        </is>
      </c>
      <c r="E519" s="3" t="inlineStr">
        <is>
          <t>Western</t>
        </is>
      </c>
      <c r="F519" s="3" t="inlineStr">
        <is>
          <t>Retail Shop</t>
        </is>
      </c>
      <c r="G519" s="3" t="inlineStr">
        <is>
          <t>Returning</t>
        </is>
      </c>
      <c r="H519" s="3" t="n">
        <v>3</v>
      </c>
      <c r="I519" s="8" t="n">
        <v>100</v>
      </c>
      <c r="J519" s="8" t="n">
        <v>45.91</v>
      </c>
      <c r="K519" s="9" t="n">
        <v>0.05</v>
      </c>
      <c r="L519" s="8" t="n">
        <v>4.48</v>
      </c>
      <c r="M519" s="8">
        <f>H519*I519*(1-K519)</f>
        <v/>
      </c>
      <c r="N519" s="8">
        <f>H519*J519</f>
        <v/>
      </c>
      <c r="O519" s="8">
        <f>M519-N519-L519</f>
        <v/>
      </c>
      <c r="P519" s="10">
        <f>IFERROR(O519/M519,0)</f>
        <v/>
      </c>
      <c r="Q519" s="3">
        <f>IF(H519&lt;=0,"Review: quantity &lt;= 0",IF(K519&gt;0.3,"Review: discount &gt; 30%",IF(G519="","Review: missing customer type","OK")))</f>
        <v/>
      </c>
    </row>
    <row r="520">
      <c r="A520" s="3" t="inlineStr">
        <is>
          <t>ORD-10519</t>
        </is>
      </c>
      <c r="B520" s="7" t="n">
        <v>45689</v>
      </c>
      <c r="C520" s="3" t="inlineStr">
        <is>
          <t>Footwear</t>
        </is>
      </c>
      <c r="D520" s="3" t="inlineStr">
        <is>
          <t>Formal Shoes</t>
        </is>
      </c>
      <c r="E520" s="3" t="inlineStr">
        <is>
          <t>Greater Accra</t>
        </is>
      </c>
      <c r="F520" s="3" t="inlineStr">
        <is>
          <t>Retail Shop</t>
        </is>
      </c>
      <c r="G520" s="3" t="inlineStr">
        <is>
          <t>Returning</t>
        </is>
      </c>
      <c r="H520" s="3" t="n">
        <v>3</v>
      </c>
      <c r="I520" s="8" t="n">
        <v>340</v>
      </c>
      <c r="J520" s="8" t="n">
        <v>181.73</v>
      </c>
      <c r="K520" s="9" t="n">
        <v>0</v>
      </c>
      <c r="L520" s="8" t="n">
        <v>11.44</v>
      </c>
      <c r="M520" s="8">
        <f>H520*I520*(1-K520)</f>
        <v/>
      </c>
      <c r="N520" s="8">
        <f>H520*J520</f>
        <v/>
      </c>
      <c r="O520" s="8">
        <f>M520-N520-L520</f>
        <v/>
      </c>
      <c r="P520" s="10">
        <f>IFERROR(O520/M520,0)</f>
        <v/>
      </c>
      <c r="Q520" s="3">
        <f>IF(H520&lt;=0,"Review: quantity &lt;= 0",IF(K520&gt;0.3,"Review: discount &gt; 30%",IF(G520="","Review: missing customer type","OK")))</f>
        <v/>
      </c>
    </row>
    <row r="521">
      <c r="A521" s="3" t="inlineStr">
        <is>
          <t>ORD-10520</t>
        </is>
      </c>
      <c r="B521" s="7" t="n">
        <v>46013</v>
      </c>
      <c r="C521" s="3" t="inlineStr">
        <is>
          <t>Home &amp; Lifestyle</t>
        </is>
      </c>
      <c r="D521" s="3" t="inlineStr">
        <is>
          <t>Backpacks</t>
        </is>
      </c>
      <c r="E521" s="3" t="inlineStr">
        <is>
          <t>Greater Accra</t>
        </is>
      </c>
      <c r="F521" s="3" t="inlineStr">
        <is>
          <t>Online</t>
        </is>
      </c>
      <c r="G521" s="3" t="inlineStr">
        <is>
          <t>New</t>
        </is>
      </c>
      <c r="H521" s="3" t="n">
        <v>2</v>
      </c>
      <c r="I521" s="8" t="n">
        <v>240</v>
      </c>
      <c r="J521" s="8" t="n">
        <v>134.81</v>
      </c>
      <c r="K521" s="9" t="n">
        <v>0.1</v>
      </c>
      <c r="L521" s="8" t="n">
        <v>40.82</v>
      </c>
      <c r="M521" s="8">
        <f>H521*I521*(1-K521)</f>
        <v/>
      </c>
      <c r="N521" s="8">
        <f>H521*J521</f>
        <v/>
      </c>
      <c r="O521" s="8">
        <f>M521-N521-L521</f>
        <v/>
      </c>
      <c r="P521" s="10">
        <f>IFERROR(O521/M521,0)</f>
        <v/>
      </c>
      <c r="Q521" s="3">
        <f>IF(H521&lt;=0,"Review: quantity &lt;= 0",IF(K521&gt;0.3,"Review: discount &gt; 30%",IF(G521="","Review: missing customer type","OK")))</f>
        <v/>
      </c>
    </row>
    <row r="522">
      <c r="A522" s="3" t="inlineStr">
        <is>
          <t>ORD-10521</t>
        </is>
      </c>
      <c r="B522" s="7" t="n">
        <v>45774</v>
      </c>
      <c r="C522" s="3" t="inlineStr">
        <is>
          <t>Home &amp; Lifestyle</t>
        </is>
      </c>
      <c r="D522" s="3" t="inlineStr">
        <is>
          <t>Travel Mugs</t>
        </is>
      </c>
      <c r="E522" s="3" t="inlineStr">
        <is>
          <t>Ashanti</t>
        </is>
      </c>
      <c r="F522" s="3" t="inlineStr">
        <is>
          <t>Phone/WhatsApp</t>
        </is>
      </c>
      <c r="G522" s="3" t="inlineStr">
        <is>
          <t>New</t>
        </is>
      </c>
      <c r="H522" s="3" t="n">
        <v>4</v>
      </c>
      <c r="I522" s="8" t="n">
        <v>175</v>
      </c>
      <c r="J522" s="8" t="n">
        <v>104.1</v>
      </c>
      <c r="K522" s="9" t="n">
        <v>0.05</v>
      </c>
      <c r="L522" s="8" t="n">
        <v>34.1</v>
      </c>
      <c r="M522" s="8">
        <f>H522*I522*(1-K522)</f>
        <v/>
      </c>
      <c r="N522" s="8">
        <f>H522*J522</f>
        <v/>
      </c>
      <c r="O522" s="8">
        <f>M522-N522-L522</f>
        <v/>
      </c>
      <c r="P522" s="10">
        <f>IFERROR(O522/M522,0)</f>
        <v/>
      </c>
      <c r="Q522" s="3">
        <f>IF(H522&lt;=0,"Review: quantity &lt;= 0",IF(K522&gt;0.3,"Review: discount &gt; 30%",IF(G522="","Review: missing customer type","OK")))</f>
        <v/>
      </c>
    </row>
    <row r="523">
      <c r="A523" s="3" t="inlineStr">
        <is>
          <t>ORD-10522</t>
        </is>
      </c>
      <c r="B523" s="7" t="n">
        <v>45803</v>
      </c>
      <c r="C523" s="3" t="inlineStr">
        <is>
          <t>Clothing</t>
        </is>
      </c>
      <c r="D523" s="3" t="inlineStr">
        <is>
          <t>Jackets</t>
        </is>
      </c>
      <c r="E523" s="3" t="inlineStr">
        <is>
          <t>Ashanti</t>
        </is>
      </c>
      <c r="F523" s="3" t="inlineStr">
        <is>
          <t>Online</t>
        </is>
      </c>
      <c r="G523" s="3" t="inlineStr">
        <is>
          <t>Returning</t>
        </is>
      </c>
      <c r="H523" s="3" t="n">
        <v>1</v>
      </c>
      <c r="I523" s="8" t="n">
        <v>110</v>
      </c>
      <c r="J523" s="8" t="n">
        <v>57.6</v>
      </c>
      <c r="K523" s="9" t="n">
        <v>0</v>
      </c>
      <c r="L523" s="8" t="n">
        <v>36.94</v>
      </c>
      <c r="M523" s="8">
        <f>H523*I523*(1-K523)</f>
        <v/>
      </c>
      <c r="N523" s="8">
        <f>H523*J523</f>
        <v/>
      </c>
      <c r="O523" s="8">
        <f>M523-N523-L523</f>
        <v/>
      </c>
      <c r="P523" s="10">
        <f>IFERROR(O523/M523,0)</f>
        <v/>
      </c>
      <c r="Q523" s="3">
        <f>IF(H523&lt;=0,"Review: quantity &lt;= 0",IF(K523&gt;0.3,"Review: discount &gt; 30%",IF(G523="","Review: missing customer type","OK")))</f>
        <v/>
      </c>
    </row>
    <row r="524">
      <c r="A524" s="3" t="inlineStr">
        <is>
          <t>ORD-10523</t>
        </is>
      </c>
      <c r="B524" s="7" t="n">
        <v>46019</v>
      </c>
      <c r="C524" s="3" t="inlineStr">
        <is>
          <t>Footwear</t>
        </is>
      </c>
      <c r="D524" s="3" t="inlineStr">
        <is>
          <t>Formal Shoes</t>
        </is>
      </c>
      <c r="E524" s="3" t="inlineStr">
        <is>
          <t>Greater Accra</t>
        </is>
      </c>
      <c r="F524" s="3" t="inlineStr">
        <is>
          <t>Online</t>
        </is>
      </c>
      <c r="G524" s="3" t="inlineStr">
        <is>
          <t>New</t>
        </is>
      </c>
      <c r="H524" s="3" t="n">
        <v>2</v>
      </c>
      <c r="I524" s="8" t="n">
        <v>205</v>
      </c>
      <c r="J524" s="8" t="n">
        <v>110.09</v>
      </c>
      <c r="K524" s="9" t="n">
        <v>0</v>
      </c>
      <c r="L524" s="8" t="n">
        <v>22.26</v>
      </c>
      <c r="M524" s="8">
        <f>H524*I524*(1-K524)</f>
        <v/>
      </c>
      <c r="N524" s="8">
        <f>H524*J524</f>
        <v/>
      </c>
      <c r="O524" s="8">
        <f>M524-N524-L524</f>
        <v/>
      </c>
      <c r="P524" s="10">
        <f>IFERROR(O524/M524,0)</f>
        <v/>
      </c>
      <c r="Q524" s="3">
        <f>IF(H524&lt;=0,"Review: quantity &lt;= 0",IF(K524&gt;0.3,"Review: discount &gt; 30%",IF(G524="","Review: missing customer type","OK")))</f>
        <v/>
      </c>
    </row>
    <row r="525">
      <c r="A525" s="3" t="inlineStr">
        <is>
          <t>ORD-10524</t>
        </is>
      </c>
      <c r="B525" s="7" t="n">
        <v>45693</v>
      </c>
      <c r="C525" s="3" t="inlineStr">
        <is>
          <t>Footwear</t>
        </is>
      </c>
      <c r="D525" s="3" t="inlineStr">
        <is>
          <t>Boots</t>
        </is>
      </c>
      <c r="E525" s="3" t="inlineStr">
        <is>
          <t>Greater Accra</t>
        </is>
      </c>
      <c r="F525" s="3" t="inlineStr">
        <is>
          <t>Retail Shop</t>
        </is>
      </c>
      <c r="G525" s="3" t="inlineStr">
        <is>
          <t>Returning</t>
        </is>
      </c>
      <c r="H525" s="3" t="n">
        <v>3</v>
      </c>
      <c r="I525" s="8" t="n">
        <v>310</v>
      </c>
      <c r="J525" s="8" t="n">
        <v>177.5</v>
      </c>
      <c r="K525" s="9" t="n">
        <v>0</v>
      </c>
      <c r="L525" s="8" t="n">
        <v>0.67</v>
      </c>
      <c r="M525" s="8">
        <f>H525*I525*(1-K525)</f>
        <v/>
      </c>
      <c r="N525" s="8">
        <f>H525*J525</f>
        <v/>
      </c>
      <c r="O525" s="8">
        <f>M525-N525-L525</f>
        <v/>
      </c>
      <c r="P525" s="10">
        <f>IFERROR(O525/M525,0)</f>
        <v/>
      </c>
      <c r="Q525" s="3">
        <f>IF(H525&lt;=0,"Review: quantity &lt;= 0",IF(K525&gt;0.3,"Review: discount &gt; 30%",IF(G525="","Review: missing customer type","OK")))</f>
        <v/>
      </c>
    </row>
    <row r="526">
      <c r="A526" s="3" t="inlineStr">
        <is>
          <t>ORD-10525</t>
        </is>
      </c>
      <c r="B526" s="7" t="n">
        <v>45969</v>
      </c>
      <c r="C526" s="3" t="inlineStr">
        <is>
          <t>Footwear</t>
        </is>
      </c>
      <c r="D526" s="3" t="inlineStr">
        <is>
          <t>Boots</t>
        </is>
      </c>
      <c r="E526" s="3" t="inlineStr">
        <is>
          <t>Greater Accra</t>
        </is>
      </c>
      <c r="F526" s="3" t="inlineStr">
        <is>
          <t>Retail Shop</t>
        </is>
      </c>
      <c r="G526" s="3" t="inlineStr">
        <is>
          <t>Returning</t>
        </is>
      </c>
      <c r="H526" s="3" t="n">
        <v>4</v>
      </c>
      <c r="I526" s="8" t="n">
        <v>630</v>
      </c>
      <c r="J526" s="8" t="n">
        <v>321.57</v>
      </c>
      <c r="K526" s="9" t="n">
        <v>0</v>
      </c>
      <c r="L526" s="8" t="n">
        <v>9.92</v>
      </c>
      <c r="M526" s="8">
        <f>H526*I526*(1-K526)</f>
        <v/>
      </c>
      <c r="N526" s="8">
        <f>H526*J526</f>
        <v/>
      </c>
      <c r="O526" s="8">
        <f>M526-N526-L526</f>
        <v/>
      </c>
      <c r="P526" s="10">
        <f>IFERROR(O526/M526,0)</f>
        <v/>
      </c>
      <c r="Q526" s="3">
        <f>IF(H526&lt;=0,"Review: quantity &lt;= 0",IF(K526&gt;0.3,"Review: discount &gt; 30%",IF(G526="","Review: missing customer type","OK")))</f>
        <v/>
      </c>
    </row>
    <row r="527">
      <c r="A527" s="3" t="inlineStr">
        <is>
          <t>ORD-10526</t>
        </is>
      </c>
      <c r="B527" s="7" t="n">
        <v>45670</v>
      </c>
      <c r="C527" s="3" t="inlineStr">
        <is>
          <t>Clothing</t>
        </is>
      </c>
      <c r="D527" s="3" t="inlineStr">
        <is>
          <t>Shirts</t>
        </is>
      </c>
      <c r="E527" s="3" t="inlineStr">
        <is>
          <t>Ashanti</t>
        </is>
      </c>
      <c r="F527" s="3" t="inlineStr">
        <is>
          <t>Phone/WhatsApp</t>
        </is>
      </c>
      <c r="G527" s="3" t="inlineStr">
        <is>
          <t>Returning</t>
        </is>
      </c>
      <c r="H527" s="3" t="n">
        <v>5</v>
      </c>
      <c r="I527" s="8" t="n">
        <v>230</v>
      </c>
      <c r="J527" s="8" t="n">
        <v>105.29</v>
      </c>
      <c r="K527" s="9" t="n">
        <v>0.05</v>
      </c>
      <c r="L527" s="8" t="n">
        <v>43.09</v>
      </c>
      <c r="M527" s="8">
        <f>H527*I527*(1-K527)</f>
        <v/>
      </c>
      <c r="N527" s="8">
        <f>H527*J527</f>
        <v/>
      </c>
      <c r="O527" s="8">
        <f>M527-N527-L527</f>
        <v/>
      </c>
      <c r="P527" s="10">
        <f>IFERROR(O527/M527,0)</f>
        <v/>
      </c>
      <c r="Q527" s="3">
        <f>IF(H527&lt;=0,"Review: quantity &lt;= 0",IF(K527&gt;0.3,"Review: discount &gt; 30%",IF(G527="","Review: missing customer type","OK")))</f>
        <v/>
      </c>
    </row>
    <row r="528">
      <c r="A528" s="3" t="inlineStr">
        <is>
          <t>ORD-10527</t>
        </is>
      </c>
      <c r="B528" s="7" t="n">
        <v>45965</v>
      </c>
      <c r="C528" s="3" t="inlineStr">
        <is>
          <t>Clothing</t>
        </is>
      </c>
      <c r="D528" s="3" t="inlineStr">
        <is>
          <t>Jackets</t>
        </is>
      </c>
      <c r="E528" s="3" t="inlineStr">
        <is>
          <t>Ashanti</t>
        </is>
      </c>
      <c r="F528" s="3" t="inlineStr">
        <is>
          <t>Online</t>
        </is>
      </c>
      <c r="G528" s="3" t="inlineStr">
        <is>
          <t>Returning</t>
        </is>
      </c>
      <c r="H528" s="3" t="n">
        <v>2</v>
      </c>
      <c r="I528" s="8" t="n">
        <v>130</v>
      </c>
      <c r="J528" s="8" t="n">
        <v>67.63</v>
      </c>
      <c r="K528" s="9" t="n">
        <v>0</v>
      </c>
      <c r="L528" s="8" t="n">
        <v>14.13</v>
      </c>
      <c r="M528" s="8">
        <f>H528*I528*(1-K528)</f>
        <v/>
      </c>
      <c r="N528" s="8">
        <f>H528*J528</f>
        <v/>
      </c>
      <c r="O528" s="8">
        <f>M528-N528-L528</f>
        <v/>
      </c>
      <c r="P528" s="10">
        <f>IFERROR(O528/M528,0)</f>
        <v/>
      </c>
      <c r="Q528" s="3">
        <f>IF(H528&lt;=0,"Review: quantity &lt;= 0",IF(K528&gt;0.3,"Review: discount &gt; 30%",IF(G528="","Review: missing customer type","OK")))</f>
        <v/>
      </c>
    </row>
    <row r="529">
      <c r="A529" s="3" t="inlineStr">
        <is>
          <t>ORD-10528</t>
        </is>
      </c>
      <c r="B529" s="7" t="n">
        <v>45920</v>
      </c>
      <c r="C529" s="3" t="inlineStr">
        <is>
          <t>Accessories</t>
        </is>
      </c>
      <c r="D529" s="3" t="inlineStr">
        <is>
          <t>Sunglasses</t>
        </is>
      </c>
      <c r="E529" s="3" t="inlineStr">
        <is>
          <t>Greater Accra</t>
        </is>
      </c>
      <c r="F529" s="3" t="inlineStr">
        <is>
          <t>Retail Shop</t>
        </is>
      </c>
      <c r="G529" s="3" t="inlineStr">
        <is>
          <t>New</t>
        </is>
      </c>
      <c r="H529" s="3" t="n">
        <v>4</v>
      </c>
      <c r="I529" s="8" t="n">
        <v>140</v>
      </c>
      <c r="J529" s="8" t="n">
        <v>62.62</v>
      </c>
      <c r="K529" s="9" t="n">
        <v>0.1</v>
      </c>
      <c r="L529" s="8" t="n">
        <v>1.78</v>
      </c>
      <c r="M529" s="8">
        <f>H529*I529*(1-K529)</f>
        <v/>
      </c>
      <c r="N529" s="8">
        <f>H529*J529</f>
        <v/>
      </c>
      <c r="O529" s="8">
        <f>M529-N529-L529</f>
        <v/>
      </c>
      <c r="P529" s="10">
        <f>IFERROR(O529/M529,0)</f>
        <v/>
      </c>
      <c r="Q529" s="3">
        <f>IF(H529&lt;=0,"Review: quantity &lt;= 0",IF(K529&gt;0.3,"Review: discount &gt; 30%",IF(G529="","Review: missing customer type","OK")))</f>
        <v/>
      </c>
    </row>
    <row r="530">
      <c r="A530" s="3" t="inlineStr">
        <is>
          <t>ORD-10529</t>
        </is>
      </c>
      <c r="B530" s="7" t="n">
        <v>45988</v>
      </c>
      <c r="C530" s="3" t="inlineStr">
        <is>
          <t>Footwear</t>
        </is>
      </c>
      <c r="D530" s="3" t="inlineStr">
        <is>
          <t>Boots</t>
        </is>
      </c>
      <c r="E530" s="3" t="inlineStr">
        <is>
          <t>Western</t>
        </is>
      </c>
      <c r="F530" s="3" t="inlineStr">
        <is>
          <t>Retail Shop</t>
        </is>
      </c>
      <c r="G530" s="3" t="inlineStr">
        <is>
          <t>Returning</t>
        </is>
      </c>
      <c r="H530" s="3" t="n">
        <v>3</v>
      </c>
      <c r="I530" s="8" t="n">
        <v>255</v>
      </c>
      <c r="J530" s="8" t="n">
        <v>129.48</v>
      </c>
      <c r="K530" s="9" t="n">
        <v>0</v>
      </c>
      <c r="L530" s="8" t="n">
        <v>9.789999999999999</v>
      </c>
      <c r="M530" s="8">
        <f>H530*I530*(1-K530)</f>
        <v/>
      </c>
      <c r="N530" s="8">
        <f>H530*J530</f>
        <v/>
      </c>
      <c r="O530" s="8">
        <f>M530-N530-L530</f>
        <v/>
      </c>
      <c r="P530" s="10">
        <f>IFERROR(O530/M530,0)</f>
        <v/>
      </c>
      <c r="Q530" s="3">
        <f>IF(H530&lt;=0,"Review: quantity &lt;= 0",IF(K530&gt;0.3,"Review: discount &gt; 30%",IF(G530="","Review: missing customer type","OK")))</f>
        <v/>
      </c>
    </row>
    <row r="531">
      <c r="A531" s="3" t="inlineStr">
        <is>
          <t>ORD-10530</t>
        </is>
      </c>
      <c r="B531" s="7" t="n">
        <v>45820</v>
      </c>
      <c r="C531" s="3" t="inlineStr">
        <is>
          <t>Home &amp; Lifestyle</t>
        </is>
      </c>
      <c r="D531" s="3" t="inlineStr">
        <is>
          <t>Backpacks</t>
        </is>
      </c>
      <c r="E531" s="3" t="inlineStr">
        <is>
          <t>Greater Accra</t>
        </is>
      </c>
      <c r="F531" s="3" t="inlineStr">
        <is>
          <t>Phone/WhatsApp</t>
        </is>
      </c>
      <c r="G531" s="3" t="inlineStr">
        <is>
          <t>Returning</t>
        </is>
      </c>
      <c r="H531" s="3" t="n">
        <v>1</v>
      </c>
      <c r="I531" s="8" t="n">
        <v>90</v>
      </c>
      <c r="J531" s="8" t="n">
        <v>52.47</v>
      </c>
      <c r="K531" s="9" t="n">
        <v>0.1</v>
      </c>
      <c r="L531" s="8" t="n">
        <v>32.63</v>
      </c>
      <c r="M531" s="8">
        <f>H531*I531*(1-K531)</f>
        <v/>
      </c>
      <c r="N531" s="8">
        <f>H531*J531</f>
        <v/>
      </c>
      <c r="O531" s="8">
        <f>M531-N531-L531</f>
        <v/>
      </c>
      <c r="P531" s="10">
        <f>IFERROR(O531/M531,0)</f>
        <v/>
      </c>
      <c r="Q531" s="3">
        <f>IF(H531&lt;=0,"Review: quantity &lt;= 0",IF(K531&gt;0.3,"Review: discount &gt; 30%",IF(G531="","Review: missing customer type","OK")))</f>
        <v/>
      </c>
    </row>
    <row r="532">
      <c r="A532" s="3" t="inlineStr">
        <is>
          <t>ORD-10531</t>
        </is>
      </c>
      <c r="B532" s="7" t="n">
        <v>45952</v>
      </c>
      <c r="C532" s="3" t="inlineStr">
        <is>
          <t>Accessories</t>
        </is>
      </c>
      <c r="D532" s="3" t="inlineStr">
        <is>
          <t>Watches</t>
        </is>
      </c>
      <c r="E532" s="3" t="inlineStr">
        <is>
          <t>Ashanti</t>
        </is>
      </c>
      <c r="F532" s="3" t="inlineStr">
        <is>
          <t>Retail Shop</t>
        </is>
      </c>
      <c r="G532" s="3" t="inlineStr">
        <is>
          <t>New</t>
        </is>
      </c>
      <c r="H532" s="3" t="n">
        <v>2</v>
      </c>
      <c r="I532" s="8" t="n">
        <v>55</v>
      </c>
      <c r="J532" s="8" t="n">
        <v>25.69</v>
      </c>
      <c r="K532" s="9" t="n">
        <v>0.05</v>
      </c>
      <c r="L532" s="8" t="n">
        <v>5.52</v>
      </c>
      <c r="M532" s="8">
        <f>H532*I532*(1-K532)</f>
        <v/>
      </c>
      <c r="N532" s="8">
        <f>H532*J532</f>
        <v/>
      </c>
      <c r="O532" s="8">
        <f>M532-N532-L532</f>
        <v/>
      </c>
      <c r="P532" s="10">
        <f>IFERROR(O532/M532,0)</f>
        <v/>
      </c>
      <c r="Q532" s="3">
        <f>IF(H532&lt;=0,"Review: quantity &lt;= 0",IF(K532&gt;0.3,"Review: discount &gt; 30%",IF(G532="","Review: missing customer type","OK")))</f>
        <v/>
      </c>
    </row>
    <row r="533">
      <c r="A533" s="3" t="inlineStr">
        <is>
          <t>ORD-10532</t>
        </is>
      </c>
      <c r="B533" s="7" t="n">
        <v>45690</v>
      </c>
      <c r="C533" s="3" t="inlineStr">
        <is>
          <t>Footwear</t>
        </is>
      </c>
      <c r="D533" s="3" t="inlineStr">
        <is>
          <t>Formal Shoes</t>
        </is>
      </c>
      <c r="E533" s="3" t="inlineStr">
        <is>
          <t>Central</t>
        </is>
      </c>
      <c r="F533" s="3" t="inlineStr">
        <is>
          <t>Retail Shop</t>
        </is>
      </c>
      <c r="G533" s="3" t="inlineStr">
        <is>
          <t>Returning</t>
        </is>
      </c>
      <c r="H533" s="3" t="n">
        <v>3</v>
      </c>
      <c r="I533" s="8" t="n">
        <v>205</v>
      </c>
      <c r="J533" s="8" t="n">
        <v>125.46</v>
      </c>
      <c r="K533" s="9" t="n">
        <v>0.05</v>
      </c>
      <c r="L533" s="8" t="n">
        <v>0.79</v>
      </c>
      <c r="M533" s="8">
        <f>H533*I533*(1-K533)</f>
        <v/>
      </c>
      <c r="N533" s="8">
        <f>H533*J533</f>
        <v/>
      </c>
      <c r="O533" s="8">
        <f>M533-N533-L533</f>
        <v/>
      </c>
      <c r="P533" s="10">
        <f>IFERROR(O533/M533,0)</f>
        <v/>
      </c>
      <c r="Q533" s="3">
        <f>IF(H533&lt;=0,"Review: quantity &lt;= 0",IF(K533&gt;0.3,"Review: discount &gt; 30%",IF(G533="","Review: missing customer type","OK")))</f>
        <v/>
      </c>
    </row>
    <row r="534">
      <c r="A534" s="3" t="inlineStr">
        <is>
          <t>ORD-10533</t>
        </is>
      </c>
      <c r="B534" s="7" t="n">
        <v>45986</v>
      </c>
      <c r="C534" s="3" t="inlineStr">
        <is>
          <t>Clothing</t>
        </is>
      </c>
      <c r="D534" s="3" t="inlineStr">
        <is>
          <t>Shirts</t>
        </is>
      </c>
      <c r="E534" s="3" t="inlineStr">
        <is>
          <t>Ashanti</t>
        </is>
      </c>
      <c r="F534" s="3" t="inlineStr">
        <is>
          <t>Retail Shop</t>
        </is>
      </c>
      <c r="G534" s="3" t="inlineStr">
        <is>
          <t>Returning</t>
        </is>
      </c>
      <c r="H534" s="3" t="n">
        <v>2</v>
      </c>
      <c r="I534" s="8" t="n">
        <v>145</v>
      </c>
      <c r="J534" s="8" t="n">
        <v>67.65000000000001</v>
      </c>
      <c r="K534" s="9" t="n">
        <v>0</v>
      </c>
      <c r="L534" s="8" t="n">
        <v>0.07000000000000001</v>
      </c>
      <c r="M534" s="8">
        <f>H534*I534*(1-K534)</f>
        <v/>
      </c>
      <c r="N534" s="8">
        <f>H534*J534</f>
        <v/>
      </c>
      <c r="O534" s="8">
        <f>M534-N534-L534</f>
        <v/>
      </c>
      <c r="P534" s="10">
        <f>IFERROR(O534/M534,0)</f>
        <v/>
      </c>
      <c r="Q534" s="3">
        <f>IF(H534&lt;=0,"Review: quantity &lt;= 0",IF(K534&gt;0.3,"Review: discount &gt; 30%",IF(G534="","Review: missing customer type","OK")))</f>
        <v/>
      </c>
    </row>
    <row r="535">
      <c r="A535" s="3" t="inlineStr">
        <is>
          <t>ORD-10534</t>
        </is>
      </c>
      <c r="B535" s="7" t="n">
        <v>45718</v>
      </c>
      <c r="C535" s="3" t="inlineStr">
        <is>
          <t>Footwear</t>
        </is>
      </c>
      <c r="D535" s="3" t="inlineStr">
        <is>
          <t>Formal Shoes</t>
        </is>
      </c>
      <c r="E535" s="3" t="inlineStr">
        <is>
          <t>Greater Accra</t>
        </is>
      </c>
      <c r="F535" s="3" t="inlineStr">
        <is>
          <t>Online</t>
        </is>
      </c>
      <c r="G535" s="3" t="inlineStr">
        <is>
          <t>Returning</t>
        </is>
      </c>
      <c r="H535" s="3" t="n">
        <v>1</v>
      </c>
      <c r="I535" s="8" t="n">
        <v>270</v>
      </c>
      <c r="J535" s="8" t="n">
        <v>166.88</v>
      </c>
      <c r="K535" s="9" t="n">
        <v>0.15</v>
      </c>
      <c r="L535" s="8" t="n">
        <v>12.64</v>
      </c>
      <c r="M535" s="8">
        <f>H535*I535*(1-K535)</f>
        <v/>
      </c>
      <c r="N535" s="8">
        <f>H535*J535</f>
        <v/>
      </c>
      <c r="O535" s="8">
        <f>M535-N535-L535</f>
        <v/>
      </c>
      <c r="P535" s="10">
        <f>IFERROR(O535/M535,0)</f>
        <v/>
      </c>
      <c r="Q535" s="3">
        <f>IF(H535&lt;=0,"Review: quantity &lt;= 0",IF(K535&gt;0.3,"Review: discount &gt; 30%",IF(G535="","Review: missing customer type","OK")))</f>
        <v/>
      </c>
    </row>
    <row r="536">
      <c r="A536" s="3" t="inlineStr">
        <is>
          <t>ORD-10535</t>
        </is>
      </c>
      <c r="B536" s="7" t="n">
        <v>45791</v>
      </c>
      <c r="C536" s="3" t="inlineStr">
        <is>
          <t>Clothing</t>
        </is>
      </c>
      <c r="D536" s="3" t="inlineStr">
        <is>
          <t>Jackets</t>
        </is>
      </c>
      <c r="E536" s="3" t="inlineStr">
        <is>
          <t>Greater Accra</t>
        </is>
      </c>
      <c r="F536" s="3" t="inlineStr">
        <is>
          <t>Retail Shop</t>
        </is>
      </c>
      <c r="G536" s="3" t="inlineStr">
        <is>
          <t>Returning</t>
        </is>
      </c>
      <c r="H536" s="3" t="n">
        <v>2</v>
      </c>
      <c r="I536" s="8" t="n">
        <v>175</v>
      </c>
      <c r="J536" s="8" t="n">
        <v>92.04000000000001</v>
      </c>
      <c r="K536" s="9" t="n">
        <v>0.05</v>
      </c>
      <c r="L536" s="8" t="n">
        <v>7.87</v>
      </c>
      <c r="M536" s="8">
        <f>H536*I536*(1-K536)</f>
        <v/>
      </c>
      <c r="N536" s="8">
        <f>H536*J536</f>
        <v/>
      </c>
      <c r="O536" s="8">
        <f>M536-N536-L536</f>
        <v/>
      </c>
      <c r="P536" s="10">
        <f>IFERROR(O536/M536,0)</f>
        <v/>
      </c>
      <c r="Q536" s="3">
        <f>IF(H536&lt;=0,"Review: quantity &lt;= 0",IF(K536&gt;0.3,"Review: discount &gt; 30%",IF(G536="","Review: missing customer type","OK")))</f>
        <v/>
      </c>
    </row>
    <row r="537">
      <c r="A537" s="3" t="inlineStr">
        <is>
          <t>ORD-10536</t>
        </is>
      </c>
      <c r="B537" s="7" t="n">
        <v>45912</v>
      </c>
      <c r="C537" s="3" t="inlineStr">
        <is>
          <t>Home &amp; Lifestyle</t>
        </is>
      </c>
      <c r="D537" s="3" t="inlineStr">
        <is>
          <t>Travel Mugs</t>
        </is>
      </c>
      <c r="E537" s="3" t="inlineStr">
        <is>
          <t>Greater Accra</t>
        </is>
      </c>
      <c r="F537" s="3" t="inlineStr">
        <is>
          <t>Phone/WhatsApp</t>
        </is>
      </c>
      <c r="G537" s="3" t="inlineStr">
        <is>
          <t>Returning</t>
        </is>
      </c>
      <c r="H537" s="3" t="n">
        <v>2</v>
      </c>
      <c r="I537" s="8" t="n">
        <v>220</v>
      </c>
      <c r="J537" s="8" t="n">
        <v>124.06</v>
      </c>
      <c r="K537" s="9" t="n">
        <v>0.15</v>
      </c>
      <c r="L537" s="8" t="n">
        <v>43.44</v>
      </c>
      <c r="M537" s="8">
        <f>H537*I537*(1-K537)</f>
        <v/>
      </c>
      <c r="N537" s="8">
        <f>H537*J537</f>
        <v/>
      </c>
      <c r="O537" s="8">
        <f>M537-N537-L537</f>
        <v/>
      </c>
      <c r="P537" s="10">
        <f>IFERROR(O537/M537,0)</f>
        <v/>
      </c>
      <c r="Q537" s="3">
        <f>IF(H537&lt;=0,"Review: quantity &lt;= 0",IF(K537&gt;0.3,"Review: discount &gt; 30%",IF(G537="","Review: missing customer type","OK")))</f>
        <v/>
      </c>
    </row>
    <row r="538">
      <c r="A538" s="3" t="inlineStr">
        <is>
          <t>ORD-10537</t>
        </is>
      </c>
      <c r="B538" s="7" t="n">
        <v>45822</v>
      </c>
      <c r="C538" s="3" t="inlineStr">
        <is>
          <t>Clothing</t>
        </is>
      </c>
      <c r="D538" s="3" t="inlineStr">
        <is>
          <t>Shirts</t>
        </is>
      </c>
      <c r="E538" s="3" t="inlineStr">
        <is>
          <t>Greater Accra</t>
        </is>
      </c>
      <c r="F538" s="3" t="inlineStr">
        <is>
          <t>Retail Shop</t>
        </is>
      </c>
      <c r="G538" s="3" t="inlineStr">
        <is>
          <t>Returning</t>
        </is>
      </c>
      <c r="H538" s="3" t="n">
        <v>1</v>
      </c>
      <c r="I538" s="8" t="n">
        <v>145</v>
      </c>
      <c r="J538" s="8" t="n">
        <v>75.26000000000001</v>
      </c>
      <c r="K538" s="9" t="n">
        <v>0</v>
      </c>
      <c r="L538" s="8" t="n">
        <v>4.12</v>
      </c>
      <c r="M538" s="8">
        <f>H538*I538*(1-K538)</f>
        <v/>
      </c>
      <c r="N538" s="8">
        <f>H538*J538</f>
        <v/>
      </c>
      <c r="O538" s="8">
        <f>M538-N538-L538</f>
        <v/>
      </c>
      <c r="P538" s="10">
        <f>IFERROR(O538/M538,0)</f>
        <v/>
      </c>
      <c r="Q538" s="3">
        <f>IF(H538&lt;=0,"Review: quantity &lt;= 0",IF(K538&gt;0.3,"Review: discount &gt; 30%",IF(G538="","Review: missing customer type","OK")))</f>
        <v/>
      </c>
    </row>
    <row r="539">
      <c r="A539" s="3" t="inlineStr">
        <is>
          <t>ORD-10538</t>
        </is>
      </c>
      <c r="B539" s="7" t="n">
        <v>45817</v>
      </c>
      <c r="C539" s="3" t="inlineStr">
        <is>
          <t>Clothing</t>
        </is>
      </c>
      <c r="D539" s="3" t="inlineStr">
        <is>
          <t>Dresses</t>
        </is>
      </c>
      <c r="E539" s="3" t="inlineStr">
        <is>
          <t>Ashanti</t>
        </is>
      </c>
      <c r="F539" s="3" t="inlineStr">
        <is>
          <t>Retail Shop</t>
        </is>
      </c>
      <c r="G539" s="3" t="inlineStr">
        <is>
          <t>Returning</t>
        </is>
      </c>
      <c r="H539" s="3" t="n">
        <v>2</v>
      </c>
      <c r="I539" s="8" t="n">
        <v>150</v>
      </c>
      <c r="J539" s="8" t="n">
        <v>73.34</v>
      </c>
      <c r="K539" s="9" t="n">
        <v>0</v>
      </c>
      <c r="L539" s="8" t="n">
        <v>4.53</v>
      </c>
      <c r="M539" s="8">
        <f>H539*I539*(1-K539)</f>
        <v/>
      </c>
      <c r="N539" s="8">
        <f>H539*J539</f>
        <v/>
      </c>
      <c r="O539" s="8">
        <f>M539-N539-L539</f>
        <v/>
      </c>
      <c r="P539" s="10">
        <f>IFERROR(O539/M539,0)</f>
        <v/>
      </c>
      <c r="Q539" s="3">
        <f>IF(H539&lt;=0,"Review: quantity &lt;= 0",IF(K539&gt;0.3,"Review: discount &gt; 30%",IF(G539="","Review: missing customer type","OK")))</f>
        <v/>
      </c>
    </row>
    <row r="540">
      <c r="A540" s="3" t="inlineStr">
        <is>
          <t>ORD-10539</t>
        </is>
      </c>
      <c r="B540" s="7" t="n">
        <v>45990</v>
      </c>
      <c r="C540" s="3" t="inlineStr">
        <is>
          <t>Accessories</t>
        </is>
      </c>
      <c r="D540" s="3" t="inlineStr">
        <is>
          <t>Bags</t>
        </is>
      </c>
      <c r="E540" s="3" t="inlineStr">
        <is>
          <t>Western</t>
        </is>
      </c>
      <c r="F540" s="3" t="inlineStr">
        <is>
          <t>Retail Shop</t>
        </is>
      </c>
      <c r="G540" s="3" t="inlineStr">
        <is>
          <t>Returning</t>
        </is>
      </c>
      <c r="H540" s="3" t="n">
        <v>3</v>
      </c>
      <c r="I540" s="8" t="n">
        <v>75</v>
      </c>
      <c r="J540" s="8" t="n">
        <v>32.51</v>
      </c>
      <c r="K540" s="9" t="n">
        <v>0</v>
      </c>
      <c r="L540" s="8" t="n">
        <v>7.63</v>
      </c>
      <c r="M540" s="8">
        <f>H540*I540*(1-K540)</f>
        <v/>
      </c>
      <c r="N540" s="8">
        <f>H540*J540</f>
        <v/>
      </c>
      <c r="O540" s="8">
        <f>M540-N540-L540</f>
        <v/>
      </c>
      <c r="P540" s="10">
        <f>IFERROR(O540/M540,0)</f>
        <v/>
      </c>
      <c r="Q540" s="3">
        <f>IF(H540&lt;=0,"Review: quantity &lt;= 0",IF(K540&gt;0.3,"Review: discount &gt; 30%",IF(G540="","Review: missing customer type","OK")))</f>
        <v/>
      </c>
    </row>
    <row r="541">
      <c r="A541" s="3" t="inlineStr">
        <is>
          <t>ORD-10540</t>
        </is>
      </c>
      <c r="B541" s="7" t="n">
        <v>45986</v>
      </c>
      <c r="C541" s="3" t="inlineStr">
        <is>
          <t>Footwear</t>
        </is>
      </c>
      <c r="D541" s="3" t="inlineStr">
        <is>
          <t>Boots</t>
        </is>
      </c>
      <c r="E541" s="3" t="inlineStr">
        <is>
          <t>Greater Accra</t>
        </is>
      </c>
      <c r="F541" s="3" t="inlineStr">
        <is>
          <t>Retail Shop</t>
        </is>
      </c>
      <c r="G541" s="3" t="inlineStr">
        <is>
          <t>Returning</t>
        </is>
      </c>
      <c r="H541" s="3" t="n">
        <v>1</v>
      </c>
      <c r="I541" s="8" t="n">
        <v>190</v>
      </c>
      <c r="J541" s="8" t="n">
        <v>119.76</v>
      </c>
      <c r="K541" s="9" t="n">
        <v>0.2</v>
      </c>
      <c r="L541" s="8" t="n">
        <v>1.55</v>
      </c>
      <c r="M541" s="8">
        <f>H541*I541*(1-K541)</f>
        <v/>
      </c>
      <c r="N541" s="8">
        <f>H541*J541</f>
        <v/>
      </c>
      <c r="O541" s="8">
        <f>M541-N541-L541</f>
        <v/>
      </c>
      <c r="P541" s="10">
        <f>IFERROR(O541/M541,0)</f>
        <v/>
      </c>
      <c r="Q541" s="3">
        <f>IF(H541&lt;=0,"Review: quantity &lt;= 0",IF(K541&gt;0.3,"Review: discount &gt; 30%",IF(G541="","Review: missing customer type","OK")))</f>
        <v/>
      </c>
    </row>
    <row r="542">
      <c r="A542" s="3" t="inlineStr">
        <is>
          <t>ORD-10541</t>
        </is>
      </c>
      <c r="B542" s="7" t="n">
        <v>45796</v>
      </c>
      <c r="C542" s="3" t="inlineStr">
        <is>
          <t>Accessories</t>
        </is>
      </c>
      <c r="D542" s="3" t="inlineStr">
        <is>
          <t>Bags</t>
        </is>
      </c>
      <c r="E542" s="3" t="inlineStr">
        <is>
          <t>Greater Accra</t>
        </is>
      </c>
      <c r="F542" s="3" t="inlineStr">
        <is>
          <t>Retail Shop</t>
        </is>
      </c>
      <c r="G542" s="3" t="inlineStr">
        <is>
          <t>Returning</t>
        </is>
      </c>
      <c r="H542" s="3" t="n">
        <v>2</v>
      </c>
      <c r="I542" s="8" t="n">
        <v>120</v>
      </c>
      <c r="J542" s="8" t="n">
        <v>51.07</v>
      </c>
      <c r="K542" s="9" t="n">
        <v>0</v>
      </c>
      <c r="L542" s="8" t="n">
        <v>8.789999999999999</v>
      </c>
      <c r="M542" s="8">
        <f>H542*I542*(1-K542)</f>
        <v/>
      </c>
      <c r="N542" s="8">
        <f>H542*J542</f>
        <v/>
      </c>
      <c r="O542" s="8">
        <f>M542-N542-L542</f>
        <v/>
      </c>
      <c r="P542" s="10">
        <f>IFERROR(O542/M542,0)</f>
        <v/>
      </c>
      <c r="Q542" s="3">
        <f>IF(H542&lt;=0,"Review: quantity &lt;= 0",IF(K542&gt;0.3,"Review: discount &gt; 30%",IF(G542="","Review: missing customer type","OK")))</f>
        <v/>
      </c>
    </row>
    <row r="543">
      <c r="A543" s="3" t="inlineStr">
        <is>
          <t>ORD-10542</t>
        </is>
      </c>
      <c r="B543" s="7" t="n">
        <v>45897</v>
      </c>
      <c r="C543" s="3" t="inlineStr">
        <is>
          <t>Home &amp; Lifestyle</t>
        </is>
      </c>
      <c r="D543" s="3" t="inlineStr">
        <is>
          <t>Wallets</t>
        </is>
      </c>
      <c r="E543" s="3" t="inlineStr">
        <is>
          <t>Ashanti</t>
        </is>
      </c>
      <c r="F543" s="3" t="inlineStr">
        <is>
          <t>Retail Shop</t>
        </is>
      </c>
      <c r="G543" s="3" t="inlineStr">
        <is>
          <t>New</t>
        </is>
      </c>
      <c r="H543" s="3" t="n">
        <v>3</v>
      </c>
      <c r="I543" s="8" t="n">
        <v>165</v>
      </c>
      <c r="J543" s="8" t="n">
        <v>83.63</v>
      </c>
      <c r="K543" s="9" t="n">
        <v>0.05</v>
      </c>
      <c r="L543" s="8" t="n">
        <v>4.47</v>
      </c>
      <c r="M543" s="8">
        <f>H543*I543*(1-K543)</f>
        <v/>
      </c>
      <c r="N543" s="8">
        <f>H543*J543</f>
        <v/>
      </c>
      <c r="O543" s="8">
        <f>M543-N543-L543</f>
        <v/>
      </c>
      <c r="P543" s="10">
        <f>IFERROR(O543/M543,0)</f>
        <v/>
      </c>
      <c r="Q543" s="3">
        <f>IF(H543&lt;=0,"Review: quantity &lt;= 0",IF(K543&gt;0.3,"Review: discount &gt; 30%",IF(G543="","Review: missing customer type","OK")))</f>
        <v/>
      </c>
    </row>
    <row r="544">
      <c r="A544" s="3" t="inlineStr">
        <is>
          <t>ORD-10543</t>
        </is>
      </c>
      <c r="B544" s="7" t="n">
        <v>45914</v>
      </c>
      <c r="C544" s="3" t="inlineStr">
        <is>
          <t>Clothing</t>
        </is>
      </c>
      <c r="D544" s="3" t="inlineStr">
        <is>
          <t>Shirts</t>
        </is>
      </c>
      <c r="E544" s="3" t="inlineStr">
        <is>
          <t>Greater Accra</t>
        </is>
      </c>
      <c r="F544" s="3" t="inlineStr">
        <is>
          <t>Retail Shop</t>
        </is>
      </c>
      <c r="G544" s="3" t="inlineStr">
        <is>
          <t>Returning</t>
        </is>
      </c>
      <c r="H544" s="3" t="n">
        <v>4</v>
      </c>
      <c r="I544" s="8" t="n">
        <v>145</v>
      </c>
      <c r="J544" s="8" t="n">
        <v>78.61</v>
      </c>
      <c r="K544" s="9" t="n">
        <v>0.1</v>
      </c>
      <c r="L544" s="8" t="n">
        <v>0.7</v>
      </c>
      <c r="M544" s="8">
        <f>H544*I544*(1-K544)</f>
        <v/>
      </c>
      <c r="N544" s="8">
        <f>H544*J544</f>
        <v/>
      </c>
      <c r="O544" s="8">
        <f>M544-N544-L544</f>
        <v/>
      </c>
      <c r="P544" s="10">
        <f>IFERROR(O544/M544,0)</f>
        <v/>
      </c>
      <c r="Q544" s="3">
        <f>IF(H544&lt;=0,"Review: quantity &lt;= 0",IF(K544&gt;0.3,"Review: discount &gt; 30%",IF(G544="","Review: missing customer type","OK")))</f>
        <v/>
      </c>
    </row>
    <row r="545">
      <c r="A545" s="3" t="inlineStr">
        <is>
          <t>ORD-10544</t>
        </is>
      </c>
      <c r="B545" s="7" t="n">
        <v>46002</v>
      </c>
      <c r="C545" s="3" t="inlineStr">
        <is>
          <t>Clothing</t>
        </is>
      </c>
      <c r="D545" s="3" t="inlineStr">
        <is>
          <t>Shirts</t>
        </is>
      </c>
      <c r="E545" s="3" t="inlineStr">
        <is>
          <t>Ashanti</t>
        </is>
      </c>
      <c r="F545" s="3" t="inlineStr">
        <is>
          <t>Online</t>
        </is>
      </c>
      <c r="G545" s="3" t="inlineStr">
        <is>
          <t>Returning</t>
        </is>
      </c>
      <c r="H545" s="3" t="n">
        <v>2</v>
      </c>
      <c r="I545" s="8" t="n">
        <v>130</v>
      </c>
      <c r="J545" s="8" t="n">
        <v>62.15</v>
      </c>
      <c r="K545" s="9" t="n">
        <v>0.2</v>
      </c>
      <c r="L545" s="8" t="n">
        <v>26.4</v>
      </c>
      <c r="M545" s="8">
        <f>H545*I545*(1-K545)</f>
        <v/>
      </c>
      <c r="N545" s="8">
        <f>H545*J545</f>
        <v/>
      </c>
      <c r="O545" s="8">
        <f>M545-N545-L545</f>
        <v/>
      </c>
      <c r="P545" s="10">
        <f>IFERROR(O545/M545,0)</f>
        <v/>
      </c>
      <c r="Q545" s="3">
        <f>IF(H545&lt;=0,"Review: quantity &lt;= 0",IF(K545&gt;0.3,"Review: discount &gt; 30%",IF(G545="","Review: missing customer type","OK")))</f>
        <v/>
      </c>
    </row>
    <row r="546">
      <c r="A546" s="3" t="inlineStr">
        <is>
          <t>ORD-10545</t>
        </is>
      </c>
      <c r="B546" s="7" t="n">
        <v>45920</v>
      </c>
      <c r="C546" s="3" t="inlineStr">
        <is>
          <t>Accessories</t>
        </is>
      </c>
      <c r="D546" s="3" t="inlineStr">
        <is>
          <t>Belts</t>
        </is>
      </c>
      <c r="E546" s="3" t="inlineStr">
        <is>
          <t>Greater Accra</t>
        </is>
      </c>
      <c r="F546" s="3" t="inlineStr">
        <is>
          <t>Online</t>
        </is>
      </c>
      <c r="G546" s="3" t="inlineStr">
        <is>
          <t>Returning</t>
        </is>
      </c>
      <c r="H546" s="3" t="n">
        <v>1</v>
      </c>
      <c r="I546" s="8" t="n">
        <v>115</v>
      </c>
      <c r="J546" s="8" t="n">
        <v>56.19</v>
      </c>
      <c r="K546" s="9" t="n">
        <v>0.05</v>
      </c>
      <c r="L546" s="8" t="n">
        <v>39.79</v>
      </c>
      <c r="M546" s="8">
        <f>H546*I546*(1-K546)</f>
        <v/>
      </c>
      <c r="N546" s="8">
        <f>H546*J546</f>
        <v/>
      </c>
      <c r="O546" s="8">
        <f>M546-N546-L546</f>
        <v/>
      </c>
      <c r="P546" s="10">
        <f>IFERROR(O546/M546,0)</f>
        <v/>
      </c>
      <c r="Q546" s="3">
        <f>IF(H546&lt;=0,"Review: quantity &lt;= 0",IF(K546&gt;0.3,"Review: discount &gt; 30%",IF(G546="","Review: missing customer type","OK")))</f>
        <v/>
      </c>
    </row>
    <row r="547">
      <c r="A547" s="3" t="inlineStr">
        <is>
          <t>ORD-10546</t>
        </is>
      </c>
      <c r="B547" s="7" t="n">
        <v>45996</v>
      </c>
      <c r="C547" s="3" t="inlineStr">
        <is>
          <t>Home &amp; Lifestyle</t>
        </is>
      </c>
      <c r="D547" s="3" t="inlineStr">
        <is>
          <t>Wallets</t>
        </is>
      </c>
      <c r="E547" s="3" t="inlineStr">
        <is>
          <t>Greater Accra</t>
        </is>
      </c>
      <c r="F547" s="3" t="inlineStr">
        <is>
          <t>Online</t>
        </is>
      </c>
      <c r="G547" s="3" t="inlineStr">
        <is>
          <t>Returning</t>
        </is>
      </c>
      <c r="H547" s="3" t="n">
        <v>1</v>
      </c>
      <c r="I547" s="8" t="n">
        <v>125</v>
      </c>
      <c r="J547" s="8" t="n">
        <v>71.09</v>
      </c>
      <c r="K547" s="9" t="n">
        <v>0.05</v>
      </c>
      <c r="L547" s="8" t="n">
        <v>23.93</v>
      </c>
      <c r="M547" s="8">
        <f>H547*I547*(1-K547)</f>
        <v/>
      </c>
      <c r="N547" s="8">
        <f>H547*J547</f>
        <v/>
      </c>
      <c r="O547" s="8">
        <f>M547-N547-L547</f>
        <v/>
      </c>
      <c r="P547" s="10">
        <f>IFERROR(O547/M547,0)</f>
        <v/>
      </c>
      <c r="Q547" s="3">
        <f>IF(H547&lt;=0,"Review: quantity &lt;= 0",IF(K547&gt;0.3,"Review: discount &gt; 30%",IF(G547="","Review: missing customer type","OK")))</f>
        <v/>
      </c>
    </row>
    <row r="548">
      <c r="A548" s="3" t="inlineStr">
        <is>
          <t>ORD-10547</t>
        </is>
      </c>
      <c r="B548" s="7" t="n">
        <v>45977</v>
      </c>
      <c r="C548" s="3" t="inlineStr">
        <is>
          <t>Footwear</t>
        </is>
      </c>
      <c r="D548" s="3" t="inlineStr">
        <is>
          <t>Sandals</t>
        </is>
      </c>
      <c r="E548" s="3" t="inlineStr">
        <is>
          <t>Central</t>
        </is>
      </c>
      <c r="F548" s="3" t="inlineStr">
        <is>
          <t>Retail Shop</t>
        </is>
      </c>
      <c r="G548" s="3" t="inlineStr">
        <is>
          <t>Returning</t>
        </is>
      </c>
      <c r="H548" s="3" t="n">
        <v>4</v>
      </c>
      <c r="I548" s="8" t="n">
        <v>190</v>
      </c>
      <c r="J548" s="8" t="n">
        <v>99.19</v>
      </c>
      <c r="K548" s="9" t="n">
        <v>0.05</v>
      </c>
      <c r="L548" s="8" t="n">
        <v>11.57</v>
      </c>
      <c r="M548" s="8">
        <f>H548*I548*(1-K548)</f>
        <v/>
      </c>
      <c r="N548" s="8">
        <f>H548*J548</f>
        <v/>
      </c>
      <c r="O548" s="8">
        <f>M548-N548-L548</f>
        <v/>
      </c>
      <c r="P548" s="10">
        <f>IFERROR(O548/M548,0)</f>
        <v/>
      </c>
      <c r="Q548" s="3">
        <f>IF(H548&lt;=0,"Review: quantity &lt;= 0",IF(K548&gt;0.3,"Review: discount &gt; 30%",IF(G548="","Review: missing customer type","OK")))</f>
        <v/>
      </c>
    </row>
    <row r="549">
      <c r="A549" s="3" t="inlineStr">
        <is>
          <t>ORD-10548</t>
        </is>
      </c>
      <c r="B549" s="7" t="n">
        <v>45755</v>
      </c>
      <c r="C549" s="3" t="inlineStr">
        <is>
          <t>Accessories</t>
        </is>
      </c>
      <c r="D549" s="3" t="inlineStr">
        <is>
          <t>Bags</t>
        </is>
      </c>
      <c r="E549" s="3" t="inlineStr">
        <is>
          <t>Greater Accra</t>
        </is>
      </c>
      <c r="F549" s="3" t="inlineStr">
        <is>
          <t>Retail Shop</t>
        </is>
      </c>
      <c r="G549" s="3" t="inlineStr">
        <is>
          <t>New</t>
        </is>
      </c>
      <c r="H549" s="3" t="n">
        <v>2</v>
      </c>
      <c r="I549" s="8" t="n">
        <v>65</v>
      </c>
      <c r="J549" s="8" t="n">
        <v>33.07</v>
      </c>
      <c r="K549" s="9" t="n">
        <v>0</v>
      </c>
      <c r="L549" s="8" t="n">
        <v>7.49</v>
      </c>
      <c r="M549" s="8">
        <f>H549*I549*(1-K549)</f>
        <v/>
      </c>
      <c r="N549" s="8">
        <f>H549*J549</f>
        <v/>
      </c>
      <c r="O549" s="8">
        <f>M549-N549-L549</f>
        <v/>
      </c>
      <c r="P549" s="10">
        <f>IFERROR(O549/M549,0)</f>
        <v/>
      </c>
      <c r="Q549" s="3">
        <f>IF(H549&lt;=0,"Review: quantity &lt;= 0",IF(K549&gt;0.3,"Review: discount &gt; 30%",IF(G549="","Review: missing customer type","OK")))</f>
        <v/>
      </c>
    </row>
    <row r="550">
      <c r="A550" s="3" t="inlineStr">
        <is>
          <t>ORD-10549</t>
        </is>
      </c>
      <c r="B550" s="7" t="n">
        <v>45786</v>
      </c>
      <c r="C550" s="3" t="inlineStr">
        <is>
          <t>Home &amp; Lifestyle</t>
        </is>
      </c>
      <c r="D550" s="3" t="inlineStr">
        <is>
          <t>Small Home Goods</t>
        </is>
      </c>
      <c r="E550" s="3" t="inlineStr">
        <is>
          <t>Ashanti</t>
        </is>
      </c>
      <c r="F550" s="3" t="inlineStr">
        <is>
          <t>Retail Shop</t>
        </is>
      </c>
      <c r="G550" s="3" t="inlineStr">
        <is>
          <t>New</t>
        </is>
      </c>
      <c r="H550" s="3" t="n">
        <v>2</v>
      </c>
      <c r="I550" s="8" t="n">
        <v>120</v>
      </c>
      <c r="J550" s="8" t="n">
        <v>66.77</v>
      </c>
      <c r="K550" s="9" t="n">
        <v>0</v>
      </c>
      <c r="L550" s="8" t="n">
        <v>1.09</v>
      </c>
      <c r="M550" s="8">
        <f>H550*I550*(1-K550)</f>
        <v/>
      </c>
      <c r="N550" s="8">
        <f>H550*J550</f>
        <v/>
      </c>
      <c r="O550" s="8">
        <f>M550-N550-L550</f>
        <v/>
      </c>
      <c r="P550" s="10">
        <f>IFERROR(O550/M550,0)</f>
        <v/>
      </c>
      <c r="Q550" s="3">
        <f>IF(H550&lt;=0,"Review: quantity &lt;= 0",IF(K550&gt;0.3,"Review: discount &gt; 30%",IF(G550="","Review: missing customer type","OK")))</f>
        <v/>
      </c>
    </row>
    <row r="551">
      <c r="A551" s="3" t="inlineStr">
        <is>
          <t>ORD-10550</t>
        </is>
      </c>
      <c r="B551" s="7" t="n">
        <v>45777</v>
      </c>
      <c r="C551" s="3" t="inlineStr">
        <is>
          <t>Clothing</t>
        </is>
      </c>
      <c r="D551" s="3" t="inlineStr">
        <is>
          <t>Trousers</t>
        </is>
      </c>
      <c r="E551" s="3" t="inlineStr">
        <is>
          <t>Ashanti</t>
        </is>
      </c>
      <c r="F551" s="3" t="inlineStr">
        <is>
          <t>Online</t>
        </is>
      </c>
      <c r="G551" s="3" t="inlineStr">
        <is>
          <t>Returning</t>
        </is>
      </c>
      <c r="H551" s="3" t="n">
        <v>2</v>
      </c>
      <c r="I551" s="8" t="n">
        <v>285</v>
      </c>
      <c r="J551" s="8" t="n">
        <v>164.84</v>
      </c>
      <c r="K551" s="9" t="n">
        <v>0.05</v>
      </c>
      <c r="L551" s="8" t="n">
        <v>8.59</v>
      </c>
      <c r="M551" s="8">
        <f>H551*I551*(1-K551)</f>
        <v/>
      </c>
      <c r="N551" s="8">
        <f>H551*J551</f>
        <v/>
      </c>
      <c r="O551" s="8">
        <f>M551-N551-L551</f>
        <v/>
      </c>
      <c r="P551" s="10">
        <f>IFERROR(O551/M551,0)</f>
        <v/>
      </c>
      <c r="Q551" s="3">
        <f>IF(H551&lt;=0,"Review: quantity &lt;= 0",IF(K551&gt;0.3,"Review: discount &gt; 30%",IF(G551="","Review: missing customer type","OK")))</f>
        <v/>
      </c>
    </row>
    <row r="552">
      <c r="A552" s="3" t="inlineStr">
        <is>
          <t>ORD-10551</t>
        </is>
      </c>
      <c r="B552" s="7" t="n">
        <v>45943</v>
      </c>
      <c r="C552" s="3" t="inlineStr">
        <is>
          <t>Clothing</t>
        </is>
      </c>
      <c r="D552" s="3" t="inlineStr">
        <is>
          <t>Dresses</t>
        </is>
      </c>
      <c r="E552" s="3" t="inlineStr">
        <is>
          <t>Greater Accra</t>
        </is>
      </c>
      <c r="F552" s="3" t="inlineStr">
        <is>
          <t>Online</t>
        </is>
      </c>
      <c r="G552" s="3" t="inlineStr">
        <is>
          <t>Returning</t>
        </is>
      </c>
      <c r="H552" s="3" t="n">
        <v>2</v>
      </c>
      <c r="I552" s="8" t="n">
        <v>190</v>
      </c>
      <c r="J552" s="8" t="n">
        <v>102.97</v>
      </c>
      <c r="K552" s="9" t="n">
        <v>0</v>
      </c>
      <c r="L552" s="8" t="n">
        <v>41.15</v>
      </c>
      <c r="M552" s="8">
        <f>H552*I552*(1-K552)</f>
        <v/>
      </c>
      <c r="N552" s="8">
        <f>H552*J552</f>
        <v/>
      </c>
      <c r="O552" s="8">
        <f>M552-N552-L552</f>
        <v/>
      </c>
      <c r="P552" s="10">
        <f>IFERROR(O552/M552,0)</f>
        <v/>
      </c>
      <c r="Q552" s="3">
        <f>IF(H552&lt;=0,"Review: quantity &lt;= 0",IF(K552&gt;0.3,"Review: discount &gt; 30%",IF(G552="","Review: missing customer type","OK")))</f>
        <v/>
      </c>
    </row>
    <row r="553">
      <c r="A553" s="3" t="inlineStr">
        <is>
          <t>ORD-10552</t>
        </is>
      </c>
      <c r="B553" s="7" t="n">
        <v>45741</v>
      </c>
      <c r="C553" s="3" t="inlineStr">
        <is>
          <t>Footwear</t>
        </is>
      </c>
      <c r="D553" s="3" t="inlineStr">
        <is>
          <t>Sneakers</t>
        </is>
      </c>
      <c r="E553" s="3" t="inlineStr">
        <is>
          <t>Northern</t>
        </is>
      </c>
      <c r="F553" s="3" t="inlineStr">
        <is>
          <t>Online</t>
        </is>
      </c>
      <c r="G553" s="3" t="inlineStr">
        <is>
          <t>Returning</t>
        </is>
      </c>
      <c r="H553" s="3" t="n">
        <v>1</v>
      </c>
      <c r="I553" s="8" t="n">
        <v>180</v>
      </c>
      <c r="J553" s="8" t="n">
        <v>112.12</v>
      </c>
      <c r="K553" s="9" t="n">
        <v>0.1</v>
      </c>
      <c r="L553" s="8" t="n">
        <v>18.36</v>
      </c>
      <c r="M553" s="8">
        <f>H553*I553*(1-K553)</f>
        <v/>
      </c>
      <c r="N553" s="8">
        <f>H553*J553</f>
        <v/>
      </c>
      <c r="O553" s="8">
        <f>M553-N553-L553</f>
        <v/>
      </c>
      <c r="P553" s="10">
        <f>IFERROR(O553/M553,0)</f>
        <v/>
      </c>
      <c r="Q553" s="3">
        <f>IF(H553&lt;=0,"Review: quantity &lt;= 0",IF(K553&gt;0.3,"Review: discount &gt; 30%",IF(G553="","Review: missing customer type","OK")))</f>
        <v/>
      </c>
    </row>
    <row r="554">
      <c r="A554" s="3" t="inlineStr">
        <is>
          <t>ORD-10553</t>
        </is>
      </c>
      <c r="B554" s="7" t="n">
        <v>46000</v>
      </c>
      <c r="C554" s="3" t="inlineStr">
        <is>
          <t>Footwear</t>
        </is>
      </c>
      <c r="D554" s="3" t="inlineStr">
        <is>
          <t>Formal Shoes</t>
        </is>
      </c>
      <c r="E554" s="3" t="inlineStr">
        <is>
          <t>Greater Accra</t>
        </is>
      </c>
      <c r="F554" s="3" t="inlineStr">
        <is>
          <t>Retail Shop</t>
        </is>
      </c>
      <c r="G554" s="3" t="inlineStr">
        <is>
          <t>New</t>
        </is>
      </c>
      <c r="H554" s="3" t="n">
        <v>2</v>
      </c>
      <c r="I554" s="8" t="n">
        <v>305</v>
      </c>
      <c r="J554" s="8" t="n">
        <v>181.61</v>
      </c>
      <c r="K554" s="9" t="n">
        <v>0</v>
      </c>
      <c r="L554" s="8" t="n">
        <v>5.92</v>
      </c>
      <c r="M554" s="8">
        <f>H554*I554*(1-K554)</f>
        <v/>
      </c>
      <c r="N554" s="8">
        <f>H554*J554</f>
        <v/>
      </c>
      <c r="O554" s="8">
        <f>M554-N554-L554</f>
        <v/>
      </c>
      <c r="P554" s="10">
        <f>IFERROR(O554/M554,0)</f>
        <v/>
      </c>
      <c r="Q554" s="3">
        <f>IF(H554&lt;=0,"Review: quantity &lt;= 0",IF(K554&gt;0.3,"Review: discount &gt; 30%",IF(G554="","Review: missing customer type","OK")))</f>
        <v/>
      </c>
    </row>
    <row r="555">
      <c r="A555" s="3" t="inlineStr">
        <is>
          <t>ORD-10554</t>
        </is>
      </c>
      <c r="B555" s="7" t="n">
        <v>45929</v>
      </c>
      <c r="C555" s="3" t="inlineStr">
        <is>
          <t>Clothing</t>
        </is>
      </c>
      <c r="D555" s="3" t="inlineStr">
        <is>
          <t>Jackets</t>
        </is>
      </c>
      <c r="E555" s="3" t="inlineStr">
        <is>
          <t>Greater Accra</t>
        </is>
      </c>
      <c r="F555" s="3" t="inlineStr">
        <is>
          <t>Retail Shop</t>
        </is>
      </c>
      <c r="G555" s="3" t="inlineStr">
        <is>
          <t>New</t>
        </is>
      </c>
      <c r="H555" s="3" t="n">
        <v>3</v>
      </c>
      <c r="I555" s="8" t="n">
        <v>185</v>
      </c>
      <c r="J555" s="8" t="n">
        <v>90.72</v>
      </c>
      <c r="K555" s="9" t="n">
        <v>0</v>
      </c>
      <c r="L555" s="8" t="n">
        <v>5.01</v>
      </c>
      <c r="M555" s="8">
        <f>H555*I555*(1-K555)</f>
        <v/>
      </c>
      <c r="N555" s="8">
        <f>H555*J555</f>
        <v/>
      </c>
      <c r="O555" s="8">
        <f>M555-N555-L555</f>
        <v/>
      </c>
      <c r="P555" s="10">
        <f>IFERROR(O555/M555,0)</f>
        <v/>
      </c>
      <c r="Q555" s="3">
        <f>IF(H555&lt;=0,"Review: quantity &lt;= 0",IF(K555&gt;0.3,"Review: discount &gt; 30%",IF(G555="","Review: missing customer type","OK")))</f>
        <v/>
      </c>
    </row>
    <row r="556">
      <c r="A556" s="3" t="inlineStr">
        <is>
          <t>ORD-10555</t>
        </is>
      </c>
      <c r="B556" s="7" t="n">
        <v>45997</v>
      </c>
      <c r="C556" s="3" t="inlineStr">
        <is>
          <t>Clothing</t>
        </is>
      </c>
      <c r="D556" s="3" t="inlineStr">
        <is>
          <t>Jackets</t>
        </is>
      </c>
      <c r="E556" s="3" t="inlineStr">
        <is>
          <t>Greater Accra</t>
        </is>
      </c>
      <c r="F556" s="3" t="inlineStr">
        <is>
          <t>Retail Shop</t>
        </is>
      </c>
      <c r="G556" s="3" t="inlineStr">
        <is>
          <t>New</t>
        </is>
      </c>
      <c r="H556" s="3" t="n">
        <v>6</v>
      </c>
      <c r="I556" s="8" t="n">
        <v>270</v>
      </c>
      <c r="J556" s="8" t="n">
        <v>151.74</v>
      </c>
      <c r="K556" s="9" t="n">
        <v>0</v>
      </c>
      <c r="L556" s="8" t="n">
        <v>10.94</v>
      </c>
      <c r="M556" s="8">
        <f>H556*I556*(1-K556)</f>
        <v/>
      </c>
      <c r="N556" s="8">
        <f>H556*J556</f>
        <v/>
      </c>
      <c r="O556" s="8">
        <f>M556-N556-L556</f>
        <v/>
      </c>
      <c r="P556" s="10">
        <f>IFERROR(O556/M556,0)</f>
        <v/>
      </c>
      <c r="Q556" s="3">
        <f>IF(H556&lt;=0,"Review: quantity &lt;= 0",IF(K556&gt;0.3,"Review: discount &gt; 30%",IF(G556="","Review: missing customer type","OK")))</f>
        <v/>
      </c>
    </row>
    <row r="557">
      <c r="A557" s="3" t="inlineStr">
        <is>
          <t>ORD-10556</t>
        </is>
      </c>
      <c r="B557" s="7" t="n">
        <v>45675</v>
      </c>
      <c r="C557" s="3" t="inlineStr">
        <is>
          <t>Home &amp; Lifestyle</t>
        </is>
      </c>
      <c r="D557" s="3" t="inlineStr">
        <is>
          <t>Small Home Goods</t>
        </is>
      </c>
      <c r="E557" s="3" t="inlineStr">
        <is>
          <t>Western</t>
        </is>
      </c>
      <c r="F557" s="3" t="inlineStr">
        <is>
          <t>Online</t>
        </is>
      </c>
      <c r="G557" s="3" t="inlineStr">
        <is>
          <t>Returning</t>
        </is>
      </c>
      <c r="H557" s="3" t="n">
        <v>2</v>
      </c>
      <c r="I557" s="8" t="n">
        <v>135</v>
      </c>
      <c r="J557" s="8" t="n">
        <v>75.59999999999999</v>
      </c>
      <c r="K557" s="9" t="n">
        <v>0</v>
      </c>
      <c r="L557" s="8" t="n">
        <v>33.31</v>
      </c>
      <c r="M557" s="8">
        <f>H557*I557*(1-K557)</f>
        <v/>
      </c>
      <c r="N557" s="8">
        <f>H557*J557</f>
        <v/>
      </c>
      <c r="O557" s="8">
        <f>M557-N557-L557</f>
        <v/>
      </c>
      <c r="P557" s="10">
        <f>IFERROR(O557/M557,0)</f>
        <v/>
      </c>
      <c r="Q557" s="3">
        <f>IF(H557&lt;=0,"Review: quantity &lt;= 0",IF(K557&gt;0.3,"Review: discount &gt; 30%",IF(G557="","Review: missing customer type","OK")))</f>
        <v/>
      </c>
    </row>
    <row r="558">
      <c r="A558" s="3" t="inlineStr">
        <is>
          <t>ORD-10557</t>
        </is>
      </c>
      <c r="B558" s="7" t="n">
        <v>45685</v>
      </c>
      <c r="C558" s="3" t="inlineStr">
        <is>
          <t>Accessories</t>
        </is>
      </c>
      <c r="D558" s="3" t="inlineStr">
        <is>
          <t>Watches</t>
        </is>
      </c>
      <c r="E558" s="3" t="inlineStr">
        <is>
          <t>Greater Accra</t>
        </is>
      </c>
      <c r="F558" s="3" t="inlineStr">
        <is>
          <t>Phone/WhatsApp</t>
        </is>
      </c>
      <c r="G558" s="3" t="inlineStr">
        <is>
          <t>New</t>
        </is>
      </c>
      <c r="H558" s="3" t="n">
        <v>2</v>
      </c>
      <c r="I558" s="8" t="n">
        <v>85</v>
      </c>
      <c r="J558" s="8" t="n">
        <v>37.85</v>
      </c>
      <c r="K558" s="9" t="n">
        <v>0.15</v>
      </c>
      <c r="L558" s="8" t="n">
        <v>35.85</v>
      </c>
      <c r="M558" s="8">
        <f>H558*I558*(1-K558)</f>
        <v/>
      </c>
      <c r="N558" s="8">
        <f>H558*J558</f>
        <v/>
      </c>
      <c r="O558" s="8">
        <f>M558-N558-L558</f>
        <v/>
      </c>
      <c r="P558" s="10">
        <f>IFERROR(O558/M558,0)</f>
        <v/>
      </c>
      <c r="Q558" s="3">
        <f>IF(H558&lt;=0,"Review: quantity &lt;= 0",IF(K558&gt;0.3,"Review: discount &gt; 30%",IF(G558="","Review: missing customer type","OK")))</f>
        <v/>
      </c>
    </row>
    <row r="559">
      <c r="A559" s="3" t="inlineStr">
        <is>
          <t>ORD-10558</t>
        </is>
      </c>
      <c r="B559" s="7" t="n">
        <v>45752</v>
      </c>
      <c r="C559" s="3" t="inlineStr">
        <is>
          <t>Clothing</t>
        </is>
      </c>
      <c r="D559" s="3" t="inlineStr">
        <is>
          <t>Trousers</t>
        </is>
      </c>
      <c r="E559" s="3" t="inlineStr">
        <is>
          <t>Central</t>
        </is>
      </c>
      <c r="F559" s="3" t="inlineStr">
        <is>
          <t>Online</t>
        </is>
      </c>
      <c r="G559" s="3" t="inlineStr">
        <is>
          <t>Returning</t>
        </is>
      </c>
      <c r="H559" s="3" t="n">
        <v>1</v>
      </c>
      <c r="I559" s="8" t="n">
        <v>115</v>
      </c>
      <c r="J559" s="8" t="n">
        <v>63.69</v>
      </c>
      <c r="K559" s="9" t="n">
        <v>0</v>
      </c>
      <c r="L559" s="8" t="n">
        <v>32.5</v>
      </c>
      <c r="M559" s="8">
        <f>H559*I559*(1-K559)</f>
        <v/>
      </c>
      <c r="N559" s="8">
        <f>H559*J559</f>
        <v/>
      </c>
      <c r="O559" s="8">
        <f>M559-N559-L559</f>
        <v/>
      </c>
      <c r="P559" s="10">
        <f>IFERROR(O559/M559,0)</f>
        <v/>
      </c>
      <c r="Q559" s="3">
        <f>IF(H559&lt;=0,"Review: quantity &lt;= 0",IF(K559&gt;0.3,"Review: discount &gt; 30%",IF(G559="","Review: missing customer type","OK")))</f>
        <v/>
      </c>
    </row>
    <row r="560">
      <c r="A560" s="3" t="inlineStr">
        <is>
          <t>ORD-10559</t>
        </is>
      </c>
      <c r="B560" s="7" t="n">
        <v>45742</v>
      </c>
      <c r="C560" s="3" t="inlineStr">
        <is>
          <t>Accessories</t>
        </is>
      </c>
      <c r="D560" s="3" t="inlineStr">
        <is>
          <t>Bags</t>
        </is>
      </c>
      <c r="E560" s="3" t="inlineStr">
        <is>
          <t>Northern</t>
        </is>
      </c>
      <c r="F560" s="3" t="inlineStr">
        <is>
          <t>Retail Shop</t>
        </is>
      </c>
      <c r="G560" s="3" t="inlineStr">
        <is>
          <t>Returning</t>
        </is>
      </c>
      <c r="H560" s="3" t="n">
        <v>2</v>
      </c>
      <c r="I560" s="8" t="n">
        <v>175</v>
      </c>
      <c r="J560" s="8" t="n">
        <v>92.43000000000001</v>
      </c>
      <c r="K560" s="9" t="n">
        <v>0.2</v>
      </c>
      <c r="L560" s="8" t="n">
        <v>2.9</v>
      </c>
      <c r="M560" s="8">
        <f>H560*I560*(1-K560)</f>
        <v/>
      </c>
      <c r="N560" s="8">
        <f>H560*J560</f>
        <v/>
      </c>
      <c r="O560" s="8">
        <f>M560-N560-L560</f>
        <v/>
      </c>
      <c r="P560" s="10">
        <f>IFERROR(O560/M560,0)</f>
        <v/>
      </c>
      <c r="Q560" s="3">
        <f>IF(H560&lt;=0,"Review: quantity &lt;= 0",IF(K560&gt;0.3,"Review: discount &gt; 30%",IF(G560="","Review: missing customer type","OK")))</f>
        <v/>
      </c>
    </row>
    <row r="561">
      <c r="A561" s="3" t="inlineStr">
        <is>
          <t>ORD-10560</t>
        </is>
      </c>
      <c r="B561" s="7" t="n">
        <v>45723</v>
      </c>
      <c r="C561" s="3" t="inlineStr">
        <is>
          <t>Accessories</t>
        </is>
      </c>
      <c r="D561" s="3" t="inlineStr">
        <is>
          <t>Watches</t>
        </is>
      </c>
      <c r="E561" s="3" t="inlineStr">
        <is>
          <t>Greater Accra</t>
        </is>
      </c>
      <c r="F561" s="3" t="inlineStr">
        <is>
          <t>Online</t>
        </is>
      </c>
      <c r="G561" s="3" t="inlineStr">
        <is>
          <t>New</t>
        </is>
      </c>
      <c r="H561" s="3" t="n">
        <v>1</v>
      </c>
      <c r="I561" s="8" t="n">
        <v>65</v>
      </c>
      <c r="J561" s="8" t="n">
        <v>33.51</v>
      </c>
      <c r="K561" s="9" t="n">
        <v>0</v>
      </c>
      <c r="L561" s="8" t="n">
        <v>11.99</v>
      </c>
      <c r="M561" s="8">
        <f>H561*I561*(1-K561)</f>
        <v/>
      </c>
      <c r="N561" s="8">
        <f>H561*J561</f>
        <v/>
      </c>
      <c r="O561" s="8">
        <f>M561-N561-L561</f>
        <v/>
      </c>
      <c r="P561" s="10">
        <f>IFERROR(O561/M561,0)</f>
        <v/>
      </c>
      <c r="Q561" s="3">
        <f>IF(H561&lt;=0,"Review: quantity &lt;= 0",IF(K561&gt;0.3,"Review: discount &gt; 30%",IF(G561="","Review: missing customer type","OK")))</f>
        <v/>
      </c>
    </row>
    <row r="562">
      <c r="A562" s="3" t="inlineStr">
        <is>
          <t>ORD-10561</t>
        </is>
      </c>
      <c r="B562" s="7" t="n">
        <v>45789</v>
      </c>
      <c r="C562" s="3" t="inlineStr">
        <is>
          <t>Clothing</t>
        </is>
      </c>
      <c r="D562" s="3" t="inlineStr">
        <is>
          <t>Shirts</t>
        </is>
      </c>
      <c r="E562" s="3" t="inlineStr">
        <is>
          <t>Greater Accra</t>
        </is>
      </c>
      <c r="F562" s="3" t="inlineStr">
        <is>
          <t>Retail Shop</t>
        </is>
      </c>
      <c r="G562" s="3" t="inlineStr">
        <is>
          <t>New</t>
        </is>
      </c>
      <c r="H562" s="3" t="n">
        <v>2</v>
      </c>
      <c r="I562" s="8" t="n">
        <v>180</v>
      </c>
      <c r="J562" s="8" t="n">
        <v>88.26000000000001</v>
      </c>
      <c r="K562" s="9" t="n">
        <v>0</v>
      </c>
      <c r="L562" s="8" t="n">
        <v>8.130000000000001</v>
      </c>
      <c r="M562" s="8">
        <f>H562*I562*(1-K562)</f>
        <v/>
      </c>
      <c r="N562" s="8">
        <f>H562*J562</f>
        <v/>
      </c>
      <c r="O562" s="8">
        <f>M562-N562-L562</f>
        <v/>
      </c>
      <c r="P562" s="10">
        <f>IFERROR(O562/M562,0)</f>
        <v/>
      </c>
      <c r="Q562" s="3">
        <f>IF(H562&lt;=0,"Review: quantity &lt;= 0",IF(K562&gt;0.3,"Review: discount &gt; 30%",IF(G562="","Review: missing customer type","OK")))</f>
        <v/>
      </c>
    </row>
    <row r="563">
      <c r="A563" s="3" t="inlineStr">
        <is>
          <t>ORD-10562</t>
        </is>
      </c>
      <c r="B563" s="7" t="n">
        <v>45733</v>
      </c>
      <c r="C563" s="3" t="inlineStr">
        <is>
          <t>Accessories</t>
        </is>
      </c>
      <c r="D563" s="3" t="inlineStr">
        <is>
          <t>Sunglasses</t>
        </is>
      </c>
      <c r="E563" s="3" t="inlineStr">
        <is>
          <t>Greater Accra</t>
        </is>
      </c>
      <c r="F563" s="3" t="inlineStr">
        <is>
          <t>Phone/WhatsApp</t>
        </is>
      </c>
      <c r="G563" s="3" t="inlineStr">
        <is>
          <t>Returning</t>
        </is>
      </c>
      <c r="H563" s="3" t="n">
        <v>3</v>
      </c>
      <c r="I563" s="8" t="n">
        <v>125</v>
      </c>
      <c r="J563" s="8" t="n">
        <v>65.14</v>
      </c>
      <c r="K563" s="9" t="n">
        <v>0</v>
      </c>
      <c r="L563" s="8" t="n">
        <v>40.11</v>
      </c>
      <c r="M563" s="8">
        <f>H563*I563*(1-K563)</f>
        <v/>
      </c>
      <c r="N563" s="8">
        <f>H563*J563</f>
        <v/>
      </c>
      <c r="O563" s="8">
        <f>M563-N563-L563</f>
        <v/>
      </c>
      <c r="P563" s="10">
        <f>IFERROR(O563/M563,0)</f>
        <v/>
      </c>
      <c r="Q563" s="3">
        <f>IF(H563&lt;=0,"Review: quantity &lt;= 0",IF(K563&gt;0.3,"Review: discount &gt; 30%",IF(G563="","Review: missing customer type","OK")))</f>
        <v/>
      </c>
    </row>
    <row r="564">
      <c r="A564" s="3" t="inlineStr">
        <is>
          <t>ORD-10563</t>
        </is>
      </c>
      <c r="B564" s="7" t="n">
        <v>45860</v>
      </c>
      <c r="C564" s="3" t="inlineStr">
        <is>
          <t>Clothing</t>
        </is>
      </c>
      <c r="D564" s="3" t="inlineStr">
        <is>
          <t>Trousers</t>
        </is>
      </c>
      <c r="E564" s="3" t="inlineStr">
        <is>
          <t>Greater Accra</t>
        </is>
      </c>
      <c r="F564" s="3" t="inlineStr">
        <is>
          <t>Retail Shop</t>
        </is>
      </c>
      <c r="G564" s="3" t="inlineStr">
        <is>
          <t>Returning</t>
        </is>
      </c>
      <c r="H564" s="3" t="n">
        <v>1</v>
      </c>
      <c r="I564" s="8" t="n">
        <v>120</v>
      </c>
      <c r="J564" s="8" t="n">
        <v>56.33</v>
      </c>
      <c r="K564" s="9" t="n">
        <v>0</v>
      </c>
      <c r="L564" s="8" t="n">
        <v>0.21</v>
      </c>
      <c r="M564" s="8">
        <f>H564*I564*(1-K564)</f>
        <v/>
      </c>
      <c r="N564" s="8">
        <f>H564*J564</f>
        <v/>
      </c>
      <c r="O564" s="8">
        <f>M564-N564-L564</f>
        <v/>
      </c>
      <c r="P564" s="10">
        <f>IFERROR(O564/M564,0)</f>
        <v/>
      </c>
      <c r="Q564" s="3">
        <f>IF(H564&lt;=0,"Review: quantity &lt;= 0",IF(K564&gt;0.3,"Review: discount &gt; 30%",IF(G564="","Review: missing customer type","OK")))</f>
        <v/>
      </c>
    </row>
    <row r="565">
      <c r="A565" s="3" t="inlineStr">
        <is>
          <t>ORD-10564</t>
        </is>
      </c>
      <c r="B565" s="7" t="n">
        <v>45928</v>
      </c>
      <c r="C565" s="3" t="inlineStr">
        <is>
          <t>Footwear</t>
        </is>
      </c>
      <c r="D565" s="3" t="inlineStr">
        <is>
          <t>Sandals</t>
        </is>
      </c>
      <c r="E565" s="3" t="inlineStr">
        <is>
          <t>Ashanti</t>
        </is>
      </c>
      <c r="F565" s="3" t="inlineStr">
        <is>
          <t>Phone/WhatsApp</t>
        </is>
      </c>
      <c r="G565" s="3" t="inlineStr">
        <is>
          <t>Returning</t>
        </is>
      </c>
      <c r="H565" s="3" t="n">
        <v>1</v>
      </c>
      <c r="I565" s="8" t="n">
        <v>210</v>
      </c>
      <c r="J565" s="8" t="n">
        <v>125.14</v>
      </c>
      <c r="K565" s="9" t="n">
        <v>0.05</v>
      </c>
      <c r="L565" s="8" t="n">
        <v>30.13</v>
      </c>
      <c r="M565" s="8">
        <f>H565*I565*(1-K565)</f>
        <v/>
      </c>
      <c r="N565" s="8">
        <f>H565*J565</f>
        <v/>
      </c>
      <c r="O565" s="8">
        <f>M565-N565-L565</f>
        <v/>
      </c>
      <c r="P565" s="10">
        <f>IFERROR(O565/M565,0)</f>
        <v/>
      </c>
      <c r="Q565" s="3">
        <f>IF(H565&lt;=0,"Review: quantity &lt;= 0",IF(K565&gt;0.3,"Review: discount &gt; 30%",IF(G565="","Review: missing customer type","OK")))</f>
        <v/>
      </c>
    </row>
    <row r="566">
      <c r="A566" s="3" t="inlineStr">
        <is>
          <t>ORD-10565</t>
        </is>
      </c>
      <c r="B566" s="7" t="n">
        <v>45910</v>
      </c>
      <c r="C566" s="3" t="inlineStr">
        <is>
          <t>Footwear</t>
        </is>
      </c>
      <c r="D566" s="3" t="inlineStr">
        <is>
          <t>Formal Shoes</t>
        </is>
      </c>
      <c r="E566" s="3" t="inlineStr">
        <is>
          <t>Ashanti</t>
        </is>
      </c>
      <c r="F566" s="3" t="inlineStr">
        <is>
          <t>Retail Shop</t>
        </is>
      </c>
      <c r="G566" s="3" t="inlineStr">
        <is>
          <t>New</t>
        </is>
      </c>
      <c r="H566" s="3" t="n">
        <v>5</v>
      </c>
      <c r="I566" s="8" t="n">
        <v>275</v>
      </c>
      <c r="J566" s="8" t="n">
        <v>163.76</v>
      </c>
      <c r="K566" s="9" t="n">
        <v>0.05</v>
      </c>
      <c r="L566" s="8" t="n">
        <v>10.08</v>
      </c>
      <c r="M566" s="8">
        <f>H566*I566*(1-K566)</f>
        <v/>
      </c>
      <c r="N566" s="8">
        <f>H566*J566</f>
        <v/>
      </c>
      <c r="O566" s="8">
        <f>M566-N566-L566</f>
        <v/>
      </c>
      <c r="P566" s="10">
        <f>IFERROR(O566/M566,0)</f>
        <v/>
      </c>
      <c r="Q566" s="3">
        <f>IF(H566&lt;=0,"Review: quantity &lt;= 0",IF(K566&gt;0.3,"Review: discount &gt; 30%",IF(G566="","Review: missing customer type","OK")))</f>
        <v/>
      </c>
    </row>
    <row r="567">
      <c r="A567" s="3" t="inlineStr">
        <is>
          <t>ORD-10566</t>
        </is>
      </c>
      <c r="B567" s="7" t="n">
        <v>45905</v>
      </c>
      <c r="C567" s="3" t="inlineStr">
        <is>
          <t>Footwear</t>
        </is>
      </c>
      <c r="D567" s="3" t="inlineStr">
        <is>
          <t>Sandals</t>
        </is>
      </c>
      <c r="E567" s="3" t="inlineStr">
        <is>
          <t>Western</t>
        </is>
      </c>
      <c r="F567" s="3" t="inlineStr">
        <is>
          <t>Retail Shop</t>
        </is>
      </c>
      <c r="G567" s="3" t="inlineStr">
        <is>
          <t>Returning</t>
        </is>
      </c>
      <c r="H567" s="3" t="n">
        <v>2</v>
      </c>
      <c r="I567" s="8" t="n">
        <v>200</v>
      </c>
      <c r="J567" s="8" t="n">
        <v>121.59</v>
      </c>
      <c r="K567" s="9" t="n">
        <v>0</v>
      </c>
      <c r="L567" s="8" t="n">
        <v>0.2</v>
      </c>
      <c r="M567" s="8">
        <f>H567*I567*(1-K567)</f>
        <v/>
      </c>
      <c r="N567" s="8">
        <f>H567*J567</f>
        <v/>
      </c>
      <c r="O567" s="8">
        <f>M567-N567-L567</f>
        <v/>
      </c>
      <c r="P567" s="10">
        <f>IFERROR(O567/M567,0)</f>
        <v/>
      </c>
      <c r="Q567" s="3">
        <f>IF(H567&lt;=0,"Review: quantity &lt;= 0",IF(K567&gt;0.3,"Review: discount &gt; 30%",IF(G567="","Review: missing customer type","OK")))</f>
        <v/>
      </c>
    </row>
    <row r="568">
      <c r="A568" s="3" t="inlineStr">
        <is>
          <t>ORD-10567</t>
        </is>
      </c>
      <c r="B568" s="7" t="n">
        <v>45991</v>
      </c>
      <c r="C568" s="3" t="inlineStr">
        <is>
          <t>Footwear</t>
        </is>
      </c>
      <c r="D568" s="3" t="inlineStr">
        <is>
          <t>Boots</t>
        </is>
      </c>
      <c r="E568" s="3" t="inlineStr">
        <is>
          <t>Northern</t>
        </is>
      </c>
      <c r="F568" s="3" t="inlineStr">
        <is>
          <t>Phone/WhatsApp</t>
        </is>
      </c>
      <c r="G568" s="3" t="inlineStr">
        <is>
          <t>Returning</t>
        </is>
      </c>
      <c r="H568" s="3" t="n">
        <v>2</v>
      </c>
      <c r="I568" s="8" t="n">
        <v>280</v>
      </c>
      <c r="J568" s="8" t="n">
        <v>160.58</v>
      </c>
      <c r="K568" s="9" t="n">
        <v>0.1</v>
      </c>
      <c r="L568" s="8" t="n">
        <v>36.26</v>
      </c>
      <c r="M568" s="8">
        <f>H568*I568*(1-K568)</f>
        <v/>
      </c>
      <c r="N568" s="8">
        <f>H568*J568</f>
        <v/>
      </c>
      <c r="O568" s="8">
        <f>M568-N568-L568</f>
        <v/>
      </c>
      <c r="P568" s="10">
        <f>IFERROR(O568/M568,0)</f>
        <v/>
      </c>
      <c r="Q568" s="3">
        <f>IF(H568&lt;=0,"Review: quantity &lt;= 0",IF(K568&gt;0.3,"Review: discount &gt; 30%",IF(G568="","Review: missing customer type","OK")))</f>
        <v/>
      </c>
    </row>
    <row r="569">
      <c r="A569" s="3" t="inlineStr">
        <is>
          <t>ORD-10568</t>
        </is>
      </c>
      <c r="B569" s="7" t="n">
        <v>45957</v>
      </c>
      <c r="C569" s="3" t="inlineStr">
        <is>
          <t>Clothing</t>
        </is>
      </c>
      <c r="D569" s="3" t="inlineStr">
        <is>
          <t>Dresses</t>
        </is>
      </c>
      <c r="E569" s="3" t="inlineStr">
        <is>
          <t>Ashanti</t>
        </is>
      </c>
      <c r="F569" s="3" t="inlineStr">
        <is>
          <t>Retail Shop</t>
        </is>
      </c>
      <c r="G569" s="3" t="inlineStr">
        <is>
          <t>New</t>
        </is>
      </c>
      <c r="H569" s="3" t="n">
        <v>3</v>
      </c>
      <c r="I569" s="8" t="n">
        <v>225</v>
      </c>
      <c r="J569" s="8" t="n">
        <v>121.14</v>
      </c>
      <c r="K569" s="9" t="n">
        <v>0</v>
      </c>
      <c r="L569" s="8" t="n">
        <v>8.550000000000001</v>
      </c>
      <c r="M569" s="8">
        <f>H569*I569*(1-K569)</f>
        <v/>
      </c>
      <c r="N569" s="8">
        <f>H569*J569</f>
        <v/>
      </c>
      <c r="O569" s="8">
        <f>M569-N569-L569</f>
        <v/>
      </c>
      <c r="P569" s="10">
        <f>IFERROR(O569/M569,0)</f>
        <v/>
      </c>
      <c r="Q569" s="3">
        <f>IF(H569&lt;=0,"Review: quantity &lt;= 0",IF(K569&gt;0.3,"Review: discount &gt; 30%",IF(G569="","Review: missing customer type","OK")))</f>
        <v/>
      </c>
    </row>
    <row r="570">
      <c r="A570" s="3" t="inlineStr">
        <is>
          <t>ORD-10569</t>
        </is>
      </c>
      <c r="B570" s="7" t="n">
        <v>45732</v>
      </c>
      <c r="C570" s="3" t="inlineStr">
        <is>
          <t>Clothing</t>
        </is>
      </c>
      <c r="D570" s="3" t="inlineStr">
        <is>
          <t>Jackets</t>
        </is>
      </c>
      <c r="E570" s="3" t="inlineStr">
        <is>
          <t>Greater Accra</t>
        </is>
      </c>
      <c r="F570" s="3" t="inlineStr">
        <is>
          <t>Phone/WhatsApp</t>
        </is>
      </c>
      <c r="G570" s="3" t="inlineStr">
        <is>
          <t>Returning</t>
        </is>
      </c>
      <c r="H570" s="3" t="n">
        <v>1</v>
      </c>
      <c r="I570" s="8" t="n">
        <v>80</v>
      </c>
      <c r="J570" s="8" t="n">
        <v>45.14</v>
      </c>
      <c r="K570" s="9" t="n">
        <v>0</v>
      </c>
      <c r="L570" s="8" t="n">
        <v>40.16</v>
      </c>
      <c r="M570" s="8">
        <f>H570*I570*(1-K570)</f>
        <v/>
      </c>
      <c r="N570" s="8">
        <f>H570*J570</f>
        <v/>
      </c>
      <c r="O570" s="8">
        <f>M570-N570-L570</f>
        <v/>
      </c>
      <c r="P570" s="10">
        <f>IFERROR(O570/M570,0)</f>
        <v/>
      </c>
      <c r="Q570" s="3">
        <f>IF(H570&lt;=0,"Review: quantity &lt;= 0",IF(K570&gt;0.3,"Review: discount &gt; 30%",IF(G570="","Review: missing customer type","OK")))</f>
        <v/>
      </c>
    </row>
    <row r="571">
      <c r="A571" s="3" t="inlineStr">
        <is>
          <t>ORD-10570</t>
        </is>
      </c>
      <c r="B571" s="7" t="n">
        <v>45700</v>
      </c>
      <c r="C571" s="3" t="inlineStr">
        <is>
          <t>Clothing</t>
        </is>
      </c>
      <c r="D571" s="3" t="inlineStr">
        <is>
          <t>Jackets</t>
        </is>
      </c>
      <c r="E571" s="3" t="inlineStr">
        <is>
          <t>Greater Accra</t>
        </is>
      </c>
      <c r="F571" s="3" t="inlineStr">
        <is>
          <t>Online</t>
        </is>
      </c>
      <c r="G571" s="3" t="inlineStr">
        <is>
          <t>New</t>
        </is>
      </c>
      <c r="H571" s="3" t="n">
        <v>1</v>
      </c>
      <c r="I571" s="8" t="n">
        <v>170</v>
      </c>
      <c r="J571" s="8" t="n">
        <v>79.09999999999999</v>
      </c>
      <c r="K571" s="9" t="n">
        <v>0</v>
      </c>
      <c r="L571" s="8" t="n">
        <v>9.470000000000001</v>
      </c>
      <c r="M571" s="8">
        <f>H571*I571*(1-K571)</f>
        <v/>
      </c>
      <c r="N571" s="8">
        <f>H571*J571</f>
        <v/>
      </c>
      <c r="O571" s="8">
        <f>M571-N571-L571</f>
        <v/>
      </c>
      <c r="P571" s="10">
        <f>IFERROR(O571/M571,0)</f>
        <v/>
      </c>
      <c r="Q571" s="3">
        <f>IF(H571&lt;=0,"Review: quantity &lt;= 0",IF(K571&gt;0.3,"Review: discount &gt; 30%",IF(G571="","Review: missing customer type","OK")))</f>
        <v/>
      </c>
    </row>
    <row r="572">
      <c r="A572" s="3" t="inlineStr">
        <is>
          <t>ORD-10571</t>
        </is>
      </c>
      <c r="B572" s="7" t="n">
        <v>45738</v>
      </c>
      <c r="C572" s="3" t="inlineStr">
        <is>
          <t>Clothing</t>
        </is>
      </c>
      <c r="D572" s="3" t="inlineStr">
        <is>
          <t>Jackets</t>
        </is>
      </c>
      <c r="E572" s="3" t="inlineStr">
        <is>
          <t>Greater Accra</t>
        </is>
      </c>
      <c r="F572" s="3" t="inlineStr">
        <is>
          <t>Online</t>
        </is>
      </c>
      <c r="G572" s="3" t="inlineStr">
        <is>
          <t>Returning</t>
        </is>
      </c>
      <c r="H572" s="3" t="n">
        <v>2</v>
      </c>
      <c r="I572" s="8" t="n">
        <v>205</v>
      </c>
      <c r="J572" s="8" t="n">
        <v>94.45999999999999</v>
      </c>
      <c r="K572" s="9" t="n">
        <v>0.15</v>
      </c>
      <c r="L572" s="8" t="n">
        <v>33.36</v>
      </c>
      <c r="M572" s="8">
        <f>H572*I572*(1-K572)</f>
        <v/>
      </c>
      <c r="N572" s="8">
        <f>H572*J572</f>
        <v/>
      </c>
      <c r="O572" s="8">
        <f>M572-N572-L572</f>
        <v/>
      </c>
      <c r="P572" s="10">
        <f>IFERROR(O572/M572,0)</f>
        <v/>
      </c>
      <c r="Q572" s="3">
        <f>IF(H572&lt;=0,"Review: quantity &lt;= 0",IF(K572&gt;0.3,"Review: discount &gt; 30%",IF(G572="","Review: missing customer type","OK")))</f>
        <v/>
      </c>
    </row>
    <row r="573">
      <c r="A573" s="3" t="inlineStr">
        <is>
          <t>ORD-10572</t>
        </is>
      </c>
      <c r="B573" s="7" t="n">
        <v>45845</v>
      </c>
      <c r="C573" s="3" t="inlineStr">
        <is>
          <t>Clothing</t>
        </is>
      </c>
      <c r="D573" s="3" t="inlineStr">
        <is>
          <t>Trousers</t>
        </is>
      </c>
      <c r="E573" s="3" t="inlineStr">
        <is>
          <t>Greater Accra</t>
        </is>
      </c>
      <c r="F573" s="3" t="inlineStr">
        <is>
          <t>Online</t>
        </is>
      </c>
      <c r="G573" s="3" t="inlineStr">
        <is>
          <t>New</t>
        </is>
      </c>
      <c r="H573" s="3" t="n">
        <v>1</v>
      </c>
      <c r="I573" s="8" t="n">
        <v>105</v>
      </c>
      <c r="J573" s="8" t="n">
        <v>60.4</v>
      </c>
      <c r="K573" s="9" t="n">
        <v>0</v>
      </c>
      <c r="L573" s="8" t="n">
        <v>33.34</v>
      </c>
      <c r="M573" s="8">
        <f>H573*I573*(1-K573)</f>
        <v/>
      </c>
      <c r="N573" s="8">
        <f>H573*J573</f>
        <v/>
      </c>
      <c r="O573" s="8">
        <f>M573-N573-L573</f>
        <v/>
      </c>
      <c r="P573" s="10">
        <f>IFERROR(O573/M573,0)</f>
        <v/>
      </c>
      <c r="Q573" s="3">
        <f>IF(H573&lt;=0,"Review: quantity &lt;= 0",IF(K573&gt;0.3,"Review: discount &gt; 30%",IF(G573="","Review: missing customer type","OK")))</f>
        <v/>
      </c>
    </row>
    <row r="574">
      <c r="A574" s="3" t="inlineStr">
        <is>
          <t>ORD-10573</t>
        </is>
      </c>
      <c r="B574" s="7" t="n">
        <v>45783</v>
      </c>
      <c r="C574" s="3" t="inlineStr">
        <is>
          <t>Footwear</t>
        </is>
      </c>
      <c r="D574" s="3" t="inlineStr">
        <is>
          <t>Boots</t>
        </is>
      </c>
      <c r="E574" s="3" t="inlineStr">
        <is>
          <t>Central</t>
        </is>
      </c>
      <c r="F574" s="3" t="inlineStr">
        <is>
          <t>Retail Shop</t>
        </is>
      </c>
      <c r="G574" s="3" t="inlineStr">
        <is>
          <t>New</t>
        </is>
      </c>
      <c r="H574" s="3" t="n">
        <v>1</v>
      </c>
      <c r="I574" s="8" t="n">
        <v>310</v>
      </c>
      <c r="J574" s="8" t="n">
        <v>157.33</v>
      </c>
      <c r="K574" s="9" t="n">
        <v>0.05</v>
      </c>
      <c r="L574" s="8" t="n">
        <v>1.81</v>
      </c>
      <c r="M574" s="8">
        <f>H574*I574*(1-K574)</f>
        <v/>
      </c>
      <c r="N574" s="8">
        <f>H574*J574</f>
        <v/>
      </c>
      <c r="O574" s="8">
        <f>M574-N574-L574</f>
        <v/>
      </c>
      <c r="P574" s="10">
        <f>IFERROR(O574/M574,0)</f>
        <v/>
      </c>
      <c r="Q574" s="3">
        <f>IF(H574&lt;=0,"Review: quantity &lt;= 0",IF(K574&gt;0.3,"Review: discount &gt; 30%",IF(G574="","Review: missing customer type","OK")))</f>
        <v/>
      </c>
    </row>
    <row r="575">
      <c r="A575" s="3" t="inlineStr">
        <is>
          <t>ORD-10574</t>
        </is>
      </c>
      <c r="B575" s="7" t="n">
        <v>45908</v>
      </c>
      <c r="C575" s="3" t="inlineStr">
        <is>
          <t>Footwear</t>
        </is>
      </c>
      <c r="D575" s="3" t="inlineStr">
        <is>
          <t>Boots</t>
        </is>
      </c>
      <c r="E575" s="3" t="inlineStr">
        <is>
          <t>Central</t>
        </is>
      </c>
      <c r="F575" s="3" t="inlineStr">
        <is>
          <t>Phone/WhatsApp</t>
        </is>
      </c>
      <c r="G575" s="3" t="inlineStr">
        <is>
          <t>Returning</t>
        </is>
      </c>
      <c r="H575" s="3" t="n">
        <v>3</v>
      </c>
      <c r="I575" s="8" t="n">
        <v>155</v>
      </c>
      <c r="J575" s="8" t="n">
        <v>80.54000000000001</v>
      </c>
      <c r="K575" s="9" t="n">
        <v>0.05</v>
      </c>
      <c r="L575" s="8" t="n">
        <v>41.12</v>
      </c>
      <c r="M575" s="8">
        <f>H575*I575*(1-K575)</f>
        <v/>
      </c>
      <c r="N575" s="8">
        <f>H575*J575</f>
        <v/>
      </c>
      <c r="O575" s="8">
        <f>M575-N575-L575</f>
        <v/>
      </c>
      <c r="P575" s="10">
        <f>IFERROR(O575/M575,0)</f>
        <v/>
      </c>
      <c r="Q575" s="3">
        <f>IF(H575&lt;=0,"Review: quantity &lt;= 0",IF(K575&gt;0.3,"Review: discount &gt; 30%",IF(G575="","Review: missing customer type","OK")))</f>
        <v/>
      </c>
    </row>
    <row r="576">
      <c r="A576" s="3" t="inlineStr">
        <is>
          <t>ORD-10575</t>
        </is>
      </c>
      <c r="B576" s="7" t="n">
        <v>45839</v>
      </c>
      <c r="C576" s="3" t="inlineStr">
        <is>
          <t>Clothing</t>
        </is>
      </c>
      <c r="D576" s="3" t="inlineStr">
        <is>
          <t>Jackets</t>
        </is>
      </c>
      <c r="E576" s="3" t="inlineStr">
        <is>
          <t>Central</t>
        </is>
      </c>
      <c r="F576" s="3" t="inlineStr">
        <is>
          <t>Online</t>
        </is>
      </c>
      <c r="G576" s="3" t="inlineStr">
        <is>
          <t>Returning</t>
        </is>
      </c>
      <c r="H576" s="3" t="n">
        <v>5</v>
      </c>
      <c r="I576" s="8" t="n">
        <v>125</v>
      </c>
      <c r="J576" s="8" t="n">
        <v>69.2</v>
      </c>
      <c r="K576" s="9" t="n">
        <v>0</v>
      </c>
      <c r="L576" s="8" t="n">
        <v>38.33</v>
      </c>
      <c r="M576" s="8">
        <f>H576*I576*(1-K576)</f>
        <v/>
      </c>
      <c r="N576" s="8">
        <f>H576*J576</f>
        <v/>
      </c>
      <c r="O576" s="8">
        <f>M576-N576-L576</f>
        <v/>
      </c>
      <c r="P576" s="10">
        <f>IFERROR(O576/M576,0)</f>
        <v/>
      </c>
      <c r="Q576" s="3">
        <f>IF(H576&lt;=0,"Review: quantity &lt;= 0",IF(K576&gt;0.3,"Review: discount &gt; 30%",IF(G576="","Review: missing customer type","OK")))</f>
        <v/>
      </c>
    </row>
    <row r="577">
      <c r="A577" s="3" t="inlineStr">
        <is>
          <t>ORD-10576</t>
        </is>
      </c>
      <c r="B577" s="7" t="n">
        <v>45841</v>
      </c>
      <c r="C577" s="3" t="inlineStr">
        <is>
          <t>Clothing</t>
        </is>
      </c>
      <c r="D577" s="3" t="inlineStr">
        <is>
          <t>Trousers</t>
        </is>
      </c>
      <c r="E577" s="3" t="inlineStr">
        <is>
          <t>Greater Accra</t>
        </is>
      </c>
      <c r="F577" s="3" t="inlineStr">
        <is>
          <t>Phone/WhatsApp</t>
        </is>
      </c>
      <c r="G577" s="3" t="inlineStr">
        <is>
          <t>New</t>
        </is>
      </c>
      <c r="H577" s="3" t="n">
        <v>1</v>
      </c>
      <c r="I577" s="8" t="n">
        <v>95</v>
      </c>
      <c r="J577" s="8" t="n">
        <v>53.5</v>
      </c>
      <c r="K577" s="9" t="n">
        <v>0.1</v>
      </c>
      <c r="L577" s="8" t="n">
        <v>18.68</v>
      </c>
      <c r="M577" s="8">
        <f>H577*I577*(1-K577)</f>
        <v/>
      </c>
      <c r="N577" s="8">
        <f>H577*J577</f>
        <v/>
      </c>
      <c r="O577" s="8">
        <f>M577-N577-L577</f>
        <v/>
      </c>
      <c r="P577" s="10">
        <f>IFERROR(O577/M577,0)</f>
        <v/>
      </c>
      <c r="Q577" s="3">
        <f>IF(H577&lt;=0,"Review: quantity &lt;= 0",IF(K577&gt;0.3,"Review: discount &gt; 30%",IF(G577="","Review: missing customer type","OK")))</f>
        <v/>
      </c>
    </row>
    <row r="578">
      <c r="A578" s="3" t="inlineStr">
        <is>
          <t>ORD-10577</t>
        </is>
      </c>
      <c r="B578" s="7" t="n">
        <v>45667</v>
      </c>
      <c r="C578" s="3" t="inlineStr">
        <is>
          <t>Footwear</t>
        </is>
      </c>
      <c r="D578" s="3" t="inlineStr">
        <is>
          <t>Sandals</t>
        </is>
      </c>
      <c r="E578" s="3" t="inlineStr">
        <is>
          <t>Ashanti</t>
        </is>
      </c>
      <c r="F578" s="3" t="inlineStr">
        <is>
          <t>Phone/WhatsApp</t>
        </is>
      </c>
      <c r="G578" s="3" t="inlineStr">
        <is>
          <t>Returning</t>
        </is>
      </c>
      <c r="H578" s="3" t="n">
        <v>5</v>
      </c>
      <c r="I578" s="8" t="n">
        <v>355</v>
      </c>
      <c r="J578" s="8" t="n">
        <v>214.62</v>
      </c>
      <c r="K578" s="9" t="n">
        <v>0</v>
      </c>
      <c r="L578" s="8" t="n">
        <v>35.79</v>
      </c>
      <c r="M578" s="8">
        <f>H578*I578*(1-K578)</f>
        <v/>
      </c>
      <c r="N578" s="8">
        <f>H578*J578</f>
        <v/>
      </c>
      <c r="O578" s="8">
        <f>M578-N578-L578</f>
        <v/>
      </c>
      <c r="P578" s="10">
        <f>IFERROR(O578/M578,0)</f>
        <v/>
      </c>
      <c r="Q578" s="3">
        <f>IF(H578&lt;=0,"Review: quantity &lt;= 0",IF(K578&gt;0.3,"Review: discount &gt; 30%",IF(G578="","Review: missing customer type","OK")))</f>
        <v/>
      </c>
    </row>
    <row r="579">
      <c r="A579" s="3" t="inlineStr">
        <is>
          <t>ORD-10578</t>
        </is>
      </c>
      <c r="B579" s="7" t="n">
        <v>45930</v>
      </c>
      <c r="C579" s="3" t="inlineStr">
        <is>
          <t>Clothing</t>
        </is>
      </c>
      <c r="D579" s="3" t="inlineStr">
        <is>
          <t>Shirts</t>
        </is>
      </c>
      <c r="E579" s="3" t="inlineStr">
        <is>
          <t>Central</t>
        </is>
      </c>
      <c r="F579" s="3" t="inlineStr">
        <is>
          <t>Retail Shop</t>
        </is>
      </c>
      <c r="G579" s="3" t="inlineStr">
        <is>
          <t>Returning</t>
        </is>
      </c>
      <c r="H579" s="3" t="n">
        <v>3</v>
      </c>
      <c r="I579" s="8" t="n">
        <v>160</v>
      </c>
      <c r="J579" s="8" t="n">
        <v>84.66</v>
      </c>
      <c r="K579" s="9" t="n">
        <v>0</v>
      </c>
      <c r="L579" s="8" t="n">
        <v>9.48</v>
      </c>
      <c r="M579" s="8">
        <f>H579*I579*(1-K579)</f>
        <v/>
      </c>
      <c r="N579" s="8">
        <f>H579*J579</f>
        <v/>
      </c>
      <c r="O579" s="8">
        <f>M579-N579-L579</f>
        <v/>
      </c>
      <c r="P579" s="10">
        <f>IFERROR(O579/M579,0)</f>
        <v/>
      </c>
      <c r="Q579" s="3">
        <f>IF(H579&lt;=0,"Review: quantity &lt;= 0",IF(K579&gt;0.3,"Review: discount &gt; 30%",IF(G579="","Review: missing customer type","OK")))</f>
        <v/>
      </c>
    </row>
    <row r="580">
      <c r="A580" s="3" t="inlineStr">
        <is>
          <t>ORD-10579</t>
        </is>
      </c>
      <c r="B580" s="7" t="n">
        <v>45818</v>
      </c>
      <c r="C580" s="3" t="inlineStr">
        <is>
          <t>Accessories</t>
        </is>
      </c>
      <c r="D580" s="3" t="inlineStr">
        <is>
          <t>Sunglasses</t>
        </is>
      </c>
      <c r="E580" s="3" t="inlineStr">
        <is>
          <t>Greater Accra</t>
        </is>
      </c>
      <c r="F580" s="3" t="inlineStr">
        <is>
          <t>Phone/WhatsApp</t>
        </is>
      </c>
      <c r="G580" s="3" t="inlineStr">
        <is>
          <t>New</t>
        </is>
      </c>
      <c r="H580" s="3" t="n">
        <v>2</v>
      </c>
      <c r="I580" s="8" t="n">
        <v>95</v>
      </c>
      <c r="J580" s="8" t="n">
        <v>43.38</v>
      </c>
      <c r="K580" s="9" t="n">
        <v>0</v>
      </c>
      <c r="L580" s="8" t="n">
        <v>17.89</v>
      </c>
      <c r="M580" s="8">
        <f>H580*I580*(1-K580)</f>
        <v/>
      </c>
      <c r="N580" s="8">
        <f>H580*J580</f>
        <v/>
      </c>
      <c r="O580" s="8">
        <f>M580-N580-L580</f>
        <v/>
      </c>
      <c r="P580" s="10">
        <f>IFERROR(O580/M580,0)</f>
        <v/>
      </c>
      <c r="Q580" s="3">
        <f>IF(H580&lt;=0,"Review: quantity &lt;= 0",IF(K580&gt;0.3,"Review: discount &gt; 30%",IF(G580="","Review: missing customer type","OK")))</f>
        <v/>
      </c>
    </row>
    <row r="581">
      <c r="A581" s="3" t="inlineStr">
        <is>
          <t>ORD-10580</t>
        </is>
      </c>
      <c r="B581" s="7" t="n">
        <v>45886</v>
      </c>
      <c r="C581" s="3" t="inlineStr">
        <is>
          <t>Clothing</t>
        </is>
      </c>
      <c r="D581" s="3" t="inlineStr">
        <is>
          <t>Jackets</t>
        </is>
      </c>
      <c r="E581" s="3" t="inlineStr">
        <is>
          <t>Greater Accra</t>
        </is>
      </c>
      <c r="F581" s="3" t="inlineStr">
        <is>
          <t>Retail Shop</t>
        </is>
      </c>
      <c r="G581" s="3" t="inlineStr">
        <is>
          <t>Returning</t>
        </is>
      </c>
      <c r="H581" s="3" t="n">
        <v>2</v>
      </c>
      <c r="I581" s="8" t="n">
        <v>110</v>
      </c>
      <c r="J581" s="8" t="n">
        <v>56.45</v>
      </c>
      <c r="K581" s="9" t="n">
        <v>0.15</v>
      </c>
      <c r="L581" s="8" t="n">
        <v>3.58</v>
      </c>
      <c r="M581" s="8">
        <f>H581*I581*(1-K581)</f>
        <v/>
      </c>
      <c r="N581" s="8">
        <f>H581*J581</f>
        <v/>
      </c>
      <c r="O581" s="8">
        <f>M581-N581-L581</f>
        <v/>
      </c>
      <c r="P581" s="10">
        <f>IFERROR(O581/M581,0)</f>
        <v/>
      </c>
      <c r="Q581" s="3">
        <f>IF(H581&lt;=0,"Review: quantity &lt;= 0",IF(K581&gt;0.3,"Review: discount &gt; 30%",IF(G581="","Review: missing customer type","OK")))</f>
        <v/>
      </c>
    </row>
    <row r="582">
      <c r="A582" s="3" t="inlineStr">
        <is>
          <t>ORD-10581</t>
        </is>
      </c>
      <c r="B582" s="7" t="n">
        <v>45679</v>
      </c>
      <c r="C582" s="3" t="inlineStr">
        <is>
          <t>Clothing</t>
        </is>
      </c>
      <c r="D582" s="3" t="inlineStr">
        <is>
          <t>Shirts</t>
        </is>
      </c>
      <c r="E582" s="3" t="inlineStr">
        <is>
          <t>Western</t>
        </is>
      </c>
      <c r="F582" s="3" t="inlineStr">
        <is>
          <t>Retail Shop</t>
        </is>
      </c>
      <c r="G582" s="3" t="inlineStr">
        <is>
          <t>New</t>
        </is>
      </c>
      <c r="H582" s="3" t="n">
        <v>1</v>
      </c>
      <c r="I582" s="8" t="n">
        <v>175</v>
      </c>
      <c r="J582" s="8" t="n">
        <v>83.84</v>
      </c>
      <c r="K582" s="9" t="n">
        <v>0</v>
      </c>
      <c r="L582" s="8" t="n">
        <v>4.17</v>
      </c>
      <c r="M582" s="8">
        <f>H582*I582*(1-K582)</f>
        <v/>
      </c>
      <c r="N582" s="8">
        <f>H582*J582</f>
        <v/>
      </c>
      <c r="O582" s="8">
        <f>M582-N582-L582</f>
        <v/>
      </c>
      <c r="P582" s="10">
        <f>IFERROR(O582/M582,0)</f>
        <v/>
      </c>
      <c r="Q582" s="3">
        <f>IF(H582&lt;=0,"Review: quantity &lt;= 0",IF(K582&gt;0.3,"Review: discount &gt; 30%",IF(G582="","Review: missing customer type","OK")))</f>
        <v/>
      </c>
    </row>
    <row r="583">
      <c r="A583" s="3" t="inlineStr">
        <is>
          <t>ORD-10582</t>
        </is>
      </c>
      <c r="B583" s="7" t="n">
        <v>45855</v>
      </c>
      <c r="C583" s="3" t="inlineStr">
        <is>
          <t>Footwear</t>
        </is>
      </c>
      <c r="D583" s="3" t="inlineStr">
        <is>
          <t>Formal Shoes</t>
        </is>
      </c>
      <c r="E583" s="3" t="inlineStr">
        <is>
          <t>Ashanti</t>
        </is>
      </c>
      <c r="F583" s="3" t="inlineStr">
        <is>
          <t>Online</t>
        </is>
      </c>
      <c r="G583" s="3" t="inlineStr">
        <is>
          <t>Returning</t>
        </is>
      </c>
      <c r="H583" s="3" t="n">
        <v>1</v>
      </c>
      <c r="I583" s="8" t="n">
        <v>345</v>
      </c>
      <c r="J583" s="8" t="n">
        <v>207.1</v>
      </c>
      <c r="K583" s="9" t="n">
        <v>0.1</v>
      </c>
      <c r="L583" s="8" t="n">
        <v>43.4</v>
      </c>
      <c r="M583" s="8">
        <f>H583*I583*(1-K583)</f>
        <v/>
      </c>
      <c r="N583" s="8">
        <f>H583*J583</f>
        <v/>
      </c>
      <c r="O583" s="8">
        <f>M583-N583-L583</f>
        <v/>
      </c>
      <c r="P583" s="10">
        <f>IFERROR(O583/M583,0)</f>
        <v/>
      </c>
      <c r="Q583" s="3">
        <f>IF(H583&lt;=0,"Review: quantity &lt;= 0",IF(K583&gt;0.3,"Review: discount &gt; 30%",IF(G583="","Review: missing customer type","OK")))</f>
        <v/>
      </c>
    </row>
    <row r="584">
      <c r="A584" s="3" t="inlineStr">
        <is>
          <t>ORD-10583</t>
        </is>
      </c>
      <c r="B584" s="7" t="n">
        <v>45804</v>
      </c>
      <c r="C584" s="3" t="inlineStr">
        <is>
          <t>Accessories</t>
        </is>
      </c>
      <c r="D584" s="3" t="inlineStr">
        <is>
          <t>Sunglasses</t>
        </is>
      </c>
      <c r="E584" s="3" t="inlineStr">
        <is>
          <t>Greater Accra</t>
        </is>
      </c>
      <c r="F584" s="3" t="inlineStr">
        <is>
          <t>Retail Shop</t>
        </is>
      </c>
      <c r="G584" s="3" t="inlineStr">
        <is>
          <t>Returning</t>
        </is>
      </c>
      <c r="H584" s="3" t="n">
        <v>5</v>
      </c>
      <c r="I584" s="8" t="n">
        <v>170</v>
      </c>
      <c r="J584" s="8" t="n">
        <v>86.06999999999999</v>
      </c>
      <c r="K584" s="9" t="n">
        <v>0.1</v>
      </c>
      <c r="L584" s="8" t="n">
        <v>6.42</v>
      </c>
      <c r="M584" s="8">
        <f>H584*I584*(1-K584)</f>
        <v/>
      </c>
      <c r="N584" s="8">
        <f>H584*J584</f>
        <v/>
      </c>
      <c r="O584" s="8">
        <f>M584-N584-L584</f>
        <v/>
      </c>
      <c r="P584" s="10">
        <f>IFERROR(O584/M584,0)</f>
        <v/>
      </c>
      <c r="Q584" s="3">
        <f>IF(H584&lt;=0,"Review: quantity &lt;= 0",IF(K584&gt;0.3,"Review: discount &gt; 30%",IF(G584="","Review: missing customer type","OK")))</f>
        <v/>
      </c>
    </row>
    <row r="585">
      <c r="A585" s="3" t="inlineStr">
        <is>
          <t>ORD-10584</t>
        </is>
      </c>
      <c r="B585" s="7" t="n">
        <v>45950</v>
      </c>
      <c r="C585" s="3" t="inlineStr">
        <is>
          <t>Accessories</t>
        </is>
      </c>
      <c r="D585" s="3" t="inlineStr">
        <is>
          <t>Watches</t>
        </is>
      </c>
      <c r="E585" s="3" t="inlineStr">
        <is>
          <t>Ashanti</t>
        </is>
      </c>
      <c r="F585" s="3" t="inlineStr">
        <is>
          <t>Phone/WhatsApp</t>
        </is>
      </c>
      <c r="G585" s="3" t="inlineStr">
        <is>
          <t>New</t>
        </is>
      </c>
      <c r="H585" s="3" t="n">
        <v>1</v>
      </c>
      <c r="I585" s="8" t="n">
        <v>175</v>
      </c>
      <c r="J585" s="8" t="n">
        <v>82.88</v>
      </c>
      <c r="K585" s="9" t="n">
        <v>0</v>
      </c>
      <c r="L585" s="8" t="n">
        <v>33.16</v>
      </c>
      <c r="M585" s="8">
        <f>H585*I585*(1-K585)</f>
        <v/>
      </c>
      <c r="N585" s="8">
        <f>H585*J585</f>
        <v/>
      </c>
      <c r="O585" s="8">
        <f>M585-N585-L585</f>
        <v/>
      </c>
      <c r="P585" s="10">
        <f>IFERROR(O585/M585,0)</f>
        <v/>
      </c>
      <c r="Q585" s="3">
        <f>IF(H585&lt;=0,"Review: quantity &lt;= 0",IF(K585&gt;0.3,"Review: discount &gt; 30%",IF(G585="","Review: missing customer type","OK")))</f>
        <v/>
      </c>
    </row>
    <row r="586">
      <c r="A586" s="3" t="inlineStr">
        <is>
          <t>ORD-10585</t>
        </is>
      </c>
      <c r="B586" s="7" t="n">
        <v>45821</v>
      </c>
      <c r="C586" s="3" t="inlineStr">
        <is>
          <t>Clothing</t>
        </is>
      </c>
      <c r="D586" s="3" t="inlineStr">
        <is>
          <t>Jackets</t>
        </is>
      </c>
      <c r="E586" s="3" t="inlineStr">
        <is>
          <t>Greater Accra</t>
        </is>
      </c>
      <c r="F586" s="3" t="inlineStr">
        <is>
          <t>Retail Shop</t>
        </is>
      </c>
      <c r="G586" s="3" t="inlineStr">
        <is>
          <t>Returning</t>
        </is>
      </c>
      <c r="H586" s="3" t="n">
        <v>4</v>
      </c>
      <c r="I586" s="8" t="n">
        <v>140</v>
      </c>
      <c r="J586" s="8" t="n">
        <v>75.73999999999999</v>
      </c>
      <c r="K586" s="9" t="n">
        <v>0.05</v>
      </c>
      <c r="L586" s="8" t="n">
        <v>7.28</v>
      </c>
      <c r="M586" s="8">
        <f>H586*I586*(1-K586)</f>
        <v/>
      </c>
      <c r="N586" s="8">
        <f>H586*J586</f>
        <v/>
      </c>
      <c r="O586" s="8">
        <f>M586-N586-L586</f>
        <v/>
      </c>
      <c r="P586" s="10">
        <f>IFERROR(O586/M586,0)</f>
        <v/>
      </c>
      <c r="Q586" s="3">
        <f>IF(H586&lt;=0,"Review: quantity &lt;= 0",IF(K586&gt;0.3,"Review: discount &gt; 30%",IF(G586="","Review: missing customer type","OK")))</f>
        <v/>
      </c>
    </row>
    <row r="587">
      <c r="A587" s="3" t="inlineStr">
        <is>
          <t>ORD-10586</t>
        </is>
      </c>
      <c r="B587" s="7" t="n">
        <v>45671</v>
      </c>
      <c r="C587" s="3" t="inlineStr">
        <is>
          <t>Clothing</t>
        </is>
      </c>
      <c r="D587" s="3" t="inlineStr">
        <is>
          <t>Shirts</t>
        </is>
      </c>
      <c r="E587" s="3" t="inlineStr">
        <is>
          <t>Greater Accra</t>
        </is>
      </c>
      <c r="F587" s="3" t="inlineStr">
        <is>
          <t>Retail Shop</t>
        </is>
      </c>
      <c r="G587" s="3" t="inlineStr">
        <is>
          <t>Returning</t>
        </is>
      </c>
      <c r="H587" s="3" t="n">
        <v>2</v>
      </c>
      <c r="I587" s="8" t="n">
        <v>110</v>
      </c>
      <c r="J587" s="8" t="n">
        <v>59.5</v>
      </c>
      <c r="K587" s="9" t="n">
        <v>0.1</v>
      </c>
      <c r="L587" s="8" t="n">
        <v>10.85</v>
      </c>
      <c r="M587" s="8">
        <f>H587*I587*(1-K587)</f>
        <v/>
      </c>
      <c r="N587" s="8">
        <f>H587*J587</f>
        <v/>
      </c>
      <c r="O587" s="8">
        <f>M587-N587-L587</f>
        <v/>
      </c>
      <c r="P587" s="10">
        <f>IFERROR(O587/M587,0)</f>
        <v/>
      </c>
      <c r="Q587" s="3">
        <f>IF(H587&lt;=0,"Review: quantity &lt;= 0",IF(K587&gt;0.3,"Review: discount &gt; 30%",IF(G587="","Review: missing customer type","OK")))</f>
        <v/>
      </c>
    </row>
    <row r="588">
      <c r="A588" s="3" t="inlineStr">
        <is>
          <t>ORD-10587</t>
        </is>
      </c>
      <c r="B588" s="7" t="n">
        <v>45751</v>
      </c>
      <c r="C588" s="3" t="inlineStr">
        <is>
          <t>Clothing</t>
        </is>
      </c>
      <c r="D588" s="3" t="inlineStr">
        <is>
          <t>Shirts</t>
        </is>
      </c>
      <c r="E588" s="3" t="inlineStr">
        <is>
          <t>Greater Accra</t>
        </is>
      </c>
      <c r="F588" s="3" t="inlineStr">
        <is>
          <t>Online</t>
        </is>
      </c>
      <c r="G588" s="3" t="inlineStr">
        <is>
          <t>New</t>
        </is>
      </c>
      <c r="H588" s="3" t="n">
        <v>2</v>
      </c>
      <c r="I588" s="8" t="n">
        <v>145</v>
      </c>
      <c r="J588" s="8" t="n">
        <v>81.65000000000001</v>
      </c>
      <c r="K588" s="9" t="n">
        <v>0</v>
      </c>
      <c r="L588" s="8" t="n">
        <v>9.93</v>
      </c>
      <c r="M588" s="8">
        <f>H588*I588*(1-K588)</f>
        <v/>
      </c>
      <c r="N588" s="8">
        <f>H588*J588</f>
        <v/>
      </c>
      <c r="O588" s="8">
        <f>M588-N588-L588</f>
        <v/>
      </c>
      <c r="P588" s="10">
        <f>IFERROR(O588/M588,0)</f>
        <v/>
      </c>
      <c r="Q588" s="3">
        <f>IF(H588&lt;=0,"Review: quantity &lt;= 0",IF(K588&gt;0.3,"Review: discount &gt; 30%",IF(G588="","Review: missing customer type","OK")))</f>
        <v/>
      </c>
    </row>
    <row r="589">
      <c r="A589" s="3" t="inlineStr">
        <is>
          <t>ORD-10588</t>
        </is>
      </c>
      <c r="B589" s="7" t="n">
        <v>45695</v>
      </c>
      <c r="C589" s="3" t="inlineStr">
        <is>
          <t>Accessories</t>
        </is>
      </c>
      <c r="D589" s="3" t="inlineStr">
        <is>
          <t>Sunglasses</t>
        </is>
      </c>
      <c r="E589" s="3" t="inlineStr">
        <is>
          <t>Greater Accra</t>
        </is>
      </c>
      <c r="F589" s="3" t="inlineStr">
        <is>
          <t>Online</t>
        </is>
      </c>
      <c r="G589" s="3" t="inlineStr">
        <is>
          <t>New</t>
        </is>
      </c>
      <c r="H589" s="3" t="n">
        <v>3</v>
      </c>
      <c r="I589" s="8" t="n">
        <v>130</v>
      </c>
      <c r="J589" s="8" t="n">
        <v>57.87</v>
      </c>
      <c r="K589" s="9" t="n">
        <v>0</v>
      </c>
      <c r="L589" s="8" t="n">
        <v>17.69</v>
      </c>
      <c r="M589" s="8">
        <f>H589*I589*(1-K589)</f>
        <v/>
      </c>
      <c r="N589" s="8">
        <f>H589*J589</f>
        <v/>
      </c>
      <c r="O589" s="8">
        <f>M589-N589-L589</f>
        <v/>
      </c>
      <c r="P589" s="10">
        <f>IFERROR(O589/M589,0)</f>
        <v/>
      </c>
      <c r="Q589" s="3">
        <f>IF(H589&lt;=0,"Review: quantity &lt;= 0",IF(K589&gt;0.3,"Review: discount &gt; 30%",IF(G589="","Review: missing customer type","OK")))</f>
        <v/>
      </c>
    </row>
    <row r="590">
      <c r="A590" s="3" t="inlineStr">
        <is>
          <t>ORD-10589</t>
        </is>
      </c>
      <c r="B590" s="7" t="n">
        <v>45871</v>
      </c>
      <c r="C590" s="3" t="inlineStr">
        <is>
          <t>Clothing</t>
        </is>
      </c>
      <c r="D590" s="3" t="inlineStr">
        <is>
          <t>Trousers</t>
        </is>
      </c>
      <c r="E590" s="3" t="inlineStr">
        <is>
          <t>Greater Accra</t>
        </is>
      </c>
      <c r="F590" s="3" t="inlineStr">
        <is>
          <t>Retail Shop</t>
        </is>
      </c>
      <c r="G590" s="3" t="inlineStr">
        <is>
          <t>Returning</t>
        </is>
      </c>
      <c r="H590" s="3" t="n">
        <v>1</v>
      </c>
      <c r="I590" s="8" t="n">
        <v>160</v>
      </c>
      <c r="J590" s="8" t="n">
        <v>85.59999999999999</v>
      </c>
      <c r="K590" s="9" t="n">
        <v>0</v>
      </c>
      <c r="L590" s="8" t="n">
        <v>5.18</v>
      </c>
      <c r="M590" s="8">
        <f>H590*I590*(1-K590)</f>
        <v/>
      </c>
      <c r="N590" s="8">
        <f>H590*J590</f>
        <v/>
      </c>
      <c r="O590" s="8">
        <f>M590-N590-L590</f>
        <v/>
      </c>
      <c r="P590" s="10">
        <f>IFERROR(O590/M590,0)</f>
        <v/>
      </c>
      <c r="Q590" s="3">
        <f>IF(H590&lt;=0,"Review: quantity &lt;= 0",IF(K590&gt;0.3,"Review: discount &gt; 30%",IF(G590="","Review: missing customer type","OK")))</f>
        <v/>
      </c>
    </row>
    <row r="591">
      <c r="A591" s="3" t="inlineStr">
        <is>
          <t>ORD-10590</t>
        </is>
      </c>
      <c r="B591" s="7" t="n">
        <v>45851</v>
      </c>
      <c r="C591" s="3" t="inlineStr">
        <is>
          <t>Footwear</t>
        </is>
      </c>
      <c r="D591" s="3" t="inlineStr">
        <is>
          <t>Formal Shoes</t>
        </is>
      </c>
      <c r="E591" s="3" t="inlineStr">
        <is>
          <t>Ashanti</t>
        </is>
      </c>
      <c r="F591" s="3" t="inlineStr">
        <is>
          <t>Retail Shop</t>
        </is>
      </c>
      <c r="G591" s="3" t="inlineStr">
        <is>
          <t>New</t>
        </is>
      </c>
      <c r="H591" s="3" t="n">
        <v>2</v>
      </c>
      <c r="I591" s="8" t="n">
        <v>165</v>
      </c>
      <c r="J591" s="8" t="n">
        <v>87.18000000000001</v>
      </c>
      <c r="K591" s="9" t="n">
        <v>0</v>
      </c>
      <c r="L591" s="8" t="n">
        <v>5.87</v>
      </c>
      <c r="M591" s="8">
        <f>H591*I591*(1-K591)</f>
        <v/>
      </c>
      <c r="N591" s="8">
        <f>H591*J591</f>
        <v/>
      </c>
      <c r="O591" s="8">
        <f>M591-N591-L591</f>
        <v/>
      </c>
      <c r="P591" s="10">
        <f>IFERROR(O591/M591,0)</f>
        <v/>
      </c>
      <c r="Q591" s="3">
        <f>IF(H591&lt;=0,"Review: quantity &lt;= 0",IF(K591&gt;0.3,"Review: discount &gt; 30%",IF(G591="","Review: missing customer type","OK")))</f>
        <v/>
      </c>
    </row>
    <row r="592">
      <c r="A592" s="3" t="inlineStr">
        <is>
          <t>ORD-10591</t>
        </is>
      </c>
      <c r="B592" s="7" t="n">
        <v>45871</v>
      </c>
      <c r="C592" s="3" t="inlineStr">
        <is>
          <t>Accessories</t>
        </is>
      </c>
      <c r="D592" s="3" t="inlineStr">
        <is>
          <t>Belts</t>
        </is>
      </c>
      <c r="E592" s="3" t="inlineStr">
        <is>
          <t>Western</t>
        </is>
      </c>
      <c r="F592" s="3" t="inlineStr">
        <is>
          <t>Retail Shop</t>
        </is>
      </c>
      <c r="G592" s="3" t="inlineStr">
        <is>
          <t>Returning</t>
        </is>
      </c>
      <c r="H592" s="3" t="n">
        <v>2</v>
      </c>
      <c r="I592" s="8" t="n">
        <v>90</v>
      </c>
      <c r="J592" s="8" t="n">
        <v>44.65</v>
      </c>
      <c r="K592" s="9" t="n">
        <v>0.1</v>
      </c>
      <c r="L592" s="8" t="n">
        <v>8.43</v>
      </c>
      <c r="M592" s="8">
        <f>H592*I592*(1-K592)</f>
        <v/>
      </c>
      <c r="N592" s="8">
        <f>H592*J592</f>
        <v/>
      </c>
      <c r="O592" s="8">
        <f>M592-N592-L592</f>
        <v/>
      </c>
      <c r="P592" s="10">
        <f>IFERROR(O592/M592,0)</f>
        <v/>
      </c>
      <c r="Q592" s="3">
        <f>IF(H592&lt;=0,"Review: quantity &lt;= 0",IF(K592&gt;0.3,"Review: discount &gt; 30%",IF(G592="","Review: missing customer type","OK")))</f>
        <v/>
      </c>
    </row>
    <row r="593">
      <c r="A593" s="3" t="inlineStr">
        <is>
          <t>ORD-10592</t>
        </is>
      </c>
      <c r="B593" s="7" t="n">
        <v>45897</v>
      </c>
      <c r="C593" s="3" t="inlineStr">
        <is>
          <t>Clothing</t>
        </is>
      </c>
      <c r="D593" s="3" t="inlineStr">
        <is>
          <t>Jackets</t>
        </is>
      </c>
      <c r="E593" s="3" t="inlineStr">
        <is>
          <t>Greater Accra</t>
        </is>
      </c>
      <c r="F593" s="3" t="inlineStr">
        <is>
          <t>Phone/WhatsApp</t>
        </is>
      </c>
      <c r="G593" s="3" t="inlineStr">
        <is>
          <t>New</t>
        </is>
      </c>
      <c r="H593" s="3" t="n">
        <v>2</v>
      </c>
      <c r="I593" s="8" t="n">
        <v>185</v>
      </c>
      <c r="J593" s="8" t="n">
        <v>100.22</v>
      </c>
      <c r="K593" s="9" t="n">
        <v>0</v>
      </c>
      <c r="L593" s="8" t="n">
        <v>37.27</v>
      </c>
      <c r="M593" s="8">
        <f>H593*I593*(1-K593)</f>
        <v/>
      </c>
      <c r="N593" s="8">
        <f>H593*J593</f>
        <v/>
      </c>
      <c r="O593" s="8">
        <f>M593-N593-L593</f>
        <v/>
      </c>
      <c r="P593" s="10">
        <f>IFERROR(O593/M593,0)</f>
        <v/>
      </c>
      <c r="Q593" s="3">
        <f>IF(H593&lt;=0,"Review: quantity &lt;= 0",IF(K593&gt;0.3,"Review: discount &gt; 30%",IF(G593="","Review: missing customer type","OK")))</f>
        <v/>
      </c>
    </row>
    <row r="594">
      <c r="A594" s="3" t="inlineStr">
        <is>
          <t>ORD-10593</t>
        </is>
      </c>
      <c r="B594" s="7" t="n">
        <v>45820</v>
      </c>
      <c r="C594" s="3" t="inlineStr">
        <is>
          <t>Footwear</t>
        </is>
      </c>
      <c r="D594" s="3" t="inlineStr">
        <is>
          <t>Boots</t>
        </is>
      </c>
      <c r="E594" s="3" t="inlineStr">
        <is>
          <t>Central</t>
        </is>
      </c>
      <c r="F594" s="3" t="inlineStr">
        <is>
          <t>Retail Shop</t>
        </is>
      </c>
      <c r="G594" s="3" t="inlineStr">
        <is>
          <t>Returning</t>
        </is>
      </c>
      <c r="H594" s="3" t="n">
        <v>6</v>
      </c>
      <c r="I594" s="8" t="n">
        <v>295</v>
      </c>
      <c r="J594" s="8" t="n">
        <v>164.74</v>
      </c>
      <c r="K594" s="9" t="n">
        <v>0.15</v>
      </c>
      <c r="L594" s="8" t="n">
        <v>3.83</v>
      </c>
      <c r="M594" s="8">
        <f>H594*I594*(1-K594)</f>
        <v/>
      </c>
      <c r="N594" s="8">
        <f>H594*J594</f>
        <v/>
      </c>
      <c r="O594" s="8">
        <f>M594-N594-L594</f>
        <v/>
      </c>
      <c r="P594" s="10">
        <f>IFERROR(O594/M594,0)</f>
        <v/>
      </c>
      <c r="Q594" s="3">
        <f>IF(H594&lt;=0,"Review: quantity &lt;= 0",IF(K594&gt;0.3,"Review: discount &gt; 30%",IF(G594="","Review: missing customer type","OK")))</f>
        <v/>
      </c>
    </row>
    <row r="595">
      <c r="A595" s="3" t="inlineStr">
        <is>
          <t>ORD-10594</t>
        </is>
      </c>
      <c r="B595" s="7" t="n">
        <v>45815</v>
      </c>
      <c r="C595" s="3" t="inlineStr">
        <is>
          <t>Clothing</t>
        </is>
      </c>
      <c r="D595" s="3" t="inlineStr">
        <is>
          <t>Dresses</t>
        </is>
      </c>
      <c r="E595" s="3" t="inlineStr">
        <is>
          <t>Central</t>
        </is>
      </c>
      <c r="F595" s="3" t="inlineStr">
        <is>
          <t>Phone/WhatsApp</t>
        </is>
      </c>
      <c r="G595" s="3" t="inlineStr">
        <is>
          <t>Returning</t>
        </is>
      </c>
      <c r="H595" s="3" t="n">
        <v>7</v>
      </c>
      <c r="I595" s="8" t="n">
        <v>170</v>
      </c>
      <c r="J595" s="8" t="n">
        <v>94.18000000000001</v>
      </c>
      <c r="K595" s="9" t="n">
        <v>0.15</v>
      </c>
      <c r="L595" s="8" t="n">
        <v>40.28</v>
      </c>
      <c r="M595" s="8">
        <f>H595*I595*(1-K595)</f>
        <v/>
      </c>
      <c r="N595" s="8">
        <f>H595*J595</f>
        <v/>
      </c>
      <c r="O595" s="8">
        <f>M595-N595-L595</f>
        <v/>
      </c>
      <c r="P595" s="10">
        <f>IFERROR(O595/M595,0)</f>
        <v/>
      </c>
      <c r="Q595" s="3">
        <f>IF(H595&lt;=0,"Review: quantity &lt;= 0",IF(K595&gt;0.3,"Review: discount &gt; 30%",IF(G595="","Review: missing customer type","OK")))</f>
        <v/>
      </c>
    </row>
    <row r="596">
      <c r="A596" s="3" t="inlineStr">
        <is>
          <t>ORD-10595</t>
        </is>
      </c>
      <c r="B596" s="7" t="n">
        <v>45742</v>
      </c>
      <c r="C596" s="3" t="inlineStr">
        <is>
          <t>Clothing</t>
        </is>
      </c>
      <c r="D596" s="3" t="inlineStr">
        <is>
          <t>Dresses</t>
        </is>
      </c>
      <c r="E596" s="3" t="inlineStr">
        <is>
          <t>Northern</t>
        </is>
      </c>
      <c r="F596" s="3" t="inlineStr">
        <is>
          <t>Retail Shop</t>
        </is>
      </c>
      <c r="G596" s="3" t="inlineStr">
        <is>
          <t>Returning</t>
        </is>
      </c>
      <c r="H596" s="3" t="n">
        <v>1</v>
      </c>
      <c r="I596" s="8" t="n">
        <v>245</v>
      </c>
      <c r="J596" s="8" t="n">
        <v>125.86</v>
      </c>
      <c r="K596" s="9" t="n">
        <v>0.05</v>
      </c>
      <c r="L596" s="8" t="n">
        <v>0.09</v>
      </c>
      <c r="M596" s="8">
        <f>H596*I596*(1-K596)</f>
        <v/>
      </c>
      <c r="N596" s="8">
        <f>H596*J596</f>
        <v/>
      </c>
      <c r="O596" s="8">
        <f>M596-N596-L596</f>
        <v/>
      </c>
      <c r="P596" s="10">
        <f>IFERROR(O596/M596,0)</f>
        <v/>
      </c>
      <c r="Q596" s="3">
        <f>IF(H596&lt;=0,"Review: quantity &lt;= 0",IF(K596&gt;0.3,"Review: discount &gt; 30%",IF(G596="","Review: missing customer type","OK")))</f>
        <v/>
      </c>
    </row>
    <row r="597">
      <c r="A597" s="3" t="inlineStr">
        <is>
          <t>ORD-10596</t>
        </is>
      </c>
      <c r="B597" s="7" t="n">
        <v>45779</v>
      </c>
      <c r="C597" s="3" t="inlineStr">
        <is>
          <t>Home &amp; Lifestyle</t>
        </is>
      </c>
      <c r="D597" s="3" t="inlineStr">
        <is>
          <t>Backpacks</t>
        </is>
      </c>
      <c r="E597" s="3" t="inlineStr">
        <is>
          <t>Greater Accra</t>
        </is>
      </c>
      <c r="F597" s="3" t="inlineStr">
        <is>
          <t>Retail Shop</t>
        </is>
      </c>
      <c r="G597" s="3" t="inlineStr">
        <is>
          <t>New</t>
        </is>
      </c>
      <c r="H597" s="3" t="n">
        <v>2</v>
      </c>
      <c r="I597" s="8" t="n">
        <v>70</v>
      </c>
      <c r="J597" s="8" t="n">
        <v>37.82</v>
      </c>
      <c r="K597" s="9" t="n">
        <v>0.15</v>
      </c>
      <c r="L597" s="8" t="n">
        <v>9.68</v>
      </c>
      <c r="M597" s="8">
        <f>H597*I597*(1-K597)</f>
        <v/>
      </c>
      <c r="N597" s="8">
        <f>H597*J597</f>
        <v/>
      </c>
      <c r="O597" s="8">
        <f>M597-N597-L597</f>
        <v/>
      </c>
      <c r="P597" s="10">
        <f>IFERROR(O597/M597,0)</f>
        <v/>
      </c>
      <c r="Q597" s="3">
        <f>IF(H597&lt;=0,"Review: quantity &lt;= 0",IF(K597&gt;0.3,"Review: discount &gt; 30%",IF(G597="","Review: missing customer type","OK")))</f>
        <v/>
      </c>
    </row>
    <row r="598">
      <c r="A598" s="3" t="inlineStr">
        <is>
          <t>ORD-10597</t>
        </is>
      </c>
      <c r="B598" s="7" t="n">
        <v>45980</v>
      </c>
      <c r="C598" s="3" t="inlineStr">
        <is>
          <t>Accessories</t>
        </is>
      </c>
      <c r="D598" s="3" t="inlineStr">
        <is>
          <t>Bags</t>
        </is>
      </c>
      <c r="E598" s="3" t="inlineStr">
        <is>
          <t>Ashanti</t>
        </is>
      </c>
      <c r="F598" s="3" t="inlineStr">
        <is>
          <t>Retail Shop</t>
        </is>
      </c>
      <c r="G598" s="3" t="inlineStr">
        <is>
          <t>New</t>
        </is>
      </c>
      <c r="H598" s="3" t="n">
        <v>4</v>
      </c>
      <c r="I598" s="8" t="n">
        <v>105</v>
      </c>
      <c r="J598" s="8" t="n">
        <v>52.22</v>
      </c>
      <c r="K598" s="9" t="n">
        <v>0</v>
      </c>
      <c r="L598" s="8" t="n">
        <v>4.29</v>
      </c>
      <c r="M598" s="8">
        <f>H598*I598*(1-K598)</f>
        <v/>
      </c>
      <c r="N598" s="8">
        <f>H598*J598</f>
        <v/>
      </c>
      <c r="O598" s="8">
        <f>M598-N598-L598</f>
        <v/>
      </c>
      <c r="P598" s="10">
        <f>IFERROR(O598/M598,0)</f>
        <v/>
      </c>
      <c r="Q598" s="3">
        <f>IF(H598&lt;=0,"Review: quantity &lt;= 0",IF(K598&gt;0.3,"Review: discount &gt; 30%",IF(G598="","Review: missing customer type","OK")))</f>
        <v/>
      </c>
    </row>
    <row r="599">
      <c r="A599" s="3" t="inlineStr">
        <is>
          <t>ORD-10598</t>
        </is>
      </c>
      <c r="B599" s="7" t="n">
        <v>45661</v>
      </c>
      <c r="C599" s="3" t="inlineStr">
        <is>
          <t>Footwear</t>
        </is>
      </c>
      <c r="D599" s="3" t="inlineStr">
        <is>
          <t>Sneakers</t>
        </is>
      </c>
      <c r="E599" s="3" t="inlineStr">
        <is>
          <t>Ashanti</t>
        </is>
      </c>
      <c r="F599" s="3" t="inlineStr">
        <is>
          <t>Retail Shop</t>
        </is>
      </c>
      <c r="G599" s="3" t="inlineStr">
        <is>
          <t>Returning</t>
        </is>
      </c>
      <c r="H599" s="3" t="n">
        <v>2</v>
      </c>
      <c r="I599" s="8" t="n">
        <v>300</v>
      </c>
      <c r="J599" s="8" t="n">
        <v>180.95</v>
      </c>
      <c r="K599" s="9" t="n">
        <v>0</v>
      </c>
      <c r="L599" s="8" t="n">
        <v>9</v>
      </c>
      <c r="M599" s="8">
        <f>H599*I599*(1-K599)</f>
        <v/>
      </c>
      <c r="N599" s="8">
        <f>H599*J599</f>
        <v/>
      </c>
      <c r="O599" s="8">
        <f>M599-N599-L599</f>
        <v/>
      </c>
      <c r="P599" s="10">
        <f>IFERROR(O599/M599,0)</f>
        <v/>
      </c>
      <c r="Q599" s="3">
        <f>IF(H599&lt;=0,"Review: quantity &lt;= 0",IF(K599&gt;0.3,"Review: discount &gt; 30%",IF(G599="","Review: missing customer type","OK")))</f>
        <v/>
      </c>
    </row>
    <row r="600">
      <c r="A600" s="3" t="inlineStr">
        <is>
          <t>ORD-10599</t>
        </is>
      </c>
      <c r="B600" s="7" t="n">
        <v>45728</v>
      </c>
      <c r="C600" s="3" t="inlineStr">
        <is>
          <t>Clothing</t>
        </is>
      </c>
      <c r="D600" s="3" t="inlineStr">
        <is>
          <t>Dresses</t>
        </is>
      </c>
      <c r="E600" s="3" t="inlineStr">
        <is>
          <t>Greater Accra</t>
        </is>
      </c>
      <c r="F600" s="3" t="inlineStr">
        <is>
          <t>Online</t>
        </is>
      </c>
      <c r="G600" s="3" t="inlineStr">
        <is>
          <t>Returning</t>
        </is>
      </c>
      <c r="H600" s="3" t="n">
        <v>6</v>
      </c>
      <c r="I600" s="8" t="n">
        <v>140</v>
      </c>
      <c r="J600" s="8" t="n">
        <v>70.88</v>
      </c>
      <c r="K600" s="9" t="n">
        <v>0.2</v>
      </c>
      <c r="L600" s="8" t="n">
        <v>23.64</v>
      </c>
      <c r="M600" s="8">
        <f>H600*I600*(1-K600)</f>
        <v/>
      </c>
      <c r="N600" s="8">
        <f>H600*J600</f>
        <v/>
      </c>
      <c r="O600" s="8">
        <f>M600-N600-L600</f>
        <v/>
      </c>
      <c r="P600" s="10">
        <f>IFERROR(O600/M600,0)</f>
        <v/>
      </c>
      <c r="Q600" s="3">
        <f>IF(H600&lt;=0,"Review: quantity &lt;= 0",IF(K600&gt;0.3,"Review: discount &gt; 30%",IF(G600="","Review: missing customer type","OK")))</f>
        <v/>
      </c>
    </row>
    <row r="601">
      <c r="A601" s="3" t="inlineStr">
        <is>
          <t>ORD-10600</t>
        </is>
      </c>
      <c r="B601" s="7" t="n">
        <v>45707</v>
      </c>
      <c r="C601" s="3" t="inlineStr">
        <is>
          <t>Accessories</t>
        </is>
      </c>
      <c r="D601" s="3" t="inlineStr">
        <is>
          <t>Bags</t>
        </is>
      </c>
      <c r="E601" s="3" t="inlineStr">
        <is>
          <t>Greater Accra</t>
        </is>
      </c>
      <c r="F601" s="3" t="inlineStr">
        <is>
          <t>Phone/WhatsApp</t>
        </is>
      </c>
      <c r="G601" s="3" t="inlineStr">
        <is>
          <t>Returning</t>
        </is>
      </c>
      <c r="H601" s="3" t="n">
        <v>2</v>
      </c>
      <c r="I601" s="8" t="n">
        <v>120</v>
      </c>
      <c r="J601" s="8" t="n">
        <v>60.07</v>
      </c>
      <c r="K601" s="9" t="n">
        <v>0</v>
      </c>
      <c r="L601" s="8" t="n">
        <v>43.6</v>
      </c>
      <c r="M601" s="8">
        <f>H601*I601*(1-K601)</f>
        <v/>
      </c>
      <c r="N601" s="8">
        <f>H601*J601</f>
        <v/>
      </c>
      <c r="O601" s="8">
        <f>M601-N601-L601</f>
        <v/>
      </c>
      <c r="P601" s="10">
        <f>IFERROR(O601/M601,0)</f>
        <v/>
      </c>
      <c r="Q601" s="3">
        <f>IF(H601&lt;=0,"Review: quantity &lt;= 0",IF(K601&gt;0.3,"Review: discount &gt; 30%",IF(G601="","Review: missing customer type","OK")))</f>
        <v/>
      </c>
    </row>
    <row r="602">
      <c r="A602" s="3" t="inlineStr">
        <is>
          <t>ORD-10601</t>
        </is>
      </c>
      <c r="B602" s="7" t="n">
        <v>45708</v>
      </c>
      <c r="C602" s="3" t="inlineStr">
        <is>
          <t>Accessories</t>
        </is>
      </c>
      <c r="D602" s="3" t="inlineStr">
        <is>
          <t>Belts</t>
        </is>
      </c>
      <c r="E602" s="3" t="inlineStr">
        <is>
          <t>Western</t>
        </is>
      </c>
      <c r="F602" s="3" t="inlineStr">
        <is>
          <t>Retail Shop</t>
        </is>
      </c>
      <c r="G602" s="3" t="inlineStr">
        <is>
          <t>Returning</t>
        </is>
      </c>
      <c r="H602" s="3" t="n">
        <v>1</v>
      </c>
      <c r="I602" s="8" t="n">
        <v>110</v>
      </c>
      <c r="J602" s="8" t="n">
        <v>58.57</v>
      </c>
      <c r="K602" s="9" t="n">
        <v>0</v>
      </c>
      <c r="L602" s="8" t="n">
        <v>9.82</v>
      </c>
      <c r="M602" s="8">
        <f>H602*I602*(1-K602)</f>
        <v/>
      </c>
      <c r="N602" s="8">
        <f>H602*J602</f>
        <v/>
      </c>
      <c r="O602" s="8">
        <f>M602-N602-L602</f>
        <v/>
      </c>
      <c r="P602" s="10">
        <f>IFERROR(O602/M602,0)</f>
        <v/>
      </c>
      <c r="Q602" s="3">
        <f>IF(H602&lt;=0,"Review: quantity &lt;= 0",IF(K602&gt;0.3,"Review: discount &gt; 30%",IF(G602="","Review: missing customer type","OK")))</f>
        <v/>
      </c>
    </row>
    <row r="603">
      <c r="A603" s="3" t="inlineStr">
        <is>
          <t>ORD-10602</t>
        </is>
      </c>
      <c r="B603" s="7" t="n">
        <v>45770</v>
      </c>
      <c r="C603" s="3" t="inlineStr">
        <is>
          <t>Accessories</t>
        </is>
      </c>
      <c r="D603" s="3" t="inlineStr">
        <is>
          <t>Bags</t>
        </is>
      </c>
      <c r="E603" s="3" t="inlineStr">
        <is>
          <t>Western</t>
        </is>
      </c>
      <c r="F603" s="3" t="inlineStr">
        <is>
          <t>Retail Shop</t>
        </is>
      </c>
      <c r="G603" s="3" t="inlineStr">
        <is>
          <t>New</t>
        </is>
      </c>
      <c r="H603" s="3" t="n">
        <v>4</v>
      </c>
      <c r="I603" s="8" t="n">
        <v>90</v>
      </c>
      <c r="J603" s="8" t="n">
        <v>42.96</v>
      </c>
      <c r="K603" s="9" t="n">
        <v>0</v>
      </c>
      <c r="L603" s="8" t="n">
        <v>11.31</v>
      </c>
      <c r="M603" s="8">
        <f>H603*I603*(1-K603)</f>
        <v/>
      </c>
      <c r="N603" s="8">
        <f>H603*J603</f>
        <v/>
      </c>
      <c r="O603" s="8">
        <f>M603-N603-L603</f>
        <v/>
      </c>
      <c r="P603" s="10">
        <f>IFERROR(O603/M603,0)</f>
        <v/>
      </c>
      <c r="Q603" s="3">
        <f>IF(H603&lt;=0,"Review: quantity &lt;= 0",IF(K603&gt;0.3,"Review: discount &gt; 30%",IF(G603="","Review: missing customer type","OK")))</f>
        <v/>
      </c>
    </row>
    <row r="604">
      <c r="A604" s="3" t="inlineStr">
        <is>
          <t>ORD-10603</t>
        </is>
      </c>
      <c r="B604" s="7" t="n">
        <v>45664</v>
      </c>
      <c r="C604" s="3" t="inlineStr">
        <is>
          <t>Clothing</t>
        </is>
      </c>
      <c r="D604" s="3" t="inlineStr">
        <is>
          <t>Dresses</t>
        </is>
      </c>
      <c r="E604" s="3" t="inlineStr">
        <is>
          <t>Northern</t>
        </is>
      </c>
      <c r="F604" s="3" t="inlineStr">
        <is>
          <t>Online</t>
        </is>
      </c>
      <c r="G604" s="3" t="inlineStr">
        <is>
          <t>Returning</t>
        </is>
      </c>
      <c r="H604" s="3" t="n">
        <v>3</v>
      </c>
      <c r="I604" s="8" t="n">
        <v>125</v>
      </c>
      <c r="J604" s="8" t="n">
        <v>60.02</v>
      </c>
      <c r="K604" s="9" t="n">
        <v>0.1</v>
      </c>
      <c r="L604" s="8" t="n">
        <v>26.66</v>
      </c>
      <c r="M604" s="8">
        <f>H604*I604*(1-K604)</f>
        <v/>
      </c>
      <c r="N604" s="8">
        <f>H604*J604</f>
        <v/>
      </c>
      <c r="O604" s="8">
        <f>M604-N604-L604</f>
        <v/>
      </c>
      <c r="P604" s="10">
        <f>IFERROR(O604/M604,0)</f>
        <v/>
      </c>
      <c r="Q604" s="3">
        <f>IF(H604&lt;=0,"Review: quantity &lt;= 0",IF(K604&gt;0.3,"Review: discount &gt; 30%",IF(G604="","Review: missing customer type","OK")))</f>
        <v/>
      </c>
    </row>
    <row r="605">
      <c r="A605" s="3" t="inlineStr">
        <is>
          <t>ORD-10604</t>
        </is>
      </c>
      <c r="B605" s="7" t="n">
        <v>46006</v>
      </c>
      <c r="C605" s="3" t="inlineStr">
        <is>
          <t>Accessories</t>
        </is>
      </c>
      <c r="D605" s="3" t="inlineStr">
        <is>
          <t>Sunglasses</t>
        </is>
      </c>
      <c r="E605" s="3" t="inlineStr">
        <is>
          <t>Central</t>
        </is>
      </c>
      <c r="F605" s="3" t="inlineStr">
        <is>
          <t>Retail Shop</t>
        </is>
      </c>
      <c r="G605" s="3" t="inlineStr">
        <is>
          <t>Returning</t>
        </is>
      </c>
      <c r="H605" s="3" t="n">
        <v>2</v>
      </c>
      <c r="I605" s="8" t="n">
        <v>90</v>
      </c>
      <c r="J605" s="8" t="n">
        <v>39.07</v>
      </c>
      <c r="K605" s="9" t="n">
        <v>0.05</v>
      </c>
      <c r="L605" s="8" t="n">
        <v>5.89</v>
      </c>
      <c r="M605" s="8">
        <f>H605*I605*(1-K605)</f>
        <v/>
      </c>
      <c r="N605" s="8">
        <f>H605*J605</f>
        <v/>
      </c>
      <c r="O605" s="8">
        <f>M605-N605-L605</f>
        <v/>
      </c>
      <c r="P605" s="10">
        <f>IFERROR(O605/M605,0)</f>
        <v/>
      </c>
      <c r="Q605" s="3">
        <f>IF(H605&lt;=0,"Review: quantity &lt;= 0",IF(K605&gt;0.3,"Review: discount &gt; 30%",IF(G605="","Review: missing customer type","OK")))</f>
        <v/>
      </c>
    </row>
    <row r="606">
      <c r="A606" s="3" t="inlineStr">
        <is>
          <t>ORD-10605</t>
        </is>
      </c>
      <c r="B606" s="7" t="n">
        <v>45767</v>
      </c>
      <c r="C606" s="3" t="inlineStr">
        <is>
          <t>Footwear</t>
        </is>
      </c>
      <c r="D606" s="3" t="inlineStr">
        <is>
          <t>Sandals</t>
        </is>
      </c>
      <c r="E606" s="3" t="inlineStr">
        <is>
          <t>Ashanti</t>
        </is>
      </c>
      <c r="F606" s="3" t="inlineStr">
        <is>
          <t>Phone/WhatsApp</t>
        </is>
      </c>
      <c r="G606" s="3" t="inlineStr">
        <is>
          <t>Returning</t>
        </is>
      </c>
      <c r="H606" s="3" t="n">
        <v>4</v>
      </c>
      <c r="I606" s="8" t="n">
        <v>230</v>
      </c>
      <c r="J606" s="8" t="n">
        <v>116.75</v>
      </c>
      <c r="K606" s="9" t="n">
        <v>0</v>
      </c>
      <c r="L606" s="8" t="n">
        <v>13.97</v>
      </c>
      <c r="M606" s="8">
        <f>H606*I606*(1-K606)</f>
        <v/>
      </c>
      <c r="N606" s="8">
        <f>H606*J606</f>
        <v/>
      </c>
      <c r="O606" s="8">
        <f>M606-N606-L606</f>
        <v/>
      </c>
      <c r="P606" s="10">
        <f>IFERROR(O606/M606,0)</f>
        <v/>
      </c>
      <c r="Q606" s="3">
        <f>IF(H606&lt;=0,"Review: quantity &lt;= 0",IF(K606&gt;0.3,"Review: discount &gt; 30%",IF(G606="","Review: missing customer type","OK")))</f>
        <v/>
      </c>
    </row>
    <row r="607">
      <c r="A607" s="3" t="inlineStr">
        <is>
          <t>ORD-10606</t>
        </is>
      </c>
      <c r="B607" s="7" t="n">
        <v>45780</v>
      </c>
      <c r="C607" s="3" t="inlineStr">
        <is>
          <t>Clothing</t>
        </is>
      </c>
      <c r="D607" s="3" t="inlineStr">
        <is>
          <t>Trousers</t>
        </is>
      </c>
      <c r="E607" s="3" t="inlineStr">
        <is>
          <t>Ashanti</t>
        </is>
      </c>
      <c r="F607" s="3" t="inlineStr">
        <is>
          <t>Retail Shop</t>
        </is>
      </c>
      <c r="G607" s="3" t="inlineStr">
        <is>
          <t>Returning</t>
        </is>
      </c>
      <c r="H607" s="3" t="n">
        <v>2</v>
      </c>
      <c r="I607" s="8" t="n">
        <v>140</v>
      </c>
      <c r="J607" s="8" t="n">
        <v>75.79000000000001</v>
      </c>
      <c r="K607" s="9" t="n">
        <v>0.05</v>
      </c>
      <c r="L607" s="8" t="n">
        <v>2.69</v>
      </c>
      <c r="M607" s="8">
        <f>H607*I607*(1-K607)</f>
        <v/>
      </c>
      <c r="N607" s="8">
        <f>H607*J607</f>
        <v/>
      </c>
      <c r="O607" s="8">
        <f>M607-N607-L607</f>
        <v/>
      </c>
      <c r="P607" s="10">
        <f>IFERROR(O607/M607,0)</f>
        <v/>
      </c>
      <c r="Q607" s="3">
        <f>IF(H607&lt;=0,"Review: quantity &lt;= 0",IF(K607&gt;0.3,"Review: discount &gt; 30%",IF(G607="","Review: missing customer type","OK")))</f>
        <v/>
      </c>
    </row>
    <row r="608">
      <c r="A608" s="3" t="inlineStr">
        <is>
          <t>ORD-10607</t>
        </is>
      </c>
      <c r="B608" s="7" t="n">
        <v>45978</v>
      </c>
      <c r="C608" s="3" t="inlineStr">
        <is>
          <t>Clothing</t>
        </is>
      </c>
      <c r="D608" s="3" t="inlineStr">
        <is>
          <t>Shirts</t>
        </is>
      </c>
      <c r="E608" s="3" t="inlineStr">
        <is>
          <t>Central</t>
        </is>
      </c>
      <c r="F608" s="3" t="inlineStr">
        <is>
          <t>Retail Shop</t>
        </is>
      </c>
      <c r="G608" s="3" t="inlineStr">
        <is>
          <t>Returning</t>
        </is>
      </c>
      <c r="H608" s="3" t="n">
        <v>1</v>
      </c>
      <c r="I608" s="8" t="n">
        <v>255</v>
      </c>
      <c r="J608" s="8" t="n">
        <v>119.33</v>
      </c>
      <c r="K608" s="9" t="n">
        <v>0.1</v>
      </c>
      <c r="L608" s="8" t="n">
        <v>11.86</v>
      </c>
      <c r="M608" s="8">
        <f>H608*I608*(1-K608)</f>
        <v/>
      </c>
      <c r="N608" s="8">
        <f>H608*J608</f>
        <v/>
      </c>
      <c r="O608" s="8">
        <f>M608-N608-L608</f>
        <v/>
      </c>
      <c r="P608" s="10">
        <f>IFERROR(O608/M608,0)</f>
        <v/>
      </c>
      <c r="Q608" s="3">
        <f>IF(H608&lt;=0,"Review: quantity &lt;= 0",IF(K608&gt;0.3,"Review: discount &gt; 30%",IF(G608="","Review: missing customer type","OK")))</f>
        <v/>
      </c>
    </row>
    <row r="609">
      <c r="A609" s="3" t="inlineStr">
        <is>
          <t>ORD-10608</t>
        </is>
      </c>
      <c r="B609" s="7" t="n">
        <v>45780</v>
      </c>
      <c r="C609" s="3" t="inlineStr">
        <is>
          <t>Accessories</t>
        </is>
      </c>
      <c r="D609" s="3" t="inlineStr">
        <is>
          <t>Sunglasses</t>
        </is>
      </c>
      <c r="E609" s="3" t="inlineStr">
        <is>
          <t>Central</t>
        </is>
      </c>
      <c r="F609" s="3" t="inlineStr">
        <is>
          <t>Online</t>
        </is>
      </c>
      <c r="G609" s="3" t="inlineStr">
        <is>
          <t>New</t>
        </is>
      </c>
      <c r="H609" s="3" t="n">
        <v>1</v>
      </c>
      <c r="I609" s="8" t="n">
        <v>80</v>
      </c>
      <c r="J609" s="8" t="n">
        <v>42.94</v>
      </c>
      <c r="K609" s="9" t="n">
        <v>0.05</v>
      </c>
      <c r="L609" s="8" t="n">
        <v>21.87</v>
      </c>
      <c r="M609" s="8">
        <f>H609*I609*(1-K609)</f>
        <v/>
      </c>
      <c r="N609" s="8">
        <f>H609*J609</f>
        <v/>
      </c>
      <c r="O609" s="8">
        <f>M609-N609-L609</f>
        <v/>
      </c>
      <c r="P609" s="10">
        <f>IFERROR(O609/M609,0)</f>
        <v/>
      </c>
      <c r="Q609" s="3">
        <f>IF(H609&lt;=0,"Review: quantity &lt;= 0",IF(K609&gt;0.3,"Review: discount &gt; 30%",IF(G609="","Review: missing customer type","OK")))</f>
        <v/>
      </c>
    </row>
    <row r="610">
      <c r="A610" s="3" t="inlineStr">
        <is>
          <t>ORD-10609</t>
        </is>
      </c>
      <c r="B610" s="7" t="n">
        <v>45814</v>
      </c>
      <c r="C610" s="3" t="inlineStr">
        <is>
          <t>Footwear</t>
        </is>
      </c>
      <c r="D610" s="3" t="inlineStr">
        <is>
          <t>Boots</t>
        </is>
      </c>
      <c r="E610" s="3" t="inlineStr">
        <is>
          <t>Greater Accra</t>
        </is>
      </c>
      <c r="F610" s="3" t="inlineStr">
        <is>
          <t>Online</t>
        </is>
      </c>
      <c r="G610" s="3" t="inlineStr">
        <is>
          <t>Returning</t>
        </is>
      </c>
      <c r="H610" s="3" t="n">
        <v>8</v>
      </c>
      <c r="I610" s="8" t="n">
        <v>260</v>
      </c>
      <c r="J610" s="8" t="n">
        <v>161.96</v>
      </c>
      <c r="K610" s="9" t="n">
        <v>0.15</v>
      </c>
      <c r="L610" s="8" t="n">
        <v>13.63</v>
      </c>
      <c r="M610" s="8">
        <f>H610*I610*(1-K610)</f>
        <v/>
      </c>
      <c r="N610" s="8">
        <f>H610*J610</f>
        <v/>
      </c>
      <c r="O610" s="8">
        <f>M610-N610-L610</f>
        <v/>
      </c>
      <c r="P610" s="10">
        <f>IFERROR(O610/M610,0)</f>
        <v/>
      </c>
      <c r="Q610" s="3">
        <f>IF(H610&lt;=0,"Review: quantity &lt;= 0",IF(K610&gt;0.3,"Review: discount &gt; 30%",IF(G610="","Review: missing customer type","OK")))</f>
        <v/>
      </c>
    </row>
    <row r="611">
      <c r="A611" s="3" t="inlineStr">
        <is>
          <t>ORD-10610</t>
        </is>
      </c>
      <c r="B611" s="7" t="n">
        <v>46012</v>
      </c>
      <c r="C611" s="3" t="inlineStr">
        <is>
          <t>Accessories</t>
        </is>
      </c>
      <c r="D611" s="3" t="inlineStr">
        <is>
          <t>Belts</t>
        </is>
      </c>
      <c r="E611" s="3" t="inlineStr">
        <is>
          <t>Greater Accra</t>
        </is>
      </c>
      <c r="F611" s="3" t="inlineStr">
        <is>
          <t>Retail Shop</t>
        </is>
      </c>
      <c r="G611" s="3" t="inlineStr">
        <is>
          <t>Returning</t>
        </is>
      </c>
      <c r="H611" s="3" t="n">
        <v>2</v>
      </c>
      <c r="I611" s="8" t="n">
        <v>90</v>
      </c>
      <c r="J611" s="8" t="n">
        <v>42.69</v>
      </c>
      <c r="K611" s="9" t="n">
        <v>0.05</v>
      </c>
      <c r="L611" s="8" t="n">
        <v>9.710000000000001</v>
      </c>
      <c r="M611" s="8">
        <f>H611*I611*(1-K611)</f>
        <v/>
      </c>
      <c r="N611" s="8">
        <f>H611*J611</f>
        <v/>
      </c>
      <c r="O611" s="8">
        <f>M611-N611-L611</f>
        <v/>
      </c>
      <c r="P611" s="10">
        <f>IFERROR(O611/M611,0)</f>
        <v/>
      </c>
      <c r="Q611" s="3">
        <f>IF(H611&lt;=0,"Review: quantity &lt;= 0",IF(K611&gt;0.3,"Review: discount &gt; 30%",IF(G611="","Review: missing customer type","OK")))</f>
        <v/>
      </c>
    </row>
    <row r="612">
      <c r="A612" s="3" t="inlineStr">
        <is>
          <t>ORD-10611</t>
        </is>
      </c>
      <c r="B612" s="7" t="n">
        <v>45697</v>
      </c>
      <c r="C612" s="3" t="inlineStr">
        <is>
          <t>Accessories</t>
        </is>
      </c>
      <c r="D612" s="3" t="inlineStr">
        <is>
          <t>Watches</t>
        </is>
      </c>
      <c r="E612" s="3" t="inlineStr">
        <is>
          <t>Greater Accra</t>
        </is>
      </c>
      <c r="F612" s="3" t="inlineStr">
        <is>
          <t>Retail Shop</t>
        </is>
      </c>
      <c r="G612" s="3" t="inlineStr">
        <is>
          <t>New</t>
        </is>
      </c>
      <c r="H612" s="3" t="n">
        <v>4</v>
      </c>
      <c r="I612" s="8" t="n">
        <v>60</v>
      </c>
      <c r="J612" s="8" t="n">
        <v>32.25</v>
      </c>
      <c r="K612" s="9" t="n">
        <v>0.05</v>
      </c>
      <c r="L612" s="8" t="n">
        <v>7.85</v>
      </c>
      <c r="M612" s="8">
        <f>H612*I612*(1-K612)</f>
        <v/>
      </c>
      <c r="N612" s="8">
        <f>H612*J612</f>
        <v/>
      </c>
      <c r="O612" s="8">
        <f>M612-N612-L612</f>
        <v/>
      </c>
      <c r="P612" s="10">
        <f>IFERROR(O612/M612,0)</f>
        <v/>
      </c>
      <c r="Q612" s="3">
        <f>IF(H612&lt;=0,"Review: quantity &lt;= 0",IF(K612&gt;0.3,"Review: discount &gt; 30%",IF(G612="","Review: missing customer type","OK")))</f>
        <v/>
      </c>
    </row>
    <row r="613">
      <c r="A613" s="3" t="inlineStr">
        <is>
          <t>ORD-10612</t>
        </is>
      </c>
      <c r="B613" s="7" t="n">
        <v>45738</v>
      </c>
      <c r="C613" s="3" t="inlineStr">
        <is>
          <t>Accessories</t>
        </is>
      </c>
      <c r="D613" s="3" t="inlineStr">
        <is>
          <t>Bags</t>
        </is>
      </c>
      <c r="E613" s="3" t="inlineStr">
        <is>
          <t>Central</t>
        </is>
      </c>
      <c r="F613" s="3" t="inlineStr">
        <is>
          <t>Online</t>
        </is>
      </c>
      <c r="G613" s="3" t="inlineStr">
        <is>
          <t>New</t>
        </is>
      </c>
      <c r="H613" s="3" t="n">
        <v>1</v>
      </c>
      <c r="I613" s="8" t="n">
        <v>95</v>
      </c>
      <c r="J613" s="8" t="n">
        <v>47.66</v>
      </c>
      <c r="K613" s="9" t="n">
        <v>0.05</v>
      </c>
      <c r="L613" s="8" t="n">
        <v>10.73</v>
      </c>
      <c r="M613" s="8">
        <f>H613*I613*(1-K613)</f>
        <v/>
      </c>
      <c r="N613" s="8">
        <f>H613*J613</f>
        <v/>
      </c>
      <c r="O613" s="8">
        <f>M613-N613-L613</f>
        <v/>
      </c>
      <c r="P613" s="10">
        <f>IFERROR(O613/M613,0)</f>
        <v/>
      </c>
      <c r="Q613" s="3">
        <f>IF(H613&lt;=0,"Review: quantity &lt;= 0",IF(K613&gt;0.3,"Review: discount &gt; 30%",IF(G613="","Review: missing customer type","OK")))</f>
        <v/>
      </c>
    </row>
    <row r="614">
      <c r="A614" s="3" t="inlineStr">
        <is>
          <t>ORD-10613</t>
        </is>
      </c>
      <c r="B614" s="7" t="n">
        <v>45962</v>
      </c>
      <c r="C614" s="3" t="inlineStr">
        <is>
          <t>Clothing</t>
        </is>
      </c>
      <c r="D614" s="3" t="inlineStr">
        <is>
          <t>Trousers</t>
        </is>
      </c>
      <c r="E614" s="3" t="inlineStr">
        <is>
          <t>Ashanti</t>
        </is>
      </c>
      <c r="F614" s="3" t="inlineStr">
        <is>
          <t>Retail Shop</t>
        </is>
      </c>
      <c r="G614" s="3" t="inlineStr">
        <is>
          <t>Returning</t>
        </is>
      </c>
      <c r="H614" s="3" t="n">
        <v>1</v>
      </c>
      <c r="I614" s="8" t="n">
        <v>220</v>
      </c>
      <c r="J614" s="8" t="n">
        <v>121.23</v>
      </c>
      <c r="K614" s="9" t="n">
        <v>0.1</v>
      </c>
      <c r="L614" s="8" t="n">
        <v>7.29</v>
      </c>
      <c r="M614" s="8">
        <f>H614*I614*(1-K614)</f>
        <v/>
      </c>
      <c r="N614" s="8">
        <f>H614*J614</f>
        <v/>
      </c>
      <c r="O614" s="8">
        <f>M614-N614-L614</f>
        <v/>
      </c>
      <c r="P614" s="10">
        <f>IFERROR(O614/M614,0)</f>
        <v/>
      </c>
      <c r="Q614" s="3">
        <f>IF(H614&lt;=0,"Review: quantity &lt;= 0",IF(K614&gt;0.3,"Review: discount &gt; 30%",IF(G614="","Review: missing customer type","OK")))</f>
        <v/>
      </c>
    </row>
    <row r="615">
      <c r="A615" s="3" t="inlineStr">
        <is>
          <t>ORD-10614</t>
        </is>
      </c>
      <c r="B615" s="7" t="n">
        <v>45751</v>
      </c>
      <c r="C615" s="3" t="inlineStr">
        <is>
          <t>Footwear</t>
        </is>
      </c>
      <c r="D615" s="3" t="inlineStr">
        <is>
          <t>Sandals</t>
        </is>
      </c>
      <c r="E615" s="3" t="inlineStr">
        <is>
          <t>Western</t>
        </is>
      </c>
      <c r="F615" s="3" t="inlineStr">
        <is>
          <t>Online</t>
        </is>
      </c>
      <c r="G615" s="3" t="inlineStr">
        <is>
          <t>Returning</t>
        </is>
      </c>
      <c r="H615" s="3" t="n">
        <v>6</v>
      </c>
      <c r="I615" s="8" t="n">
        <v>185</v>
      </c>
      <c r="J615" s="8" t="n">
        <v>112.58</v>
      </c>
      <c r="K615" s="9" t="n">
        <v>0.05</v>
      </c>
      <c r="L615" s="8" t="n">
        <v>8.119999999999999</v>
      </c>
      <c r="M615" s="8">
        <f>H615*I615*(1-K615)</f>
        <v/>
      </c>
      <c r="N615" s="8">
        <f>H615*J615</f>
        <v/>
      </c>
      <c r="O615" s="8">
        <f>M615-N615-L615</f>
        <v/>
      </c>
      <c r="P615" s="10">
        <f>IFERROR(O615/M615,0)</f>
        <v/>
      </c>
      <c r="Q615" s="3">
        <f>IF(H615&lt;=0,"Review: quantity &lt;= 0",IF(K615&gt;0.3,"Review: discount &gt; 30%",IF(G615="","Review: missing customer type","OK")))</f>
        <v/>
      </c>
    </row>
    <row r="616">
      <c r="A616" s="3" t="inlineStr">
        <is>
          <t>ORD-10615</t>
        </is>
      </c>
      <c r="B616" s="7" t="n">
        <v>45927</v>
      </c>
      <c r="C616" s="3" t="inlineStr">
        <is>
          <t>Footwear</t>
        </is>
      </c>
      <c r="D616" s="3" t="inlineStr">
        <is>
          <t>Sandals</t>
        </is>
      </c>
      <c r="E616" s="3" t="inlineStr">
        <is>
          <t>Central</t>
        </is>
      </c>
      <c r="F616" s="3" t="inlineStr">
        <is>
          <t>Retail Shop</t>
        </is>
      </c>
      <c r="G616" s="3" t="inlineStr">
        <is>
          <t>Returning</t>
        </is>
      </c>
      <c r="H616" s="3" t="n">
        <v>4</v>
      </c>
      <c r="I616" s="8" t="n">
        <v>350</v>
      </c>
      <c r="J616" s="8" t="n">
        <v>188.54</v>
      </c>
      <c r="K616" s="9" t="n">
        <v>0.1</v>
      </c>
      <c r="L616" s="8" t="n">
        <v>9.68</v>
      </c>
      <c r="M616" s="8">
        <f>H616*I616*(1-K616)</f>
        <v/>
      </c>
      <c r="N616" s="8">
        <f>H616*J616</f>
        <v/>
      </c>
      <c r="O616" s="8">
        <f>M616-N616-L616</f>
        <v/>
      </c>
      <c r="P616" s="10">
        <f>IFERROR(O616/M616,0)</f>
        <v/>
      </c>
      <c r="Q616" s="3">
        <f>IF(H616&lt;=0,"Review: quantity &lt;= 0",IF(K616&gt;0.3,"Review: discount &gt; 30%",IF(G616="","Review: missing customer type","OK")))</f>
        <v/>
      </c>
    </row>
    <row r="617">
      <c r="A617" s="3" t="inlineStr">
        <is>
          <t>ORD-10616</t>
        </is>
      </c>
      <c r="B617" s="7" t="n">
        <v>45943</v>
      </c>
      <c r="C617" s="3" t="inlineStr">
        <is>
          <t>Accessories</t>
        </is>
      </c>
      <c r="D617" s="3" t="inlineStr">
        <is>
          <t>Bags</t>
        </is>
      </c>
      <c r="E617" s="3" t="inlineStr">
        <is>
          <t>Greater Accra</t>
        </is>
      </c>
      <c r="F617" s="3" t="inlineStr">
        <is>
          <t>Online</t>
        </is>
      </c>
      <c r="G617" s="3" t="inlineStr">
        <is>
          <t>Returning</t>
        </is>
      </c>
      <c r="H617" s="3" t="n">
        <v>4</v>
      </c>
      <c r="I617" s="8" t="n">
        <v>60</v>
      </c>
      <c r="J617" s="8" t="n">
        <v>27.01</v>
      </c>
      <c r="K617" s="9" t="n">
        <v>0</v>
      </c>
      <c r="L617" s="8" t="n">
        <v>43.14</v>
      </c>
      <c r="M617" s="8">
        <f>H617*I617*(1-K617)</f>
        <v/>
      </c>
      <c r="N617" s="8">
        <f>H617*J617</f>
        <v/>
      </c>
      <c r="O617" s="8">
        <f>M617-N617-L617</f>
        <v/>
      </c>
      <c r="P617" s="10">
        <f>IFERROR(O617/M617,0)</f>
        <v/>
      </c>
      <c r="Q617" s="3">
        <f>IF(H617&lt;=0,"Review: quantity &lt;= 0",IF(K617&gt;0.3,"Review: discount &gt; 30%",IF(G617="","Review: missing customer type","OK")))</f>
        <v/>
      </c>
    </row>
    <row r="618">
      <c r="A618" s="3" t="inlineStr">
        <is>
          <t>ORD-10617</t>
        </is>
      </c>
      <c r="B618" s="7" t="n">
        <v>45779</v>
      </c>
      <c r="C618" s="3" t="inlineStr">
        <is>
          <t>Clothing</t>
        </is>
      </c>
      <c r="D618" s="3" t="inlineStr">
        <is>
          <t>Shirts</t>
        </is>
      </c>
      <c r="E618" s="3" t="inlineStr">
        <is>
          <t>Greater Accra</t>
        </is>
      </c>
      <c r="F618" s="3" t="inlineStr">
        <is>
          <t>Retail Shop</t>
        </is>
      </c>
      <c r="G618" s="3" t="inlineStr">
        <is>
          <t>Returning</t>
        </is>
      </c>
      <c r="H618" s="3" t="n">
        <v>2</v>
      </c>
      <c r="I618" s="8" t="n">
        <v>105</v>
      </c>
      <c r="J618" s="8" t="n">
        <v>57.31</v>
      </c>
      <c r="K618" s="9" t="n">
        <v>0.2</v>
      </c>
      <c r="L618" s="8" t="n">
        <v>10.41</v>
      </c>
      <c r="M618" s="8">
        <f>H618*I618*(1-K618)</f>
        <v/>
      </c>
      <c r="N618" s="8">
        <f>H618*J618</f>
        <v/>
      </c>
      <c r="O618" s="8">
        <f>M618-N618-L618</f>
        <v/>
      </c>
      <c r="P618" s="10">
        <f>IFERROR(O618/M618,0)</f>
        <v/>
      </c>
      <c r="Q618" s="3">
        <f>IF(H618&lt;=0,"Review: quantity &lt;= 0",IF(K618&gt;0.3,"Review: discount &gt; 30%",IF(G618="","Review: missing customer type","OK")))</f>
        <v/>
      </c>
    </row>
    <row r="619">
      <c r="A619" s="3" t="inlineStr">
        <is>
          <t>ORD-10618</t>
        </is>
      </c>
      <c r="B619" s="7" t="n">
        <v>45806</v>
      </c>
      <c r="C619" s="3" t="inlineStr">
        <is>
          <t>Footwear</t>
        </is>
      </c>
      <c r="D619" s="3" t="inlineStr">
        <is>
          <t>Sandals</t>
        </is>
      </c>
      <c r="E619" s="3" t="inlineStr">
        <is>
          <t>Western</t>
        </is>
      </c>
      <c r="F619" s="3" t="inlineStr">
        <is>
          <t>Online</t>
        </is>
      </c>
      <c r="G619" s="3" t="inlineStr">
        <is>
          <t>Returning</t>
        </is>
      </c>
      <c r="H619" s="3" t="n">
        <v>3</v>
      </c>
      <c r="I619" s="8" t="n">
        <v>300</v>
      </c>
      <c r="J619" s="8" t="n">
        <v>189.92</v>
      </c>
      <c r="K619" s="9" t="n">
        <v>0.05</v>
      </c>
      <c r="L619" s="8" t="n">
        <v>33.22</v>
      </c>
      <c r="M619" s="8">
        <f>H619*I619*(1-K619)</f>
        <v/>
      </c>
      <c r="N619" s="8">
        <f>H619*J619</f>
        <v/>
      </c>
      <c r="O619" s="8">
        <f>M619-N619-L619</f>
        <v/>
      </c>
      <c r="P619" s="10">
        <f>IFERROR(O619/M619,0)</f>
        <v/>
      </c>
      <c r="Q619" s="3">
        <f>IF(H619&lt;=0,"Review: quantity &lt;= 0",IF(K619&gt;0.3,"Review: discount &gt; 30%",IF(G619="","Review: missing customer type","OK")))</f>
        <v/>
      </c>
    </row>
    <row r="620">
      <c r="A620" s="3" t="inlineStr">
        <is>
          <t>ORD-10619</t>
        </is>
      </c>
      <c r="B620" s="7" t="n">
        <v>45914</v>
      </c>
      <c r="C620" s="3" t="inlineStr">
        <is>
          <t>Accessories</t>
        </is>
      </c>
      <c r="D620" s="3" t="inlineStr">
        <is>
          <t>Bags</t>
        </is>
      </c>
      <c r="E620" s="3" t="inlineStr">
        <is>
          <t>Greater Accra</t>
        </is>
      </c>
      <c r="F620" s="3" t="inlineStr">
        <is>
          <t>Retail Shop</t>
        </is>
      </c>
      <c r="G620" s="3" t="inlineStr">
        <is>
          <t>Returning</t>
        </is>
      </c>
      <c r="H620" s="3" t="n">
        <v>10</v>
      </c>
      <c r="I620" s="8" t="n">
        <v>75</v>
      </c>
      <c r="J620" s="8" t="n">
        <v>36.19</v>
      </c>
      <c r="K620" s="9" t="n">
        <v>0</v>
      </c>
      <c r="L620" s="8" t="n">
        <v>2.02</v>
      </c>
      <c r="M620" s="8">
        <f>H620*I620*(1-K620)</f>
        <v/>
      </c>
      <c r="N620" s="8">
        <f>H620*J620</f>
        <v/>
      </c>
      <c r="O620" s="8">
        <f>M620-N620-L620</f>
        <v/>
      </c>
      <c r="P620" s="10">
        <f>IFERROR(O620/M620,0)</f>
        <v/>
      </c>
      <c r="Q620" s="3">
        <f>IF(H620&lt;=0,"Review: quantity &lt;= 0",IF(K620&gt;0.3,"Review: discount &gt; 30%",IF(G620="","Review: missing customer type","OK")))</f>
        <v/>
      </c>
    </row>
    <row r="621">
      <c r="A621" s="3" t="inlineStr">
        <is>
          <t>ORD-10620</t>
        </is>
      </c>
      <c r="B621" s="7" t="n">
        <v>45947</v>
      </c>
      <c r="C621" s="3" t="inlineStr">
        <is>
          <t>Accessories</t>
        </is>
      </c>
      <c r="D621" s="3" t="inlineStr">
        <is>
          <t>Sunglasses</t>
        </is>
      </c>
      <c r="E621" s="3" t="inlineStr">
        <is>
          <t>Greater Accra</t>
        </is>
      </c>
      <c r="F621" s="3" t="inlineStr">
        <is>
          <t>Retail Shop</t>
        </is>
      </c>
      <c r="G621" s="3" t="inlineStr">
        <is>
          <t>Returning</t>
        </is>
      </c>
      <c r="H621" s="3" t="n">
        <v>1</v>
      </c>
      <c r="I621" s="8" t="n">
        <v>110</v>
      </c>
      <c r="J621" s="8" t="n">
        <v>51.68</v>
      </c>
      <c r="K621" s="9" t="n">
        <v>0.05</v>
      </c>
      <c r="L621" s="8" t="n">
        <v>2.71</v>
      </c>
      <c r="M621" s="8">
        <f>H621*I621*(1-K621)</f>
        <v/>
      </c>
      <c r="N621" s="8">
        <f>H621*J621</f>
        <v/>
      </c>
      <c r="O621" s="8">
        <f>M621-N621-L621</f>
        <v/>
      </c>
      <c r="P621" s="10">
        <f>IFERROR(O621/M621,0)</f>
        <v/>
      </c>
      <c r="Q621" s="3">
        <f>IF(H621&lt;=0,"Review: quantity &lt;= 0",IF(K621&gt;0.3,"Review: discount &gt; 30%",IF(G621="","Review: missing customer type","OK")))</f>
        <v/>
      </c>
    </row>
    <row r="622">
      <c r="A622" s="3" t="inlineStr">
        <is>
          <t>ORD-10621</t>
        </is>
      </c>
      <c r="B622" s="7" t="n">
        <v>45948</v>
      </c>
      <c r="C622" s="3" t="inlineStr">
        <is>
          <t>Clothing</t>
        </is>
      </c>
      <c r="D622" s="3" t="inlineStr">
        <is>
          <t>Jackets</t>
        </is>
      </c>
      <c r="E622" s="3" t="inlineStr">
        <is>
          <t>Ashanti</t>
        </is>
      </c>
      <c r="F622" s="3" t="inlineStr">
        <is>
          <t>Online</t>
        </is>
      </c>
      <c r="G622" s="3" t="inlineStr">
        <is>
          <t>New</t>
        </is>
      </c>
      <c r="H622" s="3" t="n">
        <v>2</v>
      </c>
      <c r="I622" s="8" t="n">
        <v>165</v>
      </c>
      <c r="J622" s="8" t="n">
        <v>92.86</v>
      </c>
      <c r="K622" s="9" t="n">
        <v>0</v>
      </c>
      <c r="L622" s="8" t="n">
        <v>21.58</v>
      </c>
      <c r="M622" s="8">
        <f>H622*I622*(1-K622)</f>
        <v/>
      </c>
      <c r="N622" s="8">
        <f>H622*J622</f>
        <v/>
      </c>
      <c r="O622" s="8">
        <f>M622-N622-L622</f>
        <v/>
      </c>
      <c r="P622" s="10">
        <f>IFERROR(O622/M622,0)</f>
        <v/>
      </c>
      <c r="Q622" s="3">
        <f>IF(H622&lt;=0,"Review: quantity &lt;= 0",IF(K622&gt;0.3,"Review: discount &gt; 30%",IF(G622="","Review: missing customer type","OK")))</f>
        <v/>
      </c>
    </row>
    <row r="623">
      <c r="A623" s="3" t="inlineStr">
        <is>
          <t>ORD-10622</t>
        </is>
      </c>
      <c r="B623" s="7" t="n">
        <v>45871</v>
      </c>
      <c r="C623" s="3" t="inlineStr">
        <is>
          <t>Footwear</t>
        </is>
      </c>
      <c r="D623" s="3" t="inlineStr">
        <is>
          <t>Sandals</t>
        </is>
      </c>
      <c r="E623" s="3" t="inlineStr">
        <is>
          <t>Greater Accra</t>
        </is>
      </c>
      <c r="F623" s="3" t="inlineStr">
        <is>
          <t>Online</t>
        </is>
      </c>
      <c r="G623" s="3" t="inlineStr">
        <is>
          <t>Returning</t>
        </is>
      </c>
      <c r="H623" s="3" t="n">
        <v>3</v>
      </c>
      <c r="I623" s="8" t="n">
        <v>180</v>
      </c>
      <c r="J623" s="8" t="n">
        <v>91.73</v>
      </c>
      <c r="K623" s="9" t="n">
        <v>0.1</v>
      </c>
      <c r="L623" s="8" t="n">
        <v>43.46</v>
      </c>
      <c r="M623" s="8">
        <f>H623*I623*(1-K623)</f>
        <v/>
      </c>
      <c r="N623" s="8">
        <f>H623*J623</f>
        <v/>
      </c>
      <c r="O623" s="8">
        <f>M623-N623-L623</f>
        <v/>
      </c>
      <c r="P623" s="10">
        <f>IFERROR(O623/M623,0)</f>
        <v/>
      </c>
      <c r="Q623" s="3">
        <f>IF(H623&lt;=0,"Review: quantity &lt;= 0",IF(K623&gt;0.3,"Review: discount &gt; 30%",IF(G623="","Review: missing customer type","OK")))</f>
        <v/>
      </c>
    </row>
    <row r="624">
      <c r="A624" s="3" t="inlineStr">
        <is>
          <t>ORD-10623</t>
        </is>
      </c>
      <c r="B624" s="7" t="n">
        <v>46003</v>
      </c>
      <c r="C624" s="3" t="inlineStr">
        <is>
          <t>Clothing</t>
        </is>
      </c>
      <c r="D624" s="3" t="inlineStr">
        <is>
          <t>Jackets</t>
        </is>
      </c>
      <c r="E624" s="3" t="inlineStr">
        <is>
          <t>Greater Accra</t>
        </is>
      </c>
      <c r="F624" s="3" t="inlineStr">
        <is>
          <t>Phone/WhatsApp</t>
        </is>
      </c>
      <c r="G624" s="3" t="inlineStr">
        <is>
          <t>Returning</t>
        </is>
      </c>
      <c r="H624" s="3" t="n">
        <v>4</v>
      </c>
      <c r="I624" s="8" t="n">
        <v>130</v>
      </c>
      <c r="J624" s="8" t="n">
        <v>65.16</v>
      </c>
      <c r="K624" s="9" t="n">
        <v>0.05</v>
      </c>
      <c r="L624" s="8" t="n">
        <v>30.93</v>
      </c>
      <c r="M624" s="8">
        <f>H624*I624*(1-K624)</f>
        <v/>
      </c>
      <c r="N624" s="8">
        <f>H624*J624</f>
        <v/>
      </c>
      <c r="O624" s="8">
        <f>M624-N624-L624</f>
        <v/>
      </c>
      <c r="P624" s="10">
        <f>IFERROR(O624/M624,0)</f>
        <v/>
      </c>
      <c r="Q624" s="3">
        <f>IF(H624&lt;=0,"Review: quantity &lt;= 0",IF(K624&gt;0.3,"Review: discount &gt; 30%",IF(G624="","Review: missing customer type","OK")))</f>
        <v/>
      </c>
    </row>
    <row r="625">
      <c r="A625" s="3" t="inlineStr">
        <is>
          <t>ORD-10624</t>
        </is>
      </c>
      <c r="B625" s="7" t="n">
        <v>45881</v>
      </c>
      <c r="C625" s="3" t="inlineStr">
        <is>
          <t>Footwear</t>
        </is>
      </c>
      <c r="D625" s="3" t="inlineStr">
        <is>
          <t>Sandals</t>
        </is>
      </c>
      <c r="E625" s="3" t="inlineStr">
        <is>
          <t>Northern</t>
        </is>
      </c>
      <c r="F625" s="3" t="inlineStr">
        <is>
          <t>Online</t>
        </is>
      </c>
      <c r="G625" s="3" t="inlineStr">
        <is>
          <t>New</t>
        </is>
      </c>
      <c r="H625" s="3" t="n">
        <v>2</v>
      </c>
      <c r="I625" s="8" t="n">
        <v>175</v>
      </c>
      <c r="J625" s="8" t="n">
        <v>88.04000000000001</v>
      </c>
      <c r="K625" s="9" t="n">
        <v>0</v>
      </c>
      <c r="L625" s="8" t="n">
        <v>34.74</v>
      </c>
      <c r="M625" s="8">
        <f>H625*I625*(1-K625)</f>
        <v/>
      </c>
      <c r="N625" s="8">
        <f>H625*J625</f>
        <v/>
      </c>
      <c r="O625" s="8">
        <f>M625-N625-L625</f>
        <v/>
      </c>
      <c r="P625" s="10">
        <f>IFERROR(O625/M625,0)</f>
        <v/>
      </c>
      <c r="Q625" s="3">
        <f>IF(H625&lt;=0,"Review: quantity &lt;= 0",IF(K625&gt;0.3,"Review: discount &gt; 30%",IF(G625="","Review: missing customer type","OK")))</f>
        <v/>
      </c>
    </row>
    <row r="626">
      <c r="A626" s="3" t="inlineStr">
        <is>
          <t>ORD-10625</t>
        </is>
      </c>
      <c r="B626" s="7" t="n">
        <v>45663</v>
      </c>
      <c r="C626" s="3" t="inlineStr">
        <is>
          <t>Footwear</t>
        </is>
      </c>
      <c r="D626" s="3" t="inlineStr">
        <is>
          <t>Sneakers</t>
        </is>
      </c>
      <c r="E626" s="3" t="inlineStr">
        <is>
          <t>Western</t>
        </is>
      </c>
      <c r="F626" s="3" t="inlineStr">
        <is>
          <t>Retail Shop</t>
        </is>
      </c>
      <c r="G626" s="3" t="inlineStr">
        <is>
          <t>Returning</t>
        </is>
      </c>
      <c r="H626" s="3" t="n">
        <v>1</v>
      </c>
      <c r="I626" s="8" t="n">
        <v>130</v>
      </c>
      <c r="J626" s="8" t="n">
        <v>80.47</v>
      </c>
      <c r="K626" s="9" t="n">
        <v>0.05</v>
      </c>
      <c r="L626" s="8" t="n">
        <v>4.94</v>
      </c>
      <c r="M626" s="8">
        <f>H626*I626*(1-K626)</f>
        <v/>
      </c>
      <c r="N626" s="8">
        <f>H626*J626</f>
        <v/>
      </c>
      <c r="O626" s="8">
        <f>M626-N626-L626</f>
        <v/>
      </c>
      <c r="P626" s="10">
        <f>IFERROR(O626/M626,0)</f>
        <v/>
      </c>
      <c r="Q626" s="3">
        <f>IF(H626&lt;=0,"Review: quantity &lt;= 0",IF(K626&gt;0.3,"Review: discount &gt; 30%",IF(G626="","Review: missing customer type","OK")))</f>
        <v/>
      </c>
    </row>
    <row r="627">
      <c r="A627" s="3" t="inlineStr">
        <is>
          <t>ORD-10626</t>
        </is>
      </c>
      <c r="B627" s="7" t="n">
        <v>45977</v>
      </c>
      <c r="C627" s="3" t="inlineStr">
        <is>
          <t>Footwear</t>
        </is>
      </c>
      <c r="D627" s="3" t="inlineStr">
        <is>
          <t>Sneakers</t>
        </is>
      </c>
      <c r="E627" s="3" t="inlineStr">
        <is>
          <t>Western</t>
        </is>
      </c>
      <c r="F627" s="3" t="inlineStr">
        <is>
          <t>Retail Shop</t>
        </is>
      </c>
      <c r="G627" s="3" t="inlineStr">
        <is>
          <t>Returning</t>
        </is>
      </c>
      <c r="H627" s="3" t="n">
        <v>2</v>
      </c>
      <c r="I627" s="8" t="n">
        <v>270</v>
      </c>
      <c r="J627" s="8" t="n">
        <v>160.71</v>
      </c>
      <c r="K627" s="9" t="n">
        <v>0</v>
      </c>
      <c r="L627" s="8" t="n">
        <v>2.58</v>
      </c>
      <c r="M627" s="8">
        <f>H627*I627*(1-K627)</f>
        <v/>
      </c>
      <c r="N627" s="8">
        <f>H627*J627</f>
        <v/>
      </c>
      <c r="O627" s="8">
        <f>M627-N627-L627</f>
        <v/>
      </c>
      <c r="P627" s="10">
        <f>IFERROR(O627/M627,0)</f>
        <v/>
      </c>
      <c r="Q627" s="3">
        <f>IF(H627&lt;=0,"Review: quantity &lt;= 0",IF(K627&gt;0.3,"Review: discount &gt; 30%",IF(G627="","Review: missing customer type","OK")))</f>
        <v/>
      </c>
    </row>
    <row r="628">
      <c r="A628" s="3" t="inlineStr">
        <is>
          <t>ORD-10627</t>
        </is>
      </c>
      <c r="B628" s="7" t="n">
        <v>45954</v>
      </c>
      <c r="C628" s="3" t="inlineStr">
        <is>
          <t>Accessories</t>
        </is>
      </c>
      <c r="D628" s="3" t="inlineStr">
        <is>
          <t>Sunglasses</t>
        </is>
      </c>
      <c r="E628" s="3" t="inlineStr">
        <is>
          <t>Greater Accra</t>
        </is>
      </c>
      <c r="F628" s="3" t="inlineStr">
        <is>
          <t>Retail Shop</t>
        </is>
      </c>
      <c r="G628" s="3" t="inlineStr">
        <is>
          <t>Returning</t>
        </is>
      </c>
      <c r="H628" s="3" t="n">
        <v>1</v>
      </c>
      <c r="I628" s="8" t="n">
        <v>220</v>
      </c>
      <c r="J628" s="8" t="n">
        <v>111.23</v>
      </c>
      <c r="K628" s="9" t="n">
        <v>0</v>
      </c>
      <c r="L628" s="8" t="n">
        <v>3.76</v>
      </c>
      <c r="M628" s="8">
        <f>H628*I628*(1-K628)</f>
        <v/>
      </c>
      <c r="N628" s="8">
        <f>H628*J628</f>
        <v/>
      </c>
      <c r="O628" s="8">
        <f>M628-N628-L628</f>
        <v/>
      </c>
      <c r="P628" s="10">
        <f>IFERROR(O628/M628,0)</f>
        <v/>
      </c>
      <c r="Q628" s="3">
        <f>IF(H628&lt;=0,"Review: quantity &lt;= 0",IF(K628&gt;0.3,"Review: discount &gt; 30%",IF(G628="","Review: missing customer type","OK")))</f>
        <v/>
      </c>
    </row>
    <row r="629">
      <c r="A629" s="3" t="inlineStr">
        <is>
          <t>ORD-10628</t>
        </is>
      </c>
      <c r="B629" s="7" t="n">
        <v>45724</v>
      </c>
      <c r="C629" s="3" t="inlineStr">
        <is>
          <t>Clothing</t>
        </is>
      </c>
      <c r="D629" s="3" t="inlineStr">
        <is>
          <t>Dresses</t>
        </is>
      </c>
      <c r="E629" s="3" t="inlineStr">
        <is>
          <t>Ashanti</t>
        </is>
      </c>
      <c r="F629" s="3" t="inlineStr">
        <is>
          <t>Online</t>
        </is>
      </c>
      <c r="G629" s="3" t="inlineStr">
        <is>
          <t>New</t>
        </is>
      </c>
      <c r="H629" s="3" t="n">
        <v>3</v>
      </c>
      <c r="I629" s="8" t="n">
        <v>215</v>
      </c>
      <c r="J629" s="8" t="n">
        <v>106.66</v>
      </c>
      <c r="K629" s="9" t="n">
        <v>0</v>
      </c>
      <c r="L629" s="8" t="n">
        <v>35.36</v>
      </c>
      <c r="M629" s="8">
        <f>H629*I629*(1-K629)</f>
        <v/>
      </c>
      <c r="N629" s="8">
        <f>H629*J629</f>
        <v/>
      </c>
      <c r="O629" s="8">
        <f>M629-N629-L629</f>
        <v/>
      </c>
      <c r="P629" s="10">
        <f>IFERROR(O629/M629,0)</f>
        <v/>
      </c>
      <c r="Q629" s="3">
        <f>IF(H629&lt;=0,"Review: quantity &lt;= 0",IF(K629&gt;0.3,"Review: discount &gt; 30%",IF(G629="","Review: missing customer type","OK")))</f>
        <v/>
      </c>
    </row>
    <row r="630">
      <c r="A630" s="3" t="inlineStr">
        <is>
          <t>ORD-10629</t>
        </is>
      </c>
      <c r="B630" s="7" t="n">
        <v>45692</v>
      </c>
      <c r="C630" s="3" t="inlineStr">
        <is>
          <t>Footwear</t>
        </is>
      </c>
      <c r="D630" s="3" t="inlineStr">
        <is>
          <t>Sandals</t>
        </is>
      </c>
      <c r="E630" s="3" t="inlineStr">
        <is>
          <t>Greater Accra</t>
        </is>
      </c>
      <c r="F630" s="3" t="inlineStr">
        <is>
          <t>Retail Shop</t>
        </is>
      </c>
      <c r="G630" s="3" t="inlineStr">
        <is>
          <t>New</t>
        </is>
      </c>
      <c r="H630" s="3" t="n">
        <v>2</v>
      </c>
      <c r="I630" s="8" t="n">
        <v>240</v>
      </c>
      <c r="J630" s="8" t="n">
        <v>149.21</v>
      </c>
      <c r="K630" s="9" t="n">
        <v>0.1</v>
      </c>
      <c r="L630" s="8" t="n">
        <v>7.71</v>
      </c>
      <c r="M630" s="8">
        <f>H630*I630*(1-K630)</f>
        <v/>
      </c>
      <c r="N630" s="8">
        <f>H630*J630</f>
        <v/>
      </c>
      <c r="O630" s="8">
        <f>M630-N630-L630</f>
        <v/>
      </c>
      <c r="P630" s="10">
        <f>IFERROR(O630/M630,0)</f>
        <v/>
      </c>
      <c r="Q630" s="3">
        <f>IF(H630&lt;=0,"Review: quantity &lt;= 0",IF(K630&gt;0.3,"Review: discount &gt; 30%",IF(G630="","Review: missing customer type","OK")))</f>
        <v/>
      </c>
    </row>
    <row r="631">
      <c r="A631" s="3" t="inlineStr">
        <is>
          <t>ORD-10630</t>
        </is>
      </c>
      <c r="B631" s="7" t="n">
        <v>45888</v>
      </c>
      <c r="C631" s="3" t="inlineStr">
        <is>
          <t>Footwear</t>
        </is>
      </c>
      <c r="D631" s="3" t="inlineStr">
        <is>
          <t>Boots</t>
        </is>
      </c>
      <c r="E631" s="3" t="inlineStr">
        <is>
          <t>Central</t>
        </is>
      </c>
      <c r="F631" s="3" t="inlineStr">
        <is>
          <t>Retail Shop</t>
        </is>
      </c>
      <c r="G631" s="3" t="inlineStr">
        <is>
          <t>Returning</t>
        </is>
      </c>
      <c r="H631" s="3" t="n">
        <v>1</v>
      </c>
      <c r="I631" s="8" t="n">
        <v>240</v>
      </c>
      <c r="J631" s="8" t="n">
        <v>150.95</v>
      </c>
      <c r="K631" s="9" t="n">
        <v>0.05</v>
      </c>
      <c r="L631" s="8" t="n">
        <v>8.359999999999999</v>
      </c>
      <c r="M631" s="8">
        <f>H631*I631*(1-K631)</f>
        <v/>
      </c>
      <c r="N631" s="8">
        <f>H631*J631</f>
        <v/>
      </c>
      <c r="O631" s="8">
        <f>M631-N631-L631</f>
        <v/>
      </c>
      <c r="P631" s="10">
        <f>IFERROR(O631/M631,0)</f>
        <v/>
      </c>
      <c r="Q631" s="3">
        <f>IF(H631&lt;=0,"Review: quantity &lt;= 0",IF(K631&gt;0.3,"Review: discount &gt; 30%",IF(G631="","Review: missing customer type","OK")))</f>
        <v/>
      </c>
    </row>
    <row r="632">
      <c r="A632" s="3" t="inlineStr">
        <is>
          <t>ORD-10631</t>
        </is>
      </c>
      <c r="B632" s="7" t="n">
        <v>45665</v>
      </c>
      <c r="C632" s="3" t="inlineStr">
        <is>
          <t>Footwear</t>
        </is>
      </c>
      <c r="D632" s="3" t="inlineStr">
        <is>
          <t>Formal Shoes</t>
        </is>
      </c>
      <c r="E632" s="3" t="inlineStr">
        <is>
          <t>Greater Accra</t>
        </is>
      </c>
      <c r="F632" s="3" t="inlineStr">
        <is>
          <t>Online</t>
        </is>
      </c>
      <c r="G632" s="3" t="inlineStr">
        <is>
          <t>New</t>
        </is>
      </c>
      <c r="H632" s="3" t="n">
        <v>1</v>
      </c>
      <c r="I632" s="8" t="n">
        <v>470</v>
      </c>
      <c r="J632" s="8" t="n">
        <v>251.16</v>
      </c>
      <c r="K632" s="9" t="n">
        <v>0</v>
      </c>
      <c r="L632" s="8" t="n">
        <v>8.880000000000001</v>
      </c>
      <c r="M632" s="8">
        <f>H632*I632*(1-K632)</f>
        <v/>
      </c>
      <c r="N632" s="8">
        <f>H632*J632</f>
        <v/>
      </c>
      <c r="O632" s="8">
        <f>M632-N632-L632</f>
        <v/>
      </c>
      <c r="P632" s="10">
        <f>IFERROR(O632/M632,0)</f>
        <v/>
      </c>
      <c r="Q632" s="3">
        <f>IF(H632&lt;=0,"Review: quantity &lt;= 0",IF(K632&gt;0.3,"Review: discount &gt; 30%",IF(G632="","Review: missing customer type","OK")))</f>
        <v/>
      </c>
    </row>
    <row r="633">
      <c r="A633" s="3" t="inlineStr">
        <is>
          <t>ORD-10632</t>
        </is>
      </c>
      <c r="B633" s="7" t="n">
        <v>45667</v>
      </c>
      <c r="C633" s="3" t="inlineStr">
        <is>
          <t>Footwear</t>
        </is>
      </c>
      <c r="D633" s="3" t="inlineStr">
        <is>
          <t>Formal Shoes</t>
        </is>
      </c>
      <c r="E633" s="3" t="inlineStr">
        <is>
          <t>Greater Accra</t>
        </is>
      </c>
      <c r="F633" s="3" t="inlineStr">
        <is>
          <t>Retail Shop</t>
        </is>
      </c>
      <c r="G633" s="3" t="inlineStr">
        <is>
          <t>Returning</t>
        </is>
      </c>
      <c r="H633" s="3" t="n">
        <v>3</v>
      </c>
      <c r="I633" s="8" t="n">
        <v>250</v>
      </c>
      <c r="J633" s="8" t="n">
        <v>147.11</v>
      </c>
      <c r="K633" s="9" t="n">
        <v>0</v>
      </c>
      <c r="L633" s="8" t="n">
        <v>1.47</v>
      </c>
      <c r="M633" s="8">
        <f>H633*I633*(1-K633)</f>
        <v/>
      </c>
      <c r="N633" s="8">
        <f>H633*J633</f>
        <v/>
      </c>
      <c r="O633" s="8">
        <f>M633-N633-L633</f>
        <v/>
      </c>
      <c r="P633" s="10">
        <f>IFERROR(O633/M633,0)</f>
        <v/>
      </c>
      <c r="Q633" s="3">
        <f>IF(H633&lt;=0,"Review: quantity &lt;= 0",IF(K633&gt;0.3,"Review: discount &gt; 30%",IF(G633="","Review: missing customer type","OK")))</f>
        <v/>
      </c>
    </row>
    <row r="634">
      <c r="A634" s="3" t="inlineStr">
        <is>
          <t>ORD-10633</t>
        </is>
      </c>
      <c r="B634" s="7" t="n">
        <v>45808</v>
      </c>
      <c r="C634" s="3" t="inlineStr">
        <is>
          <t>Home &amp; Lifestyle</t>
        </is>
      </c>
      <c r="D634" s="3" t="inlineStr">
        <is>
          <t>Backpacks</t>
        </is>
      </c>
      <c r="E634" s="3" t="inlineStr">
        <is>
          <t>Western</t>
        </is>
      </c>
      <c r="F634" s="3" t="inlineStr">
        <is>
          <t>Phone/WhatsApp</t>
        </is>
      </c>
      <c r="G634" s="3" t="inlineStr">
        <is>
          <t>Returning</t>
        </is>
      </c>
      <c r="H634" s="3" t="n">
        <v>2</v>
      </c>
      <c r="I634" s="8" t="n">
        <v>120</v>
      </c>
      <c r="J634" s="8" t="n">
        <v>72.11</v>
      </c>
      <c r="K634" s="9" t="n">
        <v>0</v>
      </c>
      <c r="L634" s="8" t="n">
        <v>17.9</v>
      </c>
      <c r="M634" s="8">
        <f>H634*I634*(1-K634)</f>
        <v/>
      </c>
      <c r="N634" s="8">
        <f>H634*J634</f>
        <v/>
      </c>
      <c r="O634" s="8">
        <f>M634-N634-L634</f>
        <v/>
      </c>
      <c r="P634" s="10">
        <f>IFERROR(O634/M634,0)</f>
        <v/>
      </c>
      <c r="Q634" s="3">
        <f>IF(H634&lt;=0,"Review: quantity &lt;= 0",IF(K634&gt;0.3,"Review: discount &gt; 30%",IF(G634="","Review: missing customer type","OK")))</f>
        <v/>
      </c>
    </row>
    <row r="635">
      <c r="A635" s="3" t="inlineStr">
        <is>
          <t>ORD-10634</t>
        </is>
      </c>
      <c r="B635" s="7" t="n">
        <v>45674</v>
      </c>
      <c r="C635" s="3" t="inlineStr">
        <is>
          <t>Accessories</t>
        </is>
      </c>
      <c r="D635" s="3" t="inlineStr">
        <is>
          <t>Watches</t>
        </is>
      </c>
      <c r="E635" s="3" t="inlineStr">
        <is>
          <t>Greater Accra</t>
        </is>
      </c>
      <c r="F635" s="3" t="inlineStr">
        <is>
          <t>Phone/WhatsApp</t>
        </is>
      </c>
      <c r="G635" s="3" t="inlineStr">
        <is>
          <t>New</t>
        </is>
      </c>
      <c r="H635" s="3" t="n">
        <v>1</v>
      </c>
      <c r="I635" s="8" t="n">
        <v>160</v>
      </c>
      <c r="J635" s="8" t="n">
        <v>81.26000000000001</v>
      </c>
      <c r="K635" s="9" t="n">
        <v>0.05</v>
      </c>
      <c r="L635" s="8" t="n">
        <v>18.55</v>
      </c>
      <c r="M635" s="8">
        <f>H635*I635*(1-K635)</f>
        <v/>
      </c>
      <c r="N635" s="8">
        <f>H635*J635</f>
        <v/>
      </c>
      <c r="O635" s="8">
        <f>M635-N635-L635</f>
        <v/>
      </c>
      <c r="P635" s="10">
        <f>IFERROR(O635/M635,0)</f>
        <v/>
      </c>
      <c r="Q635" s="3">
        <f>IF(H635&lt;=0,"Review: quantity &lt;= 0",IF(K635&gt;0.3,"Review: discount &gt; 30%",IF(G635="","Review: missing customer type","OK")))</f>
        <v/>
      </c>
    </row>
    <row r="636">
      <c r="A636" s="3" t="inlineStr">
        <is>
          <t>ORD-10635</t>
        </is>
      </c>
      <c r="B636" s="7" t="n">
        <v>45667</v>
      </c>
      <c r="C636" s="3" t="inlineStr">
        <is>
          <t>Footwear</t>
        </is>
      </c>
      <c r="D636" s="3" t="inlineStr">
        <is>
          <t>Formal Shoes</t>
        </is>
      </c>
      <c r="E636" s="3" t="inlineStr">
        <is>
          <t>Greater Accra</t>
        </is>
      </c>
      <c r="F636" s="3" t="inlineStr">
        <is>
          <t>Retail Shop</t>
        </is>
      </c>
      <c r="G636" s="3" t="inlineStr">
        <is>
          <t>New</t>
        </is>
      </c>
      <c r="H636" s="3" t="n">
        <v>1</v>
      </c>
      <c r="I636" s="8" t="n">
        <v>340</v>
      </c>
      <c r="J636" s="8" t="n">
        <v>179.35</v>
      </c>
      <c r="K636" s="9" t="n">
        <v>0</v>
      </c>
      <c r="L636" s="8" t="n">
        <v>3.34</v>
      </c>
      <c r="M636" s="8">
        <f>H636*I636*(1-K636)</f>
        <v/>
      </c>
      <c r="N636" s="8">
        <f>H636*J636</f>
        <v/>
      </c>
      <c r="O636" s="8">
        <f>M636-N636-L636</f>
        <v/>
      </c>
      <c r="P636" s="10">
        <f>IFERROR(O636/M636,0)</f>
        <v/>
      </c>
      <c r="Q636" s="3">
        <f>IF(H636&lt;=0,"Review: quantity &lt;= 0",IF(K636&gt;0.3,"Review: discount &gt; 30%",IF(G636="","Review: missing customer type","OK")))</f>
        <v/>
      </c>
    </row>
    <row r="637">
      <c r="A637" s="3" t="inlineStr">
        <is>
          <t>ORD-10636</t>
        </is>
      </c>
      <c r="B637" s="7" t="n">
        <v>45982</v>
      </c>
      <c r="C637" s="3" t="inlineStr">
        <is>
          <t>Footwear</t>
        </is>
      </c>
      <c r="D637" s="3" t="inlineStr">
        <is>
          <t>Sandals</t>
        </is>
      </c>
      <c r="E637" s="3" t="inlineStr">
        <is>
          <t>Ashanti</t>
        </is>
      </c>
      <c r="F637" s="3" t="inlineStr">
        <is>
          <t>Retail Shop</t>
        </is>
      </c>
      <c r="G637" s="3" t="inlineStr">
        <is>
          <t>New</t>
        </is>
      </c>
      <c r="H637" s="3" t="n">
        <v>4</v>
      </c>
      <c r="I637" s="8" t="n">
        <v>330</v>
      </c>
      <c r="J637" s="8" t="n">
        <v>178.53</v>
      </c>
      <c r="K637" s="9" t="n">
        <v>0.15</v>
      </c>
      <c r="L637" s="8" t="n">
        <v>4.51</v>
      </c>
      <c r="M637" s="8">
        <f>H637*I637*(1-K637)</f>
        <v/>
      </c>
      <c r="N637" s="8">
        <f>H637*J637</f>
        <v/>
      </c>
      <c r="O637" s="8">
        <f>M637-N637-L637</f>
        <v/>
      </c>
      <c r="P637" s="10">
        <f>IFERROR(O637/M637,0)</f>
        <v/>
      </c>
      <c r="Q637" s="3">
        <f>IF(H637&lt;=0,"Review: quantity &lt;= 0",IF(K637&gt;0.3,"Review: discount &gt; 30%",IF(G637="","Review: missing customer type","OK")))</f>
        <v/>
      </c>
    </row>
    <row r="638">
      <c r="A638" s="3" t="inlineStr">
        <is>
          <t>ORD-10637</t>
        </is>
      </c>
      <c r="B638" s="7" t="n">
        <v>45739</v>
      </c>
      <c r="C638" s="3" t="inlineStr">
        <is>
          <t>Clothing</t>
        </is>
      </c>
      <c r="D638" s="3" t="inlineStr">
        <is>
          <t>Jackets</t>
        </is>
      </c>
      <c r="E638" s="3" t="inlineStr">
        <is>
          <t>Greater Accra</t>
        </is>
      </c>
      <c r="F638" s="3" t="inlineStr">
        <is>
          <t>Online</t>
        </is>
      </c>
      <c r="G638" s="3" t="inlineStr">
        <is>
          <t>New</t>
        </is>
      </c>
      <c r="H638" s="3" t="n">
        <v>2</v>
      </c>
      <c r="I638" s="8" t="n">
        <v>65</v>
      </c>
      <c r="J638" s="8" t="n">
        <v>30.93</v>
      </c>
      <c r="K638" s="9" t="n">
        <v>0.15</v>
      </c>
      <c r="L638" s="8" t="n">
        <v>20.64</v>
      </c>
      <c r="M638" s="8">
        <f>H638*I638*(1-K638)</f>
        <v/>
      </c>
      <c r="N638" s="8">
        <f>H638*J638</f>
        <v/>
      </c>
      <c r="O638" s="8">
        <f>M638-N638-L638</f>
        <v/>
      </c>
      <c r="P638" s="10">
        <f>IFERROR(O638/M638,0)</f>
        <v/>
      </c>
      <c r="Q638" s="3">
        <f>IF(H638&lt;=0,"Review: quantity &lt;= 0",IF(K638&gt;0.3,"Review: discount &gt; 30%",IF(G638="","Review: missing customer type","OK")))</f>
        <v/>
      </c>
    </row>
    <row r="639">
      <c r="A639" s="3" t="inlineStr">
        <is>
          <t>ORD-10638</t>
        </is>
      </c>
      <c r="B639" s="7" t="n">
        <v>45854</v>
      </c>
      <c r="C639" s="3" t="inlineStr">
        <is>
          <t>Clothing</t>
        </is>
      </c>
      <c r="D639" s="3" t="inlineStr">
        <is>
          <t>Trousers</t>
        </is>
      </c>
      <c r="E639" s="3" t="inlineStr">
        <is>
          <t>Ashanti</t>
        </is>
      </c>
      <c r="F639" s="3" t="inlineStr">
        <is>
          <t>Online</t>
        </is>
      </c>
      <c r="G639" s="3" t="inlineStr">
        <is>
          <t>New</t>
        </is>
      </c>
      <c r="H639" s="3" t="n">
        <v>2</v>
      </c>
      <c r="I639" s="8" t="n">
        <v>180</v>
      </c>
      <c r="J639" s="8" t="n">
        <v>84.29000000000001</v>
      </c>
      <c r="K639" s="9" t="n">
        <v>0.15</v>
      </c>
      <c r="L639" s="8" t="n">
        <v>15.58</v>
      </c>
      <c r="M639" s="8">
        <f>H639*I639*(1-K639)</f>
        <v/>
      </c>
      <c r="N639" s="8">
        <f>H639*J639</f>
        <v/>
      </c>
      <c r="O639" s="8">
        <f>M639-N639-L639</f>
        <v/>
      </c>
      <c r="P639" s="10">
        <f>IFERROR(O639/M639,0)</f>
        <v/>
      </c>
      <c r="Q639" s="3">
        <f>IF(H639&lt;=0,"Review: quantity &lt;= 0",IF(K639&gt;0.3,"Review: discount &gt; 30%",IF(G639="","Review: missing customer type","OK")))</f>
        <v/>
      </c>
    </row>
    <row r="640">
      <c r="A640" s="3" t="inlineStr">
        <is>
          <t>ORD-10639</t>
        </is>
      </c>
      <c r="B640" s="7" t="n">
        <v>45943</v>
      </c>
      <c r="C640" s="3" t="inlineStr">
        <is>
          <t>Home &amp; Lifestyle</t>
        </is>
      </c>
      <c r="D640" s="3" t="inlineStr">
        <is>
          <t>Backpacks</t>
        </is>
      </c>
      <c r="E640" s="3" t="inlineStr">
        <is>
          <t>Greater Accra</t>
        </is>
      </c>
      <c r="F640" s="3" t="inlineStr">
        <is>
          <t>Phone/WhatsApp</t>
        </is>
      </c>
      <c r="G640" s="3" t="inlineStr">
        <is>
          <t>Returning</t>
        </is>
      </c>
      <c r="H640" s="3" t="n">
        <v>3</v>
      </c>
      <c r="I640" s="8" t="n">
        <v>140</v>
      </c>
      <c r="J640" s="8" t="n">
        <v>72.59999999999999</v>
      </c>
      <c r="K640" s="9" t="n">
        <v>0</v>
      </c>
      <c r="L640" s="8" t="n">
        <v>34.02</v>
      </c>
      <c r="M640" s="8">
        <f>H640*I640*(1-K640)</f>
        <v/>
      </c>
      <c r="N640" s="8">
        <f>H640*J640</f>
        <v/>
      </c>
      <c r="O640" s="8">
        <f>M640-N640-L640</f>
        <v/>
      </c>
      <c r="P640" s="10">
        <f>IFERROR(O640/M640,0)</f>
        <v/>
      </c>
      <c r="Q640" s="3">
        <f>IF(H640&lt;=0,"Review: quantity &lt;= 0",IF(K640&gt;0.3,"Review: discount &gt; 30%",IF(G640="","Review: missing customer type","OK")))</f>
        <v/>
      </c>
    </row>
    <row r="641">
      <c r="A641" s="3" t="inlineStr">
        <is>
          <t>ORD-10640</t>
        </is>
      </c>
      <c r="B641" s="7" t="n">
        <v>45719</v>
      </c>
      <c r="C641" s="3" t="inlineStr">
        <is>
          <t>Clothing</t>
        </is>
      </c>
      <c r="D641" s="3" t="inlineStr">
        <is>
          <t>Shirts</t>
        </is>
      </c>
      <c r="E641" s="3" t="inlineStr">
        <is>
          <t>Ashanti</t>
        </is>
      </c>
      <c r="F641" s="3" t="inlineStr">
        <is>
          <t>Retail Shop</t>
        </is>
      </c>
      <c r="G641" s="3" t="inlineStr">
        <is>
          <t>Returning</t>
        </is>
      </c>
      <c r="H641" s="3" t="n">
        <v>2</v>
      </c>
      <c r="I641" s="8" t="n">
        <v>240</v>
      </c>
      <c r="J641" s="8" t="n">
        <v>123.99</v>
      </c>
      <c r="K641" s="9" t="n">
        <v>0</v>
      </c>
      <c r="L641" s="8" t="n">
        <v>0.76</v>
      </c>
      <c r="M641" s="8">
        <f>H641*I641*(1-K641)</f>
        <v/>
      </c>
      <c r="N641" s="8">
        <f>H641*J641</f>
        <v/>
      </c>
      <c r="O641" s="8">
        <f>M641-N641-L641</f>
        <v/>
      </c>
      <c r="P641" s="10">
        <f>IFERROR(O641/M641,0)</f>
        <v/>
      </c>
      <c r="Q641" s="3">
        <f>IF(H641&lt;=0,"Review: quantity &lt;= 0",IF(K641&gt;0.3,"Review: discount &gt; 30%",IF(G641="","Review: missing customer type","OK")))</f>
        <v/>
      </c>
    </row>
    <row r="642">
      <c r="A642" s="3" t="inlineStr">
        <is>
          <t>ORD-10641</t>
        </is>
      </c>
      <c r="B642" s="7" t="n">
        <v>45921</v>
      </c>
      <c r="C642" s="3" t="inlineStr">
        <is>
          <t>Footwear</t>
        </is>
      </c>
      <c r="D642" s="3" t="inlineStr">
        <is>
          <t>Formal Shoes</t>
        </is>
      </c>
      <c r="E642" s="3" t="inlineStr">
        <is>
          <t>Northern</t>
        </is>
      </c>
      <c r="F642" s="3" t="inlineStr">
        <is>
          <t>Online</t>
        </is>
      </c>
      <c r="G642" s="3" t="inlineStr">
        <is>
          <t>Returning</t>
        </is>
      </c>
      <c r="H642" s="3" t="n">
        <v>2</v>
      </c>
      <c r="I642" s="8" t="n">
        <v>270</v>
      </c>
      <c r="J642" s="8" t="n">
        <v>158.91</v>
      </c>
      <c r="K642" s="9" t="n">
        <v>0.05</v>
      </c>
      <c r="L642" s="8" t="n">
        <v>23.42</v>
      </c>
      <c r="M642" s="8">
        <f>H642*I642*(1-K642)</f>
        <v/>
      </c>
      <c r="N642" s="8">
        <f>H642*J642</f>
        <v/>
      </c>
      <c r="O642" s="8">
        <f>M642-N642-L642</f>
        <v/>
      </c>
      <c r="P642" s="10">
        <f>IFERROR(O642/M642,0)</f>
        <v/>
      </c>
      <c r="Q642" s="3">
        <f>IF(H642&lt;=0,"Review: quantity &lt;= 0",IF(K642&gt;0.3,"Review: discount &gt; 30%",IF(G642="","Review: missing customer type","OK")))</f>
        <v/>
      </c>
    </row>
    <row r="643">
      <c r="A643" s="3" t="inlineStr">
        <is>
          <t>ORD-10642</t>
        </is>
      </c>
      <c r="B643" s="7" t="n">
        <v>45867</v>
      </c>
      <c r="C643" s="3" t="inlineStr">
        <is>
          <t>Clothing</t>
        </is>
      </c>
      <c r="D643" s="3" t="inlineStr">
        <is>
          <t>Shirts</t>
        </is>
      </c>
      <c r="E643" s="3" t="inlineStr">
        <is>
          <t>Western</t>
        </is>
      </c>
      <c r="F643" s="3" t="inlineStr">
        <is>
          <t>Retail Shop</t>
        </is>
      </c>
      <c r="G643" s="3" t="inlineStr">
        <is>
          <t>New</t>
        </is>
      </c>
      <c r="H643" s="3" t="n">
        <v>2</v>
      </c>
      <c r="I643" s="8" t="n">
        <v>140</v>
      </c>
      <c r="J643" s="8" t="n">
        <v>69.18000000000001</v>
      </c>
      <c r="K643" s="9" t="n">
        <v>0.1</v>
      </c>
      <c r="L643" s="8" t="n">
        <v>6.2</v>
      </c>
      <c r="M643" s="8">
        <f>H643*I643*(1-K643)</f>
        <v/>
      </c>
      <c r="N643" s="8">
        <f>H643*J643</f>
        <v/>
      </c>
      <c r="O643" s="8">
        <f>M643-N643-L643</f>
        <v/>
      </c>
      <c r="P643" s="10">
        <f>IFERROR(O643/M643,0)</f>
        <v/>
      </c>
      <c r="Q643" s="3">
        <f>IF(H643&lt;=0,"Review: quantity &lt;= 0",IF(K643&gt;0.3,"Review: discount &gt; 30%",IF(G643="","Review: missing customer type","OK")))</f>
        <v/>
      </c>
    </row>
    <row r="644">
      <c r="A644" s="3" t="inlineStr">
        <is>
          <t>ORD-10643</t>
        </is>
      </c>
      <c r="B644" s="7" t="n">
        <v>45765</v>
      </c>
      <c r="C644" s="3" t="inlineStr">
        <is>
          <t>Clothing</t>
        </is>
      </c>
      <c r="D644" s="3" t="inlineStr">
        <is>
          <t>Jackets</t>
        </is>
      </c>
      <c r="E644" s="3" t="inlineStr">
        <is>
          <t>Unknown</t>
        </is>
      </c>
      <c r="F644" s="3" t="inlineStr">
        <is>
          <t>Retail Shop</t>
        </is>
      </c>
      <c r="G644" s="3" t="inlineStr">
        <is>
          <t>Returning</t>
        </is>
      </c>
      <c r="H644" s="3" t="n">
        <v>2</v>
      </c>
      <c r="I644" s="8" t="n">
        <v>185</v>
      </c>
      <c r="J644" s="8" t="n">
        <v>94.86</v>
      </c>
      <c r="K644" s="9" t="n">
        <v>0.15</v>
      </c>
      <c r="L644" s="8" t="n">
        <v>9.49</v>
      </c>
      <c r="M644" s="8">
        <f>H644*I644*(1-K644)</f>
        <v/>
      </c>
      <c r="N644" s="8">
        <f>H644*J644</f>
        <v/>
      </c>
      <c r="O644" s="8">
        <f>M644-N644-L644</f>
        <v/>
      </c>
      <c r="P644" s="10">
        <f>IFERROR(O644/M644,0)</f>
        <v/>
      </c>
      <c r="Q644" s="3">
        <f>IF(H644&lt;=0,"Review: quantity &lt;= 0",IF(K644&gt;0.3,"Review: discount &gt; 30%",IF(G644="","Review: missing customer type","OK")))</f>
        <v/>
      </c>
    </row>
    <row r="645">
      <c r="A645" s="3" t="inlineStr">
        <is>
          <t>ORD-10644</t>
        </is>
      </c>
      <c r="B645" s="7" t="n">
        <v>45896</v>
      </c>
      <c r="C645" s="3" t="inlineStr">
        <is>
          <t>Home &amp; Lifestyle</t>
        </is>
      </c>
      <c r="D645" s="3" t="inlineStr">
        <is>
          <t>Wallets</t>
        </is>
      </c>
      <c r="E645" s="3" t="inlineStr">
        <is>
          <t>Ashanti</t>
        </is>
      </c>
      <c r="F645" s="3" t="inlineStr">
        <is>
          <t>Phone/WhatsApp</t>
        </is>
      </c>
      <c r="G645" s="3" t="inlineStr">
        <is>
          <t>Returning</t>
        </is>
      </c>
      <c r="H645" s="3" t="n">
        <v>2</v>
      </c>
      <c r="I645" s="8" t="n">
        <v>190</v>
      </c>
      <c r="J645" s="8" t="n">
        <v>103.47</v>
      </c>
      <c r="K645" s="9" t="n">
        <v>0.05</v>
      </c>
      <c r="L645" s="8" t="n">
        <v>9.5</v>
      </c>
      <c r="M645" s="8">
        <f>H645*I645*(1-K645)</f>
        <v/>
      </c>
      <c r="N645" s="8">
        <f>H645*J645</f>
        <v/>
      </c>
      <c r="O645" s="8">
        <f>M645-N645-L645</f>
        <v/>
      </c>
      <c r="P645" s="10">
        <f>IFERROR(O645/M645,0)</f>
        <v/>
      </c>
      <c r="Q645" s="3">
        <f>IF(H645&lt;=0,"Review: quantity &lt;= 0",IF(K645&gt;0.3,"Review: discount &gt; 30%",IF(G645="","Review: missing customer type","OK")))</f>
        <v/>
      </c>
    </row>
    <row r="646">
      <c r="A646" s="3" t="inlineStr">
        <is>
          <t>ORD-10645</t>
        </is>
      </c>
      <c r="B646" s="7" t="n">
        <v>45863</v>
      </c>
      <c r="C646" s="3" t="inlineStr">
        <is>
          <t>Clothing</t>
        </is>
      </c>
      <c r="D646" s="3" t="inlineStr">
        <is>
          <t>Dresses</t>
        </is>
      </c>
      <c r="E646" s="3" t="inlineStr">
        <is>
          <t>Greater Accra</t>
        </is>
      </c>
      <c r="F646" s="3" t="inlineStr">
        <is>
          <t>Retail Shop</t>
        </is>
      </c>
      <c r="G646" s="3" t="inlineStr">
        <is>
          <t>Returning</t>
        </is>
      </c>
      <c r="H646" s="3" t="n">
        <v>5</v>
      </c>
      <c r="I646" s="8" t="n">
        <v>160</v>
      </c>
      <c r="J646" s="8" t="n">
        <v>73.72</v>
      </c>
      <c r="K646" s="9" t="n">
        <v>0.05</v>
      </c>
      <c r="L646" s="8" t="n">
        <v>7.93</v>
      </c>
      <c r="M646" s="8">
        <f>H646*I646*(1-K646)</f>
        <v/>
      </c>
      <c r="N646" s="8">
        <f>H646*J646</f>
        <v/>
      </c>
      <c r="O646" s="8">
        <f>M646-N646-L646</f>
        <v/>
      </c>
      <c r="P646" s="10">
        <f>IFERROR(O646/M646,0)</f>
        <v/>
      </c>
      <c r="Q646" s="3">
        <f>IF(H646&lt;=0,"Review: quantity &lt;= 0",IF(K646&gt;0.3,"Review: discount &gt; 30%",IF(G646="","Review: missing customer type","OK")))</f>
        <v/>
      </c>
    </row>
    <row r="647">
      <c r="A647" s="3" t="inlineStr">
        <is>
          <t>ORD-10646</t>
        </is>
      </c>
      <c r="B647" s="7" t="n">
        <v>45733</v>
      </c>
      <c r="C647" s="3" t="inlineStr">
        <is>
          <t>Clothing</t>
        </is>
      </c>
      <c r="D647" s="3" t="inlineStr">
        <is>
          <t>Jackets</t>
        </is>
      </c>
      <c r="E647" s="3" t="inlineStr">
        <is>
          <t>Greater Accra</t>
        </is>
      </c>
      <c r="F647" s="3" t="inlineStr">
        <is>
          <t>Phone/WhatsApp</t>
        </is>
      </c>
      <c r="G647" s="3" t="inlineStr">
        <is>
          <t>Returning</t>
        </is>
      </c>
      <c r="H647" s="3" t="n">
        <v>1</v>
      </c>
      <c r="I647" s="8" t="n">
        <v>265</v>
      </c>
      <c r="J647" s="8" t="n">
        <v>132.63</v>
      </c>
      <c r="K647" s="9" t="n">
        <v>0</v>
      </c>
      <c r="L647" s="8" t="n">
        <v>18.77</v>
      </c>
      <c r="M647" s="8">
        <f>H647*I647*(1-K647)</f>
        <v/>
      </c>
      <c r="N647" s="8">
        <f>H647*J647</f>
        <v/>
      </c>
      <c r="O647" s="8">
        <f>M647-N647-L647</f>
        <v/>
      </c>
      <c r="P647" s="10">
        <f>IFERROR(O647/M647,0)</f>
        <v/>
      </c>
      <c r="Q647" s="3">
        <f>IF(H647&lt;=0,"Review: quantity &lt;= 0",IF(K647&gt;0.3,"Review: discount &gt; 30%",IF(G647="","Review: missing customer type","OK")))</f>
        <v/>
      </c>
    </row>
    <row r="648">
      <c r="A648" s="3" t="inlineStr">
        <is>
          <t>ORD-10647</t>
        </is>
      </c>
      <c r="B648" s="7" t="n">
        <v>45764</v>
      </c>
      <c r="C648" s="3" t="inlineStr">
        <is>
          <t>Home &amp; Lifestyle</t>
        </is>
      </c>
      <c r="D648" s="3" t="inlineStr">
        <is>
          <t>Travel Mugs</t>
        </is>
      </c>
      <c r="E648" s="3" t="inlineStr">
        <is>
          <t>Western</t>
        </is>
      </c>
      <c r="F648" s="3" t="inlineStr">
        <is>
          <t>Phone/WhatsApp</t>
        </is>
      </c>
      <c r="G648" s="3" t="inlineStr">
        <is>
          <t>Returning</t>
        </is>
      </c>
      <c r="H648" s="3" t="n">
        <v>4</v>
      </c>
      <c r="I648" s="8" t="n">
        <v>185</v>
      </c>
      <c r="J648" s="8" t="n">
        <v>108.94</v>
      </c>
      <c r="K648" s="9" t="n">
        <v>0</v>
      </c>
      <c r="L648" s="8" t="n">
        <v>11.38</v>
      </c>
      <c r="M648" s="8">
        <f>H648*I648*(1-K648)</f>
        <v/>
      </c>
      <c r="N648" s="8">
        <f>H648*J648</f>
        <v/>
      </c>
      <c r="O648" s="8">
        <f>M648-N648-L648</f>
        <v/>
      </c>
      <c r="P648" s="10">
        <f>IFERROR(O648/M648,0)</f>
        <v/>
      </c>
      <c r="Q648" s="3">
        <f>IF(H648&lt;=0,"Review: quantity &lt;= 0",IF(K648&gt;0.3,"Review: discount &gt; 30%",IF(G648="","Review: missing customer type","OK")))</f>
        <v/>
      </c>
    </row>
    <row r="649">
      <c r="A649" s="3" t="inlineStr">
        <is>
          <t>ORD-10648</t>
        </is>
      </c>
      <c r="B649" s="7" t="n">
        <v>45960</v>
      </c>
      <c r="C649" s="3" t="inlineStr">
        <is>
          <t>Clothing</t>
        </is>
      </c>
      <c r="D649" s="3" t="inlineStr">
        <is>
          <t>Dresses</t>
        </is>
      </c>
      <c r="E649" s="3" t="inlineStr">
        <is>
          <t>Greater Accra</t>
        </is>
      </c>
      <c r="F649" s="3" t="inlineStr">
        <is>
          <t>Online</t>
        </is>
      </c>
      <c r="G649" s="3" t="inlineStr">
        <is>
          <t>Returning</t>
        </is>
      </c>
      <c r="H649" s="3" t="n">
        <v>3</v>
      </c>
      <c r="I649" s="8" t="n">
        <v>315</v>
      </c>
      <c r="J649" s="8" t="n">
        <v>177.31</v>
      </c>
      <c r="K649" s="9" t="n">
        <v>0.1</v>
      </c>
      <c r="L649" s="8" t="n">
        <v>27.26</v>
      </c>
      <c r="M649" s="8">
        <f>H649*I649*(1-K649)</f>
        <v/>
      </c>
      <c r="N649" s="8">
        <f>H649*J649</f>
        <v/>
      </c>
      <c r="O649" s="8">
        <f>M649-N649-L649</f>
        <v/>
      </c>
      <c r="P649" s="10">
        <f>IFERROR(O649/M649,0)</f>
        <v/>
      </c>
      <c r="Q649" s="3">
        <f>IF(H649&lt;=0,"Review: quantity &lt;= 0",IF(K649&gt;0.3,"Review: discount &gt; 30%",IF(G649="","Review: missing customer type","OK")))</f>
        <v/>
      </c>
    </row>
    <row r="650">
      <c r="A650" s="3" t="inlineStr">
        <is>
          <t>ORD-10649</t>
        </is>
      </c>
      <c r="B650" s="7" t="n">
        <v>45886</v>
      </c>
      <c r="C650" s="3" t="inlineStr">
        <is>
          <t>Footwear</t>
        </is>
      </c>
      <c r="D650" s="3" t="inlineStr">
        <is>
          <t>Formal Shoes</t>
        </is>
      </c>
      <c r="E650" s="3" t="inlineStr">
        <is>
          <t>Ashanti</t>
        </is>
      </c>
      <c r="F650" s="3" t="inlineStr">
        <is>
          <t>Online</t>
        </is>
      </c>
      <c r="G650" s="3" t="inlineStr">
        <is>
          <t>Returning</t>
        </is>
      </c>
      <c r="H650" s="3" t="n">
        <v>6</v>
      </c>
      <c r="I650" s="8" t="n">
        <v>210</v>
      </c>
      <c r="J650" s="8" t="n">
        <v>119.72</v>
      </c>
      <c r="K650" s="9" t="n">
        <v>0.05</v>
      </c>
      <c r="L650" s="8" t="n">
        <v>26.06</v>
      </c>
      <c r="M650" s="8">
        <f>H650*I650*(1-K650)</f>
        <v/>
      </c>
      <c r="N650" s="8">
        <f>H650*J650</f>
        <v/>
      </c>
      <c r="O650" s="8">
        <f>M650-N650-L650</f>
        <v/>
      </c>
      <c r="P650" s="10">
        <f>IFERROR(O650/M650,0)</f>
        <v/>
      </c>
      <c r="Q650" s="3">
        <f>IF(H650&lt;=0,"Review: quantity &lt;= 0",IF(K650&gt;0.3,"Review: discount &gt; 30%",IF(G650="","Review: missing customer type","OK")))</f>
        <v/>
      </c>
    </row>
    <row r="651">
      <c r="A651" s="3" t="inlineStr">
        <is>
          <t>ORD-10650</t>
        </is>
      </c>
      <c r="B651" s="7" t="n">
        <v>45760</v>
      </c>
      <c r="C651" s="3" t="inlineStr">
        <is>
          <t>Footwear</t>
        </is>
      </c>
      <c r="D651" s="3" t="inlineStr">
        <is>
          <t>Sneakers</t>
        </is>
      </c>
      <c r="E651" s="3" t="inlineStr">
        <is>
          <t>Western</t>
        </is>
      </c>
      <c r="F651" s="3" t="inlineStr">
        <is>
          <t>Retail Shop</t>
        </is>
      </c>
      <c r="G651" s="3" t="inlineStr">
        <is>
          <t>New</t>
        </is>
      </c>
      <c r="H651" s="3" t="n">
        <v>2</v>
      </c>
      <c r="I651" s="8" t="n">
        <v>210</v>
      </c>
      <c r="J651" s="8" t="n">
        <v>130.71</v>
      </c>
      <c r="K651" s="9" t="n">
        <v>0</v>
      </c>
      <c r="L651" s="8" t="n">
        <v>3.28</v>
      </c>
      <c r="M651" s="8">
        <f>H651*I651*(1-K651)</f>
        <v/>
      </c>
      <c r="N651" s="8">
        <f>H651*J651</f>
        <v/>
      </c>
      <c r="O651" s="8">
        <f>M651-N651-L651</f>
        <v/>
      </c>
      <c r="P651" s="10">
        <f>IFERROR(O651/M651,0)</f>
        <v/>
      </c>
      <c r="Q651" s="3">
        <f>IF(H651&lt;=0,"Review: quantity &lt;= 0",IF(K651&gt;0.3,"Review: discount &gt; 30%",IF(G651="","Review: missing customer type","OK")))</f>
        <v/>
      </c>
    </row>
    <row r="652">
      <c r="A652" s="3" t="inlineStr">
        <is>
          <t>ORD-10651</t>
        </is>
      </c>
      <c r="B652" s="7" t="n">
        <v>45908</v>
      </c>
      <c r="C652" s="3" t="inlineStr">
        <is>
          <t>Home &amp; Lifestyle</t>
        </is>
      </c>
      <c r="D652" s="3" t="inlineStr">
        <is>
          <t>Backpacks</t>
        </is>
      </c>
      <c r="E652" s="3" t="inlineStr">
        <is>
          <t>Greater Accra</t>
        </is>
      </c>
      <c r="F652" s="3" t="inlineStr">
        <is>
          <t>Online</t>
        </is>
      </c>
      <c r="G652" s="3" t="inlineStr">
        <is>
          <t>New</t>
        </is>
      </c>
      <c r="H652" s="3" t="n">
        <v>3</v>
      </c>
      <c r="I652" s="8" t="n">
        <v>115</v>
      </c>
      <c r="J652" s="8" t="n">
        <v>62.13</v>
      </c>
      <c r="K652" s="9" t="n">
        <v>0</v>
      </c>
      <c r="L652" s="8" t="n">
        <v>42.53</v>
      </c>
      <c r="M652" s="8">
        <f>H652*I652*(1-K652)</f>
        <v/>
      </c>
      <c r="N652" s="8">
        <f>H652*J652</f>
        <v/>
      </c>
      <c r="O652" s="8">
        <f>M652-N652-L652</f>
        <v/>
      </c>
      <c r="P652" s="10">
        <f>IFERROR(O652/M652,0)</f>
        <v/>
      </c>
      <c r="Q652" s="3">
        <f>IF(H652&lt;=0,"Review: quantity &lt;= 0",IF(K652&gt;0.3,"Review: discount &gt; 30%",IF(G652="","Review: missing customer type","OK")))</f>
        <v/>
      </c>
    </row>
    <row r="653">
      <c r="A653" s="3" t="inlineStr">
        <is>
          <t>ORD-10652</t>
        </is>
      </c>
      <c r="B653" s="7" t="n">
        <v>45760</v>
      </c>
      <c r="C653" s="3" t="inlineStr">
        <is>
          <t>Footwear</t>
        </is>
      </c>
      <c r="D653" s="3" t="inlineStr">
        <is>
          <t>Sandals</t>
        </is>
      </c>
      <c r="E653" s="3" t="inlineStr">
        <is>
          <t>Ashanti</t>
        </is>
      </c>
      <c r="F653" s="3" t="inlineStr">
        <is>
          <t>Online</t>
        </is>
      </c>
      <c r="G653" s="3" t="inlineStr">
        <is>
          <t>Returning</t>
        </is>
      </c>
      <c r="H653" s="3" t="n">
        <v>10</v>
      </c>
      <c r="I653" s="8" t="n">
        <v>240</v>
      </c>
      <c r="J653" s="8" t="n">
        <v>148.58</v>
      </c>
      <c r="K653" s="9" t="n">
        <v>0</v>
      </c>
      <c r="L653" s="8" t="n">
        <v>21.04</v>
      </c>
      <c r="M653" s="8">
        <f>H653*I653*(1-K653)</f>
        <v/>
      </c>
      <c r="N653" s="8">
        <f>H653*J653</f>
        <v/>
      </c>
      <c r="O653" s="8">
        <f>M653-N653-L653</f>
        <v/>
      </c>
      <c r="P653" s="10">
        <f>IFERROR(O653/M653,0)</f>
        <v/>
      </c>
      <c r="Q653" s="3">
        <f>IF(H653&lt;=0,"Review: quantity &lt;= 0",IF(K653&gt;0.3,"Review: discount &gt; 30%",IF(G653="","Review: missing customer type","OK")))</f>
        <v/>
      </c>
    </row>
    <row r="654">
      <c r="A654" s="3" t="inlineStr">
        <is>
          <t>ORD-10653</t>
        </is>
      </c>
      <c r="B654" s="7" t="n">
        <v>45793</v>
      </c>
      <c r="C654" s="3" t="inlineStr">
        <is>
          <t>Footwear</t>
        </is>
      </c>
      <c r="D654" s="3" t="inlineStr">
        <is>
          <t>Formal Shoes</t>
        </is>
      </c>
      <c r="E654" s="3" t="inlineStr">
        <is>
          <t>Greater Accra</t>
        </is>
      </c>
      <c r="F654" s="3" t="inlineStr">
        <is>
          <t>Retail Shop</t>
        </is>
      </c>
      <c r="G654" s="3" t="inlineStr">
        <is>
          <t>New</t>
        </is>
      </c>
      <c r="H654" s="3" t="n">
        <v>2</v>
      </c>
      <c r="I654" s="8" t="n">
        <v>370</v>
      </c>
      <c r="J654" s="8" t="n">
        <v>235.88</v>
      </c>
      <c r="K654" s="9" t="n">
        <v>0</v>
      </c>
      <c r="L654" s="8" t="n">
        <v>7.15</v>
      </c>
      <c r="M654" s="8">
        <f>H654*I654*(1-K654)</f>
        <v/>
      </c>
      <c r="N654" s="8">
        <f>H654*J654</f>
        <v/>
      </c>
      <c r="O654" s="8">
        <f>M654-N654-L654</f>
        <v/>
      </c>
      <c r="P654" s="10">
        <f>IFERROR(O654/M654,0)</f>
        <v/>
      </c>
      <c r="Q654" s="3">
        <f>IF(H654&lt;=0,"Review: quantity &lt;= 0",IF(K654&gt;0.3,"Review: discount &gt; 30%",IF(G654="","Review: missing customer type","OK")))</f>
        <v/>
      </c>
    </row>
    <row r="655">
      <c r="A655" s="3" t="inlineStr">
        <is>
          <t>ORD-10654</t>
        </is>
      </c>
      <c r="B655" s="7" t="n">
        <v>45824</v>
      </c>
      <c r="C655" s="3" t="inlineStr">
        <is>
          <t>Clothing</t>
        </is>
      </c>
      <c r="D655" s="3" t="inlineStr">
        <is>
          <t>Trousers</t>
        </is>
      </c>
      <c r="E655" s="3" t="inlineStr">
        <is>
          <t>Central</t>
        </is>
      </c>
      <c r="F655" s="3" t="inlineStr">
        <is>
          <t>Retail Shop</t>
        </is>
      </c>
      <c r="G655" s="3" t="inlineStr">
        <is>
          <t>Returning</t>
        </is>
      </c>
      <c r="H655" s="3" t="n">
        <v>4</v>
      </c>
      <c r="I655" s="8" t="n">
        <v>170</v>
      </c>
      <c r="J655" s="8" t="n">
        <v>86.90000000000001</v>
      </c>
      <c r="K655" s="9" t="n">
        <v>0</v>
      </c>
      <c r="L655" s="8" t="n">
        <v>9.49</v>
      </c>
      <c r="M655" s="8">
        <f>H655*I655*(1-K655)</f>
        <v/>
      </c>
      <c r="N655" s="8">
        <f>H655*J655</f>
        <v/>
      </c>
      <c r="O655" s="8">
        <f>M655-N655-L655</f>
        <v/>
      </c>
      <c r="P655" s="10">
        <f>IFERROR(O655/M655,0)</f>
        <v/>
      </c>
      <c r="Q655" s="3">
        <f>IF(H655&lt;=0,"Review: quantity &lt;= 0",IF(K655&gt;0.3,"Review: discount &gt; 30%",IF(G655="","Review: missing customer type","OK")))</f>
        <v/>
      </c>
    </row>
    <row r="656">
      <c r="A656" s="3" t="inlineStr">
        <is>
          <t>ORD-10655</t>
        </is>
      </c>
      <c r="B656" s="7" t="n">
        <v>45760</v>
      </c>
      <c r="C656" s="3" t="inlineStr">
        <is>
          <t>Accessories</t>
        </is>
      </c>
      <c r="D656" s="3" t="inlineStr">
        <is>
          <t>Watches</t>
        </is>
      </c>
      <c r="E656" s="3" t="inlineStr">
        <is>
          <t>Western</t>
        </is>
      </c>
      <c r="F656" s="3" t="inlineStr">
        <is>
          <t>Phone/WhatsApp</t>
        </is>
      </c>
      <c r="G656" s="3" t="inlineStr">
        <is>
          <t>Returning</t>
        </is>
      </c>
      <c r="H656" s="3" t="n">
        <v>4</v>
      </c>
      <c r="I656" s="8" t="n">
        <v>70</v>
      </c>
      <c r="J656" s="8" t="n">
        <v>36.64</v>
      </c>
      <c r="K656" s="9" t="n">
        <v>0</v>
      </c>
      <c r="L656" s="8" t="n">
        <v>36</v>
      </c>
      <c r="M656" s="8">
        <f>H656*I656*(1-K656)</f>
        <v/>
      </c>
      <c r="N656" s="8">
        <f>H656*J656</f>
        <v/>
      </c>
      <c r="O656" s="8">
        <f>M656-N656-L656</f>
        <v/>
      </c>
      <c r="P656" s="10">
        <f>IFERROR(O656/M656,0)</f>
        <v/>
      </c>
      <c r="Q656" s="3">
        <f>IF(H656&lt;=0,"Review: quantity &lt;= 0",IF(K656&gt;0.3,"Review: discount &gt; 30%",IF(G656="","Review: missing customer type","OK")))</f>
        <v/>
      </c>
    </row>
    <row r="657">
      <c r="A657" s="3" t="inlineStr">
        <is>
          <t>ORD-10656</t>
        </is>
      </c>
      <c r="B657" s="7" t="n">
        <v>45924</v>
      </c>
      <c r="C657" s="3" t="inlineStr">
        <is>
          <t>Clothing</t>
        </is>
      </c>
      <c r="D657" s="3" t="inlineStr">
        <is>
          <t>Jackets</t>
        </is>
      </c>
      <c r="E657" s="3" t="inlineStr">
        <is>
          <t>Greater Accra</t>
        </is>
      </c>
      <c r="F657" s="3" t="inlineStr">
        <is>
          <t>Phone/WhatsApp</t>
        </is>
      </c>
      <c r="G657" s="3" t="inlineStr">
        <is>
          <t>New</t>
        </is>
      </c>
      <c r="H657" s="3" t="n">
        <v>2</v>
      </c>
      <c r="I657" s="8" t="n">
        <v>185</v>
      </c>
      <c r="J657" s="8" t="n">
        <v>96.43000000000001</v>
      </c>
      <c r="K657" s="9" t="n">
        <v>0</v>
      </c>
      <c r="L657" s="8" t="n">
        <v>20.25</v>
      </c>
      <c r="M657" s="8">
        <f>H657*I657*(1-K657)</f>
        <v/>
      </c>
      <c r="N657" s="8">
        <f>H657*J657</f>
        <v/>
      </c>
      <c r="O657" s="8">
        <f>M657-N657-L657</f>
        <v/>
      </c>
      <c r="P657" s="10">
        <f>IFERROR(O657/M657,0)</f>
        <v/>
      </c>
      <c r="Q657" s="3">
        <f>IF(H657&lt;=0,"Review: quantity &lt;= 0",IF(K657&gt;0.3,"Review: discount &gt; 30%",IF(G657="","Review: missing customer type","OK")))</f>
        <v/>
      </c>
    </row>
    <row r="658">
      <c r="A658" s="3" t="inlineStr">
        <is>
          <t>ORD-10657</t>
        </is>
      </c>
      <c r="B658" s="7" t="n">
        <v>45893</v>
      </c>
      <c r="C658" s="3" t="inlineStr">
        <is>
          <t>Footwear</t>
        </is>
      </c>
      <c r="D658" s="3" t="inlineStr">
        <is>
          <t>Boots</t>
        </is>
      </c>
      <c r="E658" s="3" t="inlineStr">
        <is>
          <t>Ashanti</t>
        </is>
      </c>
      <c r="F658" s="3" t="inlineStr">
        <is>
          <t>Phone/WhatsApp</t>
        </is>
      </c>
      <c r="G658" s="3" t="inlineStr">
        <is>
          <t>New</t>
        </is>
      </c>
      <c r="H658" s="3" t="n">
        <v>2</v>
      </c>
      <c r="I658" s="8" t="n">
        <v>285</v>
      </c>
      <c r="J658" s="8" t="n">
        <v>157.39</v>
      </c>
      <c r="K658" s="9" t="n">
        <v>0.1</v>
      </c>
      <c r="L658" s="8" t="n">
        <v>28.04</v>
      </c>
      <c r="M658" s="8">
        <f>H658*I658*(1-K658)</f>
        <v/>
      </c>
      <c r="N658" s="8">
        <f>H658*J658</f>
        <v/>
      </c>
      <c r="O658" s="8">
        <f>M658-N658-L658</f>
        <v/>
      </c>
      <c r="P658" s="10">
        <f>IFERROR(O658/M658,0)</f>
        <v/>
      </c>
      <c r="Q658" s="3">
        <f>IF(H658&lt;=0,"Review: quantity &lt;= 0",IF(K658&gt;0.3,"Review: discount &gt; 30%",IF(G658="","Review: missing customer type","OK")))</f>
        <v/>
      </c>
    </row>
    <row r="659">
      <c r="A659" s="3" t="inlineStr">
        <is>
          <t>ORD-10658</t>
        </is>
      </c>
      <c r="B659" s="7" t="n">
        <v>45982</v>
      </c>
      <c r="C659" s="3" t="inlineStr">
        <is>
          <t>Clothing</t>
        </is>
      </c>
      <c r="D659" s="3" t="inlineStr">
        <is>
          <t>Shirts</t>
        </is>
      </c>
      <c r="E659" s="3" t="inlineStr">
        <is>
          <t>Greater Accra</t>
        </is>
      </c>
      <c r="F659" s="3" t="inlineStr">
        <is>
          <t>Online</t>
        </is>
      </c>
      <c r="G659" s="3" t="inlineStr">
        <is>
          <t>Returning</t>
        </is>
      </c>
      <c r="H659" s="3" t="n">
        <v>1</v>
      </c>
      <c r="I659" s="8" t="n">
        <v>245</v>
      </c>
      <c r="J659" s="8" t="n">
        <v>121.63</v>
      </c>
      <c r="K659" s="9" t="n">
        <v>0.15</v>
      </c>
      <c r="L659" s="8" t="n">
        <v>39.93</v>
      </c>
      <c r="M659" s="8">
        <f>H659*I659*(1-K659)</f>
        <v/>
      </c>
      <c r="N659" s="8">
        <f>H659*J659</f>
        <v/>
      </c>
      <c r="O659" s="8">
        <f>M659-N659-L659</f>
        <v/>
      </c>
      <c r="P659" s="10">
        <f>IFERROR(O659/M659,0)</f>
        <v/>
      </c>
      <c r="Q659" s="3">
        <f>IF(H659&lt;=0,"Review: quantity &lt;= 0",IF(K659&gt;0.3,"Review: discount &gt; 30%",IF(G659="","Review: missing customer type","OK")))</f>
        <v/>
      </c>
    </row>
    <row r="660">
      <c r="A660" s="3" t="inlineStr">
        <is>
          <t>ORD-10659</t>
        </is>
      </c>
      <c r="B660" s="7" t="n">
        <v>45782</v>
      </c>
      <c r="C660" s="3" t="inlineStr">
        <is>
          <t>Footwear</t>
        </is>
      </c>
      <c r="D660" s="3" t="inlineStr">
        <is>
          <t>Sneakers</t>
        </is>
      </c>
      <c r="E660" s="3" t="inlineStr">
        <is>
          <t>Central</t>
        </is>
      </c>
      <c r="F660" s="3" t="inlineStr">
        <is>
          <t>Retail Shop</t>
        </is>
      </c>
      <c r="G660" s="3" t="inlineStr">
        <is>
          <t>Returning</t>
        </is>
      </c>
      <c r="H660" s="3" t="n">
        <v>2</v>
      </c>
      <c r="I660" s="8" t="n">
        <v>220</v>
      </c>
      <c r="J660" s="8" t="n">
        <v>129.33</v>
      </c>
      <c r="K660" s="9" t="n">
        <v>0.05</v>
      </c>
      <c r="L660" s="8" t="n">
        <v>7.96</v>
      </c>
      <c r="M660" s="8">
        <f>H660*I660*(1-K660)</f>
        <v/>
      </c>
      <c r="N660" s="8">
        <f>H660*J660</f>
        <v/>
      </c>
      <c r="O660" s="8">
        <f>M660-N660-L660</f>
        <v/>
      </c>
      <c r="P660" s="10">
        <f>IFERROR(O660/M660,0)</f>
        <v/>
      </c>
      <c r="Q660" s="3">
        <f>IF(H660&lt;=0,"Review: quantity &lt;= 0",IF(K660&gt;0.3,"Review: discount &gt; 30%",IF(G660="","Review: missing customer type","OK")))</f>
        <v/>
      </c>
    </row>
    <row r="661">
      <c r="A661" s="3" t="inlineStr">
        <is>
          <t>ORD-10660</t>
        </is>
      </c>
      <c r="B661" s="7" t="n">
        <v>45946</v>
      </c>
      <c r="C661" s="3" t="inlineStr">
        <is>
          <t>Footwear</t>
        </is>
      </c>
      <c r="D661" s="3" t="inlineStr">
        <is>
          <t>Boots</t>
        </is>
      </c>
      <c r="E661" s="3" t="inlineStr">
        <is>
          <t>Northern</t>
        </is>
      </c>
      <c r="F661" s="3" t="inlineStr">
        <is>
          <t>Retail Shop</t>
        </is>
      </c>
      <c r="G661" s="3" t="inlineStr">
        <is>
          <t>Returning</t>
        </is>
      </c>
      <c r="H661" s="3" t="n">
        <v>3</v>
      </c>
      <c r="I661" s="8" t="n">
        <v>385</v>
      </c>
      <c r="J661" s="8" t="n">
        <v>210.9</v>
      </c>
      <c r="K661" s="9" t="n">
        <v>0.2</v>
      </c>
      <c r="L661" s="8" t="n">
        <v>3.56</v>
      </c>
      <c r="M661" s="8">
        <f>H661*I661*(1-K661)</f>
        <v/>
      </c>
      <c r="N661" s="8">
        <f>H661*J661</f>
        <v/>
      </c>
      <c r="O661" s="8">
        <f>M661-N661-L661</f>
        <v/>
      </c>
      <c r="P661" s="10">
        <f>IFERROR(O661/M661,0)</f>
        <v/>
      </c>
      <c r="Q661" s="3">
        <f>IF(H661&lt;=0,"Review: quantity &lt;= 0",IF(K661&gt;0.3,"Review: discount &gt; 30%",IF(G661="","Review: missing customer type","OK")))</f>
        <v/>
      </c>
    </row>
    <row r="662">
      <c r="A662" s="3" t="inlineStr">
        <is>
          <t>ORD-10661</t>
        </is>
      </c>
      <c r="B662" s="7" t="n">
        <v>45922</v>
      </c>
      <c r="C662" s="3" t="inlineStr">
        <is>
          <t>Footwear</t>
        </is>
      </c>
      <c r="D662" s="3" t="inlineStr">
        <is>
          <t>Sneakers</t>
        </is>
      </c>
      <c r="E662" s="3" t="inlineStr">
        <is>
          <t>Greater Accra</t>
        </is>
      </c>
      <c r="F662" s="3" t="inlineStr">
        <is>
          <t>Retail Shop</t>
        </is>
      </c>
      <c r="G662" s="3" t="inlineStr">
        <is>
          <t>New</t>
        </is>
      </c>
      <c r="H662" s="3" t="n">
        <v>4</v>
      </c>
      <c r="I662" s="8" t="n">
        <v>350</v>
      </c>
      <c r="J662" s="8" t="n">
        <v>184.81</v>
      </c>
      <c r="K662" s="9" t="n">
        <v>0.15</v>
      </c>
      <c r="L662" s="8" t="n">
        <v>5.07</v>
      </c>
      <c r="M662" s="8">
        <f>H662*I662*(1-K662)</f>
        <v/>
      </c>
      <c r="N662" s="8">
        <f>H662*J662</f>
        <v/>
      </c>
      <c r="O662" s="8">
        <f>M662-N662-L662</f>
        <v/>
      </c>
      <c r="P662" s="10">
        <f>IFERROR(O662/M662,0)</f>
        <v/>
      </c>
      <c r="Q662" s="3">
        <f>IF(H662&lt;=0,"Review: quantity &lt;= 0",IF(K662&gt;0.3,"Review: discount &gt; 30%",IF(G662="","Review: missing customer type","OK")))</f>
        <v/>
      </c>
    </row>
    <row r="663">
      <c r="A663" s="3" t="inlineStr">
        <is>
          <t>ORD-10662</t>
        </is>
      </c>
      <c r="B663" s="7" t="n">
        <v>45793</v>
      </c>
      <c r="C663" s="3" t="inlineStr">
        <is>
          <t>Clothing</t>
        </is>
      </c>
      <c r="D663" s="3" t="inlineStr">
        <is>
          <t>Shirts</t>
        </is>
      </c>
      <c r="E663" s="3" t="inlineStr">
        <is>
          <t>Ashanti</t>
        </is>
      </c>
      <c r="F663" s="3" t="inlineStr">
        <is>
          <t>Retail Shop</t>
        </is>
      </c>
      <c r="G663" s="3" t="inlineStr">
        <is>
          <t>Returning</t>
        </is>
      </c>
      <c r="H663" s="3" t="n">
        <v>1</v>
      </c>
      <c r="I663" s="8" t="n">
        <v>170</v>
      </c>
      <c r="J663" s="8" t="n">
        <v>88.48999999999999</v>
      </c>
      <c r="K663" s="9" t="n">
        <v>0</v>
      </c>
      <c r="L663" s="8" t="n">
        <v>4.52</v>
      </c>
      <c r="M663" s="8">
        <f>H663*I663*(1-K663)</f>
        <v/>
      </c>
      <c r="N663" s="8">
        <f>H663*J663</f>
        <v/>
      </c>
      <c r="O663" s="8">
        <f>M663-N663-L663</f>
        <v/>
      </c>
      <c r="P663" s="10">
        <f>IFERROR(O663/M663,0)</f>
        <v/>
      </c>
      <c r="Q663" s="3">
        <f>IF(H663&lt;=0,"Review: quantity &lt;= 0",IF(K663&gt;0.3,"Review: discount &gt; 30%",IF(G663="","Review: missing customer type","OK")))</f>
        <v/>
      </c>
    </row>
    <row r="664">
      <c r="A664" s="3" t="inlineStr">
        <is>
          <t>ORD-10663</t>
        </is>
      </c>
      <c r="B664" s="7" t="n">
        <v>45682</v>
      </c>
      <c r="C664" s="3" t="inlineStr">
        <is>
          <t>Clothing</t>
        </is>
      </c>
      <c r="D664" s="3" t="inlineStr">
        <is>
          <t>Dresses</t>
        </is>
      </c>
      <c r="E664" s="3" t="inlineStr">
        <is>
          <t>Ashanti</t>
        </is>
      </c>
      <c r="F664" s="3" t="inlineStr">
        <is>
          <t>Online</t>
        </is>
      </c>
      <c r="G664" s="3" t="inlineStr">
        <is>
          <t>New</t>
        </is>
      </c>
      <c r="H664" s="3" t="n">
        <v>1</v>
      </c>
      <c r="I664" s="8" t="n">
        <v>75</v>
      </c>
      <c r="J664" s="8" t="n">
        <v>37.88</v>
      </c>
      <c r="K664" s="9" t="n">
        <v>0</v>
      </c>
      <c r="L664" s="8" t="n">
        <v>35.33</v>
      </c>
      <c r="M664" s="8">
        <f>H664*I664*(1-K664)</f>
        <v/>
      </c>
      <c r="N664" s="8">
        <f>H664*J664</f>
        <v/>
      </c>
      <c r="O664" s="8">
        <f>M664-N664-L664</f>
        <v/>
      </c>
      <c r="P664" s="10">
        <f>IFERROR(O664/M664,0)</f>
        <v/>
      </c>
      <c r="Q664" s="3">
        <f>IF(H664&lt;=0,"Review: quantity &lt;= 0",IF(K664&gt;0.3,"Review: discount &gt; 30%",IF(G664="","Review: missing customer type","OK")))</f>
        <v/>
      </c>
    </row>
    <row r="665">
      <c r="A665" s="3" t="inlineStr">
        <is>
          <t>ORD-10664</t>
        </is>
      </c>
      <c r="B665" s="7" t="n">
        <v>45933</v>
      </c>
      <c r="C665" s="3" t="inlineStr">
        <is>
          <t>Footwear</t>
        </is>
      </c>
      <c r="D665" s="3" t="inlineStr">
        <is>
          <t>Sandals</t>
        </is>
      </c>
      <c r="E665" s="3" t="inlineStr">
        <is>
          <t>Central</t>
        </is>
      </c>
      <c r="F665" s="3" t="inlineStr">
        <is>
          <t>Phone/WhatsApp</t>
        </is>
      </c>
      <c r="G665" s="3" t="inlineStr">
        <is>
          <t>New</t>
        </is>
      </c>
      <c r="H665" s="3" t="n">
        <v>4</v>
      </c>
      <c r="I665" s="8" t="n">
        <v>320</v>
      </c>
      <c r="J665" s="8" t="n">
        <v>165.51</v>
      </c>
      <c r="K665" s="9" t="n">
        <v>0.15</v>
      </c>
      <c r="L665" s="8" t="n">
        <v>21.29</v>
      </c>
      <c r="M665" s="8">
        <f>H665*I665*(1-K665)</f>
        <v/>
      </c>
      <c r="N665" s="8">
        <f>H665*J665</f>
        <v/>
      </c>
      <c r="O665" s="8">
        <f>M665-N665-L665</f>
        <v/>
      </c>
      <c r="P665" s="10">
        <f>IFERROR(O665/M665,0)</f>
        <v/>
      </c>
      <c r="Q665" s="3">
        <f>IF(H665&lt;=0,"Review: quantity &lt;= 0",IF(K665&gt;0.3,"Review: discount &gt; 30%",IF(G665="","Review: missing customer type","OK")))</f>
        <v/>
      </c>
    </row>
    <row r="666">
      <c r="A666" s="3" t="inlineStr">
        <is>
          <t>ORD-10665</t>
        </is>
      </c>
      <c r="B666" s="7" t="n">
        <v>45703</v>
      </c>
      <c r="C666" s="3" t="inlineStr">
        <is>
          <t>Home &amp; Lifestyle</t>
        </is>
      </c>
      <c r="D666" s="3" t="inlineStr">
        <is>
          <t>Small Home Goods</t>
        </is>
      </c>
      <c r="E666" s="3" t="inlineStr">
        <is>
          <t>Ashanti</t>
        </is>
      </c>
      <c r="F666" s="3" t="inlineStr">
        <is>
          <t>Phone/WhatsApp</t>
        </is>
      </c>
      <c r="G666" s="3" t="inlineStr">
        <is>
          <t>Returning</t>
        </is>
      </c>
      <c r="H666" s="3" t="n">
        <v>1</v>
      </c>
      <c r="I666" s="8" t="n">
        <v>85</v>
      </c>
      <c r="J666" s="8" t="n">
        <v>52.15</v>
      </c>
      <c r="K666" s="9" t="n">
        <v>0.05</v>
      </c>
      <c r="L666" s="8" t="n">
        <v>24.36</v>
      </c>
      <c r="M666" s="8">
        <f>H666*I666*(1-K666)</f>
        <v/>
      </c>
      <c r="N666" s="8">
        <f>H666*J666</f>
        <v/>
      </c>
      <c r="O666" s="8">
        <f>M666-N666-L666</f>
        <v/>
      </c>
      <c r="P666" s="10">
        <f>IFERROR(O666/M666,0)</f>
        <v/>
      </c>
      <c r="Q666" s="3">
        <f>IF(H666&lt;=0,"Review: quantity &lt;= 0",IF(K666&gt;0.3,"Review: discount &gt; 30%",IF(G666="","Review: missing customer type","OK")))</f>
        <v/>
      </c>
    </row>
    <row r="667">
      <c r="A667" s="3" t="inlineStr">
        <is>
          <t>ORD-10666</t>
        </is>
      </c>
      <c r="B667" s="7" t="n">
        <v>45998</v>
      </c>
      <c r="C667" s="3" t="inlineStr">
        <is>
          <t>Footwear</t>
        </is>
      </c>
      <c r="D667" s="3" t="inlineStr">
        <is>
          <t>Boots</t>
        </is>
      </c>
      <c r="E667" s="3" t="inlineStr">
        <is>
          <t>Ashanti</t>
        </is>
      </c>
      <c r="F667" s="3" t="inlineStr">
        <is>
          <t>Retail Shop</t>
        </is>
      </c>
      <c r="G667" s="3" t="inlineStr">
        <is>
          <t>Returning</t>
        </is>
      </c>
      <c r="H667" s="3" t="n">
        <v>3</v>
      </c>
      <c r="I667" s="8" t="n">
        <v>240</v>
      </c>
      <c r="J667" s="8" t="n">
        <v>149.69</v>
      </c>
      <c r="K667" s="9" t="n">
        <v>0</v>
      </c>
      <c r="L667" s="8" t="n">
        <v>8.94</v>
      </c>
      <c r="M667" s="8">
        <f>H667*I667*(1-K667)</f>
        <v/>
      </c>
      <c r="N667" s="8">
        <f>H667*J667</f>
        <v/>
      </c>
      <c r="O667" s="8">
        <f>M667-N667-L667</f>
        <v/>
      </c>
      <c r="P667" s="10">
        <f>IFERROR(O667/M667,0)</f>
        <v/>
      </c>
      <c r="Q667" s="3">
        <f>IF(H667&lt;=0,"Review: quantity &lt;= 0",IF(K667&gt;0.3,"Review: discount &gt; 30%",IF(G667="","Review: missing customer type","OK")))</f>
        <v/>
      </c>
    </row>
    <row r="668">
      <c r="A668" s="3" t="inlineStr">
        <is>
          <t>ORD-10667</t>
        </is>
      </c>
      <c r="B668" s="7" t="n">
        <v>45728</v>
      </c>
      <c r="C668" s="3" t="inlineStr">
        <is>
          <t>Footwear</t>
        </is>
      </c>
      <c r="D668" s="3" t="inlineStr">
        <is>
          <t>Sneakers</t>
        </is>
      </c>
      <c r="E668" s="3" t="inlineStr">
        <is>
          <t>Greater Accra</t>
        </is>
      </c>
      <c r="F668" s="3" t="inlineStr">
        <is>
          <t>Online</t>
        </is>
      </c>
      <c r="G668" s="3" t="inlineStr">
        <is>
          <t>Returning</t>
        </is>
      </c>
      <c r="H668" s="3" t="n">
        <v>1</v>
      </c>
      <c r="I668" s="8" t="n">
        <v>280</v>
      </c>
      <c r="J668" s="8" t="n">
        <v>171.39</v>
      </c>
      <c r="K668" s="9" t="n">
        <v>0</v>
      </c>
      <c r="L668" s="8" t="n">
        <v>30.03</v>
      </c>
      <c r="M668" s="8">
        <f>H668*I668*(1-K668)</f>
        <v/>
      </c>
      <c r="N668" s="8">
        <f>H668*J668</f>
        <v/>
      </c>
      <c r="O668" s="8">
        <f>M668-N668-L668</f>
        <v/>
      </c>
      <c r="P668" s="10">
        <f>IFERROR(O668/M668,0)</f>
        <v/>
      </c>
      <c r="Q668" s="3">
        <f>IF(H668&lt;=0,"Review: quantity &lt;= 0",IF(K668&gt;0.3,"Review: discount &gt; 30%",IF(G668="","Review: missing customer type","OK")))</f>
        <v/>
      </c>
    </row>
    <row r="669">
      <c r="A669" s="3" t="inlineStr">
        <is>
          <t>ORD-10668</t>
        </is>
      </c>
      <c r="B669" s="7" t="n">
        <v>45719</v>
      </c>
      <c r="C669" s="3" t="inlineStr">
        <is>
          <t>Accessories</t>
        </is>
      </c>
      <c r="D669" s="3" t="inlineStr">
        <is>
          <t>Belts</t>
        </is>
      </c>
      <c r="E669" s="3" t="inlineStr">
        <is>
          <t>Greater Accra</t>
        </is>
      </c>
      <c r="F669" s="3" t="inlineStr">
        <is>
          <t>Phone/WhatsApp</t>
        </is>
      </c>
      <c r="G669" s="3" t="inlineStr">
        <is>
          <t>Returning</t>
        </is>
      </c>
      <c r="H669" s="3" t="n">
        <v>2</v>
      </c>
      <c r="I669" s="8" t="n">
        <v>105</v>
      </c>
      <c r="J669" s="8" t="n">
        <v>49.52</v>
      </c>
      <c r="K669" s="9" t="n">
        <v>0.1</v>
      </c>
      <c r="L669" s="8" t="n">
        <v>19.46</v>
      </c>
      <c r="M669" s="8">
        <f>H669*I669*(1-K669)</f>
        <v/>
      </c>
      <c r="N669" s="8">
        <f>H669*J669</f>
        <v/>
      </c>
      <c r="O669" s="8">
        <f>M669-N669-L669</f>
        <v/>
      </c>
      <c r="P669" s="10">
        <f>IFERROR(O669/M669,0)</f>
        <v/>
      </c>
      <c r="Q669" s="3">
        <f>IF(H669&lt;=0,"Review: quantity &lt;= 0",IF(K669&gt;0.3,"Review: discount &gt; 30%",IF(G669="","Review: missing customer type","OK")))</f>
        <v/>
      </c>
    </row>
    <row r="670">
      <c r="A670" s="3" t="inlineStr">
        <is>
          <t>ORD-10669</t>
        </is>
      </c>
      <c r="B670" s="7" t="n">
        <v>45916</v>
      </c>
      <c r="C670" s="3" t="inlineStr">
        <is>
          <t>Clothing</t>
        </is>
      </c>
      <c r="D670" s="3" t="inlineStr">
        <is>
          <t>Trousers</t>
        </is>
      </c>
      <c r="E670" s="3" t="inlineStr">
        <is>
          <t>Greater Accra</t>
        </is>
      </c>
      <c r="F670" s="3" t="inlineStr">
        <is>
          <t>Retail Shop</t>
        </is>
      </c>
      <c r="G670" s="3" t="inlineStr">
        <is>
          <t>Returning</t>
        </is>
      </c>
      <c r="H670" s="3" t="n">
        <v>4</v>
      </c>
      <c r="I670" s="8" t="n">
        <v>220</v>
      </c>
      <c r="J670" s="8" t="n">
        <v>116.1</v>
      </c>
      <c r="K670" s="9" t="n">
        <v>0</v>
      </c>
      <c r="L670" s="8" t="n">
        <v>2.52</v>
      </c>
      <c r="M670" s="8">
        <f>H670*I670*(1-K670)</f>
        <v/>
      </c>
      <c r="N670" s="8">
        <f>H670*J670</f>
        <v/>
      </c>
      <c r="O670" s="8">
        <f>M670-N670-L670</f>
        <v/>
      </c>
      <c r="P670" s="10">
        <f>IFERROR(O670/M670,0)</f>
        <v/>
      </c>
      <c r="Q670" s="3">
        <f>IF(H670&lt;=0,"Review: quantity &lt;= 0",IF(K670&gt;0.3,"Review: discount &gt; 30%",IF(G670="","Review: missing customer type","OK")))</f>
        <v/>
      </c>
    </row>
    <row r="671">
      <c r="A671" s="3" t="inlineStr">
        <is>
          <t>ORD-10670</t>
        </is>
      </c>
      <c r="B671" s="7" t="n">
        <v>45975</v>
      </c>
      <c r="C671" s="3" t="inlineStr">
        <is>
          <t>Clothing</t>
        </is>
      </c>
      <c r="D671" s="3" t="inlineStr">
        <is>
          <t>Jackets</t>
        </is>
      </c>
      <c r="E671" s="3" t="inlineStr">
        <is>
          <t>Ashanti</t>
        </is>
      </c>
      <c r="F671" s="3" t="inlineStr">
        <is>
          <t>Retail Shop</t>
        </is>
      </c>
      <c r="G671" s="3" t="inlineStr">
        <is>
          <t>Returning</t>
        </is>
      </c>
      <c r="H671" s="3" t="n">
        <v>2</v>
      </c>
      <c r="I671" s="8" t="n">
        <v>155</v>
      </c>
      <c r="J671" s="8" t="n">
        <v>73.75</v>
      </c>
      <c r="K671" s="9" t="n">
        <v>0</v>
      </c>
      <c r="L671" s="8" t="n">
        <v>11.48</v>
      </c>
      <c r="M671" s="8">
        <f>H671*I671*(1-K671)</f>
        <v/>
      </c>
      <c r="N671" s="8">
        <f>H671*J671</f>
        <v/>
      </c>
      <c r="O671" s="8">
        <f>M671-N671-L671</f>
        <v/>
      </c>
      <c r="P671" s="10">
        <f>IFERROR(O671/M671,0)</f>
        <v/>
      </c>
      <c r="Q671" s="3">
        <f>IF(H671&lt;=0,"Review: quantity &lt;= 0",IF(K671&gt;0.3,"Review: discount &gt; 30%",IF(G671="","Review: missing customer type","OK")))</f>
        <v/>
      </c>
    </row>
    <row r="672">
      <c r="A672" s="3" t="inlineStr">
        <is>
          <t>ORD-10671</t>
        </is>
      </c>
      <c r="B672" s="7" t="n">
        <v>45944</v>
      </c>
      <c r="C672" s="3" t="inlineStr">
        <is>
          <t>Clothing</t>
        </is>
      </c>
      <c r="D672" s="3" t="inlineStr">
        <is>
          <t>Jackets</t>
        </is>
      </c>
      <c r="E672" s="3" t="inlineStr">
        <is>
          <t>Western</t>
        </is>
      </c>
      <c r="F672" s="3" t="inlineStr">
        <is>
          <t>Phone/WhatsApp</t>
        </is>
      </c>
      <c r="G672" s="3" t="inlineStr">
        <is>
          <t>Returning</t>
        </is>
      </c>
      <c r="H672" s="3" t="n">
        <v>2</v>
      </c>
      <c r="I672" s="8" t="n">
        <v>140</v>
      </c>
      <c r="J672" s="8" t="n">
        <v>73.87</v>
      </c>
      <c r="K672" s="9" t="n">
        <v>0.1</v>
      </c>
      <c r="L672" s="8" t="n">
        <v>42.37</v>
      </c>
      <c r="M672" s="8">
        <f>H672*I672*(1-K672)</f>
        <v/>
      </c>
      <c r="N672" s="8">
        <f>H672*J672</f>
        <v/>
      </c>
      <c r="O672" s="8">
        <f>M672-N672-L672</f>
        <v/>
      </c>
      <c r="P672" s="10">
        <f>IFERROR(O672/M672,0)</f>
        <v/>
      </c>
      <c r="Q672" s="3">
        <f>IF(H672&lt;=0,"Review: quantity &lt;= 0",IF(K672&gt;0.3,"Review: discount &gt; 30%",IF(G672="","Review: missing customer type","OK")))</f>
        <v/>
      </c>
    </row>
    <row r="673">
      <c r="A673" s="3" t="inlineStr">
        <is>
          <t>ORD-10672</t>
        </is>
      </c>
      <c r="B673" s="7" t="n">
        <v>45982</v>
      </c>
      <c r="C673" s="3" t="inlineStr">
        <is>
          <t>Footwear</t>
        </is>
      </c>
      <c r="D673" s="3" t="inlineStr">
        <is>
          <t>Sandals</t>
        </is>
      </c>
      <c r="E673" s="3" t="inlineStr">
        <is>
          <t>Ashanti</t>
        </is>
      </c>
      <c r="F673" s="3" t="inlineStr">
        <is>
          <t>Retail Shop</t>
        </is>
      </c>
      <c r="G673" s="3" t="inlineStr">
        <is>
          <t>Returning</t>
        </is>
      </c>
      <c r="H673" s="3" t="n">
        <v>3</v>
      </c>
      <c r="I673" s="8" t="n">
        <v>290</v>
      </c>
      <c r="J673" s="8" t="n">
        <v>177.06</v>
      </c>
      <c r="K673" s="9" t="n">
        <v>0</v>
      </c>
      <c r="L673" s="8" t="n">
        <v>1.02</v>
      </c>
      <c r="M673" s="8">
        <f>H673*I673*(1-K673)</f>
        <v/>
      </c>
      <c r="N673" s="8">
        <f>H673*J673</f>
        <v/>
      </c>
      <c r="O673" s="8">
        <f>M673-N673-L673</f>
        <v/>
      </c>
      <c r="P673" s="10">
        <f>IFERROR(O673/M673,0)</f>
        <v/>
      </c>
      <c r="Q673" s="3">
        <f>IF(H673&lt;=0,"Review: quantity &lt;= 0",IF(K673&gt;0.3,"Review: discount &gt; 30%",IF(G673="","Review: missing customer type","OK")))</f>
        <v/>
      </c>
    </row>
    <row r="674">
      <c r="A674" s="3" t="inlineStr">
        <is>
          <t>ORD-10673</t>
        </is>
      </c>
      <c r="B674" s="7" t="n">
        <v>45852</v>
      </c>
      <c r="C674" s="3" t="inlineStr">
        <is>
          <t>Footwear</t>
        </is>
      </c>
      <c r="D674" s="3" t="inlineStr">
        <is>
          <t>Sneakers</t>
        </is>
      </c>
      <c r="E674" s="3" t="inlineStr">
        <is>
          <t>Northern</t>
        </is>
      </c>
      <c r="F674" s="3" t="inlineStr">
        <is>
          <t>Retail Shop</t>
        </is>
      </c>
      <c r="G674" s="3" t="inlineStr">
        <is>
          <t>Returning</t>
        </is>
      </c>
      <c r="H674" s="3" t="n">
        <v>1</v>
      </c>
      <c r="I674" s="8" t="n">
        <v>305</v>
      </c>
      <c r="J674" s="8" t="n">
        <v>182.37</v>
      </c>
      <c r="K674" s="9" t="n">
        <v>0.05</v>
      </c>
      <c r="L674" s="8" t="n">
        <v>11.38</v>
      </c>
      <c r="M674" s="8">
        <f>H674*I674*(1-K674)</f>
        <v/>
      </c>
      <c r="N674" s="8">
        <f>H674*J674</f>
        <v/>
      </c>
      <c r="O674" s="8">
        <f>M674-N674-L674</f>
        <v/>
      </c>
      <c r="P674" s="10">
        <f>IFERROR(O674/M674,0)</f>
        <v/>
      </c>
      <c r="Q674" s="3">
        <f>IF(H674&lt;=0,"Review: quantity &lt;= 0",IF(K674&gt;0.3,"Review: discount &gt; 30%",IF(G674="","Review: missing customer type","OK")))</f>
        <v/>
      </c>
    </row>
    <row r="675">
      <c r="A675" s="3" t="inlineStr">
        <is>
          <t>ORD-10674</t>
        </is>
      </c>
      <c r="B675" s="7" t="n">
        <v>45707</v>
      </c>
      <c r="C675" s="3" t="inlineStr">
        <is>
          <t>Clothing</t>
        </is>
      </c>
      <c r="D675" s="3" t="inlineStr">
        <is>
          <t>Shirts</t>
        </is>
      </c>
      <c r="E675" s="3" t="inlineStr">
        <is>
          <t>Central</t>
        </is>
      </c>
      <c r="F675" s="3" t="inlineStr">
        <is>
          <t>Phone/WhatsApp</t>
        </is>
      </c>
      <c r="G675" s="3" t="inlineStr">
        <is>
          <t>Returning</t>
        </is>
      </c>
      <c r="H675" s="3" t="n">
        <v>2</v>
      </c>
      <c r="I675" s="8" t="n">
        <v>340</v>
      </c>
      <c r="J675" s="8" t="n">
        <v>162.99</v>
      </c>
      <c r="K675" s="9" t="n">
        <v>0</v>
      </c>
      <c r="L675" s="8" t="n">
        <v>25.56</v>
      </c>
      <c r="M675" s="8">
        <f>H675*I675*(1-K675)</f>
        <v/>
      </c>
      <c r="N675" s="8">
        <f>H675*J675</f>
        <v/>
      </c>
      <c r="O675" s="8">
        <f>M675-N675-L675</f>
        <v/>
      </c>
      <c r="P675" s="10">
        <f>IFERROR(O675/M675,0)</f>
        <v/>
      </c>
      <c r="Q675" s="3">
        <f>IF(H675&lt;=0,"Review: quantity &lt;= 0",IF(K675&gt;0.3,"Review: discount &gt; 30%",IF(G675="","Review: missing customer type","OK")))</f>
        <v/>
      </c>
    </row>
    <row r="676">
      <c r="A676" s="3" t="inlineStr">
        <is>
          <t>ORD-10675</t>
        </is>
      </c>
      <c r="B676" s="7" t="n">
        <v>45821</v>
      </c>
      <c r="C676" s="3" t="inlineStr">
        <is>
          <t>Footwear</t>
        </is>
      </c>
      <c r="D676" s="3" t="inlineStr">
        <is>
          <t>Sneakers</t>
        </is>
      </c>
      <c r="E676" s="3" t="inlineStr">
        <is>
          <t>Central</t>
        </is>
      </c>
      <c r="F676" s="3" t="inlineStr">
        <is>
          <t>Retail Shop</t>
        </is>
      </c>
      <c r="G676" s="3" t="inlineStr">
        <is>
          <t>Returning</t>
        </is>
      </c>
      <c r="H676" s="3" t="n">
        <v>5</v>
      </c>
      <c r="I676" s="8" t="n">
        <v>285</v>
      </c>
      <c r="J676" s="8" t="n">
        <v>152.26</v>
      </c>
      <c r="K676" s="9" t="n">
        <v>0.15</v>
      </c>
      <c r="L676" s="8" t="n">
        <v>0.4</v>
      </c>
      <c r="M676" s="8">
        <f>H676*I676*(1-K676)</f>
        <v/>
      </c>
      <c r="N676" s="8">
        <f>H676*J676</f>
        <v/>
      </c>
      <c r="O676" s="8">
        <f>M676-N676-L676</f>
        <v/>
      </c>
      <c r="P676" s="10">
        <f>IFERROR(O676/M676,0)</f>
        <v/>
      </c>
      <c r="Q676" s="3">
        <f>IF(H676&lt;=0,"Review: quantity &lt;= 0",IF(K676&gt;0.3,"Review: discount &gt; 30%",IF(G676="","Review: missing customer type","OK")))</f>
        <v/>
      </c>
    </row>
    <row r="677">
      <c r="A677" s="3" t="inlineStr">
        <is>
          <t>ORD-10676</t>
        </is>
      </c>
      <c r="B677" s="7" t="n">
        <v>45978</v>
      </c>
      <c r="C677" s="3" t="inlineStr">
        <is>
          <t>Footwear</t>
        </is>
      </c>
      <c r="D677" s="3" t="inlineStr">
        <is>
          <t>Boots</t>
        </is>
      </c>
      <c r="E677" s="3" t="inlineStr">
        <is>
          <t>Central</t>
        </is>
      </c>
      <c r="F677" s="3" t="inlineStr">
        <is>
          <t>Phone/WhatsApp</t>
        </is>
      </c>
      <c r="G677" s="3" t="inlineStr">
        <is>
          <t>Returning</t>
        </is>
      </c>
      <c r="H677" s="3" t="n">
        <v>4</v>
      </c>
      <c r="I677" s="8" t="n">
        <v>485</v>
      </c>
      <c r="J677" s="8" t="n">
        <v>293.04</v>
      </c>
      <c r="K677" s="9" t="n">
        <v>0</v>
      </c>
      <c r="L677" s="8" t="n">
        <v>15.36</v>
      </c>
      <c r="M677" s="8">
        <f>H677*I677*(1-K677)</f>
        <v/>
      </c>
      <c r="N677" s="8">
        <f>H677*J677</f>
        <v/>
      </c>
      <c r="O677" s="8">
        <f>M677-N677-L677</f>
        <v/>
      </c>
      <c r="P677" s="10">
        <f>IFERROR(O677/M677,0)</f>
        <v/>
      </c>
      <c r="Q677" s="3">
        <f>IF(H677&lt;=0,"Review: quantity &lt;= 0",IF(K677&gt;0.3,"Review: discount &gt; 30%",IF(G677="","Review: missing customer type","OK")))</f>
        <v/>
      </c>
    </row>
    <row r="678">
      <c r="A678" s="3" t="inlineStr">
        <is>
          <t>ORD-10677</t>
        </is>
      </c>
      <c r="B678" s="7" t="n">
        <v>45936</v>
      </c>
      <c r="C678" s="3" t="inlineStr">
        <is>
          <t>Accessories</t>
        </is>
      </c>
      <c r="D678" s="3" t="inlineStr">
        <is>
          <t>Bags</t>
        </is>
      </c>
      <c r="E678" s="3" t="inlineStr">
        <is>
          <t>Ashanti</t>
        </is>
      </c>
      <c r="F678" s="3" t="inlineStr">
        <is>
          <t>Retail Shop</t>
        </is>
      </c>
      <c r="G678" s="3" t="inlineStr">
        <is>
          <t>New</t>
        </is>
      </c>
      <c r="H678" s="3" t="n">
        <v>1</v>
      </c>
      <c r="I678" s="8" t="n">
        <v>115</v>
      </c>
      <c r="J678" s="8" t="n">
        <v>58.95</v>
      </c>
      <c r="K678" s="9" t="n">
        <v>0</v>
      </c>
      <c r="L678" s="8" t="n">
        <v>8.98</v>
      </c>
      <c r="M678" s="8">
        <f>H678*I678*(1-K678)</f>
        <v/>
      </c>
      <c r="N678" s="8">
        <f>H678*J678</f>
        <v/>
      </c>
      <c r="O678" s="8">
        <f>M678-N678-L678</f>
        <v/>
      </c>
      <c r="P678" s="10">
        <f>IFERROR(O678/M678,0)</f>
        <v/>
      </c>
      <c r="Q678" s="3">
        <f>IF(H678&lt;=0,"Review: quantity &lt;= 0",IF(K678&gt;0.3,"Review: discount &gt; 30%",IF(G678="","Review: missing customer type","OK")))</f>
        <v/>
      </c>
    </row>
    <row r="679">
      <c r="A679" s="3" t="inlineStr">
        <is>
          <t>ORD-10678</t>
        </is>
      </c>
      <c r="B679" s="7" t="n">
        <v>45941</v>
      </c>
      <c r="C679" s="3" t="inlineStr">
        <is>
          <t>Accessories</t>
        </is>
      </c>
      <c r="D679" s="3" t="inlineStr">
        <is>
          <t>Bags</t>
        </is>
      </c>
      <c r="E679" s="3" t="inlineStr">
        <is>
          <t>Greater Accra</t>
        </is>
      </c>
      <c r="F679" s="3" t="inlineStr">
        <is>
          <t>Phone/WhatsApp</t>
        </is>
      </c>
      <c r="G679" s="3" t="inlineStr">
        <is>
          <t>Returning</t>
        </is>
      </c>
      <c r="H679" s="3" t="n">
        <v>2</v>
      </c>
      <c r="I679" s="8" t="n">
        <v>75</v>
      </c>
      <c r="J679" s="8" t="n">
        <v>31.7</v>
      </c>
      <c r="K679" s="9" t="n">
        <v>0.05</v>
      </c>
      <c r="L679" s="8" t="n">
        <v>29.18</v>
      </c>
      <c r="M679" s="8">
        <f>H679*I679*(1-K679)</f>
        <v/>
      </c>
      <c r="N679" s="8">
        <f>H679*J679</f>
        <v/>
      </c>
      <c r="O679" s="8">
        <f>M679-N679-L679</f>
        <v/>
      </c>
      <c r="P679" s="10">
        <f>IFERROR(O679/M679,0)</f>
        <v/>
      </c>
      <c r="Q679" s="3">
        <f>IF(H679&lt;=0,"Review: quantity &lt;= 0",IF(K679&gt;0.3,"Review: discount &gt; 30%",IF(G679="","Review: missing customer type","OK")))</f>
        <v/>
      </c>
    </row>
    <row r="680">
      <c r="A680" s="3" t="inlineStr">
        <is>
          <t>ORD-10679</t>
        </is>
      </c>
      <c r="B680" s="7" t="n">
        <v>45859</v>
      </c>
      <c r="C680" s="3" t="inlineStr">
        <is>
          <t>Clothing</t>
        </is>
      </c>
      <c r="D680" s="3" t="inlineStr">
        <is>
          <t>Jackets</t>
        </is>
      </c>
      <c r="E680" s="3" t="inlineStr">
        <is>
          <t>Ashanti</t>
        </is>
      </c>
      <c r="F680" s="3" t="inlineStr">
        <is>
          <t>Retail Shop</t>
        </is>
      </c>
      <c r="G680" s="3" t="inlineStr">
        <is>
          <t>New</t>
        </is>
      </c>
      <c r="H680" s="3" t="n">
        <v>5</v>
      </c>
      <c r="I680" s="8" t="n">
        <v>265</v>
      </c>
      <c r="J680" s="8" t="n">
        <v>146.88</v>
      </c>
      <c r="K680" s="9" t="n">
        <v>0.05</v>
      </c>
      <c r="L680" s="8" t="n">
        <v>8.85</v>
      </c>
      <c r="M680" s="8">
        <f>H680*I680*(1-K680)</f>
        <v/>
      </c>
      <c r="N680" s="8">
        <f>H680*J680</f>
        <v/>
      </c>
      <c r="O680" s="8">
        <f>M680-N680-L680</f>
        <v/>
      </c>
      <c r="P680" s="10">
        <f>IFERROR(O680/M680,0)</f>
        <v/>
      </c>
      <c r="Q680" s="3">
        <f>IF(H680&lt;=0,"Review: quantity &lt;= 0",IF(K680&gt;0.3,"Review: discount &gt; 30%",IF(G680="","Review: missing customer type","OK")))</f>
        <v/>
      </c>
    </row>
    <row r="681">
      <c r="A681" s="3" t="inlineStr">
        <is>
          <t>ORD-10680</t>
        </is>
      </c>
      <c r="B681" s="7" t="n">
        <v>45701</v>
      </c>
      <c r="C681" s="3" t="inlineStr">
        <is>
          <t>Home &amp; Lifestyle</t>
        </is>
      </c>
      <c r="D681" s="3" t="inlineStr">
        <is>
          <t>Travel Mugs</t>
        </is>
      </c>
      <c r="E681" s="3" t="inlineStr">
        <is>
          <t>Greater Accra</t>
        </is>
      </c>
      <c r="F681" s="3" t="inlineStr">
        <is>
          <t>Retail Shop</t>
        </is>
      </c>
      <c r="G681" s="3" t="inlineStr">
        <is>
          <t>New</t>
        </is>
      </c>
      <c r="H681" s="3" t="n">
        <v>1</v>
      </c>
      <c r="I681" s="8" t="n">
        <v>105</v>
      </c>
      <c r="J681" s="8" t="n">
        <v>53.74</v>
      </c>
      <c r="K681" s="9" t="n">
        <v>0.05</v>
      </c>
      <c r="L681" s="8" t="n">
        <v>9.75</v>
      </c>
      <c r="M681" s="8">
        <f>H681*I681*(1-K681)</f>
        <v/>
      </c>
      <c r="N681" s="8">
        <f>H681*J681</f>
        <v/>
      </c>
      <c r="O681" s="8">
        <f>M681-N681-L681</f>
        <v/>
      </c>
      <c r="P681" s="10">
        <f>IFERROR(O681/M681,0)</f>
        <v/>
      </c>
      <c r="Q681" s="3">
        <f>IF(H681&lt;=0,"Review: quantity &lt;= 0",IF(K681&gt;0.3,"Review: discount &gt; 30%",IF(G681="","Review: missing customer type","OK")))</f>
        <v/>
      </c>
    </row>
    <row r="682">
      <c r="A682" s="3" t="inlineStr">
        <is>
          <t>ORD-10681</t>
        </is>
      </c>
      <c r="B682" s="7" t="n">
        <v>45971</v>
      </c>
      <c r="C682" s="3" t="inlineStr">
        <is>
          <t>Footwear</t>
        </is>
      </c>
      <c r="D682" s="3" t="inlineStr">
        <is>
          <t>Formal Shoes</t>
        </is>
      </c>
      <c r="E682" s="3" t="inlineStr">
        <is>
          <t>Greater Accra</t>
        </is>
      </c>
      <c r="F682" s="3" t="inlineStr">
        <is>
          <t>Online</t>
        </is>
      </c>
      <c r="G682" s="3" t="inlineStr">
        <is>
          <t>New</t>
        </is>
      </c>
      <c r="H682" s="3" t="n">
        <v>2</v>
      </c>
      <c r="I682" s="8" t="n">
        <v>275</v>
      </c>
      <c r="J682" s="8" t="n">
        <v>151.01</v>
      </c>
      <c r="K682" s="9" t="n">
        <v>0.2</v>
      </c>
      <c r="L682" s="8" t="n">
        <v>29.08</v>
      </c>
      <c r="M682" s="8">
        <f>H682*I682*(1-K682)</f>
        <v/>
      </c>
      <c r="N682" s="8">
        <f>H682*J682</f>
        <v/>
      </c>
      <c r="O682" s="8">
        <f>M682-N682-L682</f>
        <v/>
      </c>
      <c r="P682" s="10">
        <f>IFERROR(O682/M682,0)</f>
        <v/>
      </c>
      <c r="Q682" s="3">
        <f>IF(H682&lt;=0,"Review: quantity &lt;= 0",IF(K682&gt;0.3,"Review: discount &gt; 30%",IF(G682="","Review: missing customer type","OK")))</f>
        <v/>
      </c>
    </row>
    <row r="683">
      <c r="A683" s="3" t="inlineStr">
        <is>
          <t>ORD-10682</t>
        </is>
      </c>
      <c r="B683" s="7" t="n">
        <v>45837</v>
      </c>
      <c r="C683" s="3" t="inlineStr">
        <is>
          <t>Accessories</t>
        </is>
      </c>
      <c r="D683" s="3" t="inlineStr">
        <is>
          <t>Watches</t>
        </is>
      </c>
      <c r="E683" s="3" t="inlineStr">
        <is>
          <t>Western</t>
        </is>
      </c>
      <c r="F683" s="3" t="inlineStr">
        <is>
          <t>Phone/WhatsApp</t>
        </is>
      </c>
      <c r="G683" s="3" t="inlineStr">
        <is>
          <t>Returning</t>
        </is>
      </c>
      <c r="H683" s="3" t="n">
        <v>2</v>
      </c>
      <c r="I683" s="8" t="n">
        <v>100</v>
      </c>
      <c r="J683" s="8" t="n">
        <v>47.25</v>
      </c>
      <c r="K683" s="9" t="n">
        <v>0.1</v>
      </c>
      <c r="L683" s="8" t="n">
        <v>24.87</v>
      </c>
      <c r="M683" s="8">
        <f>H683*I683*(1-K683)</f>
        <v/>
      </c>
      <c r="N683" s="8">
        <f>H683*J683</f>
        <v/>
      </c>
      <c r="O683" s="8">
        <f>M683-N683-L683</f>
        <v/>
      </c>
      <c r="P683" s="10">
        <f>IFERROR(O683/M683,0)</f>
        <v/>
      </c>
      <c r="Q683" s="3">
        <f>IF(H683&lt;=0,"Review: quantity &lt;= 0",IF(K683&gt;0.3,"Review: discount &gt; 30%",IF(G683="","Review: missing customer type","OK")))</f>
        <v/>
      </c>
    </row>
    <row r="684">
      <c r="A684" s="3" t="inlineStr">
        <is>
          <t>ORD-10683</t>
        </is>
      </c>
      <c r="B684" s="7" t="n">
        <v>45801</v>
      </c>
      <c r="C684" s="3" t="inlineStr">
        <is>
          <t>Home &amp; Lifestyle</t>
        </is>
      </c>
      <c r="D684" s="3" t="inlineStr">
        <is>
          <t>Small Home Goods</t>
        </is>
      </c>
      <c r="E684" s="3" t="inlineStr">
        <is>
          <t>Greater Accra</t>
        </is>
      </c>
      <c r="F684" s="3" t="inlineStr">
        <is>
          <t>Phone/WhatsApp</t>
        </is>
      </c>
      <c r="G684" s="3" t="inlineStr">
        <is>
          <t>New</t>
        </is>
      </c>
      <c r="H684" s="3" t="n">
        <v>9</v>
      </c>
      <c r="I684" s="8" t="n">
        <v>175</v>
      </c>
      <c r="J684" s="8" t="n">
        <v>86.25</v>
      </c>
      <c r="K684" s="9" t="n">
        <v>0</v>
      </c>
      <c r="L684" s="8" t="n">
        <v>31.45</v>
      </c>
      <c r="M684" s="8">
        <f>H684*I684*(1-K684)</f>
        <v/>
      </c>
      <c r="N684" s="8">
        <f>H684*J684</f>
        <v/>
      </c>
      <c r="O684" s="8">
        <f>M684-N684-L684</f>
        <v/>
      </c>
      <c r="P684" s="10">
        <f>IFERROR(O684/M684,0)</f>
        <v/>
      </c>
      <c r="Q684" s="3">
        <f>IF(H684&lt;=0,"Review: quantity &lt;= 0",IF(K684&gt;0.3,"Review: discount &gt; 30%",IF(G684="","Review: missing customer type","OK")))</f>
        <v/>
      </c>
    </row>
    <row r="685">
      <c r="A685" s="3" t="inlineStr">
        <is>
          <t>ORD-10684</t>
        </is>
      </c>
      <c r="B685" s="7" t="n">
        <v>45959</v>
      </c>
      <c r="C685" s="3" t="inlineStr">
        <is>
          <t>Clothing</t>
        </is>
      </c>
      <c r="D685" s="3" t="inlineStr">
        <is>
          <t>Dresses</t>
        </is>
      </c>
      <c r="E685" s="3" t="inlineStr">
        <is>
          <t>Ashanti</t>
        </is>
      </c>
      <c r="F685" s="3" t="inlineStr">
        <is>
          <t>Retail Shop</t>
        </is>
      </c>
      <c r="G685" s="3" t="inlineStr">
        <is>
          <t>Returning</t>
        </is>
      </c>
      <c r="H685" s="3" t="n">
        <v>1</v>
      </c>
      <c r="I685" s="8" t="n">
        <v>120</v>
      </c>
      <c r="J685" s="8" t="n">
        <v>63.5</v>
      </c>
      <c r="K685" s="9" t="n">
        <v>0</v>
      </c>
      <c r="L685" s="8" t="n">
        <v>9.630000000000001</v>
      </c>
      <c r="M685" s="8">
        <f>H685*I685*(1-K685)</f>
        <v/>
      </c>
      <c r="N685" s="8">
        <f>H685*J685</f>
        <v/>
      </c>
      <c r="O685" s="8">
        <f>M685-N685-L685</f>
        <v/>
      </c>
      <c r="P685" s="10">
        <f>IFERROR(O685/M685,0)</f>
        <v/>
      </c>
      <c r="Q685" s="3">
        <f>IF(H685&lt;=0,"Review: quantity &lt;= 0",IF(K685&gt;0.3,"Review: discount &gt; 30%",IF(G685="","Review: missing customer type","OK")))</f>
        <v/>
      </c>
    </row>
    <row r="686">
      <c r="A686" s="3" t="inlineStr">
        <is>
          <t>ORD-10685</t>
        </is>
      </c>
      <c r="B686" s="7" t="n">
        <v>45952</v>
      </c>
      <c r="C686" s="3" t="inlineStr">
        <is>
          <t>Footwear</t>
        </is>
      </c>
      <c r="D686" s="3" t="inlineStr">
        <is>
          <t>Formal Shoes</t>
        </is>
      </c>
      <c r="E686" s="3" t="inlineStr">
        <is>
          <t>Western</t>
        </is>
      </c>
      <c r="F686" s="3" t="inlineStr">
        <is>
          <t>Phone/WhatsApp</t>
        </is>
      </c>
      <c r="G686" s="3" t="inlineStr">
        <is>
          <t>Returning</t>
        </is>
      </c>
      <c r="H686" s="3" t="n">
        <v>5</v>
      </c>
      <c r="I686" s="8" t="n">
        <v>260</v>
      </c>
      <c r="J686" s="8" t="n">
        <v>137.93</v>
      </c>
      <c r="K686" s="9" t="n">
        <v>0</v>
      </c>
      <c r="L686" s="8" t="n">
        <v>31.51</v>
      </c>
      <c r="M686" s="8">
        <f>H686*I686*(1-K686)</f>
        <v/>
      </c>
      <c r="N686" s="8">
        <f>H686*J686</f>
        <v/>
      </c>
      <c r="O686" s="8">
        <f>M686-N686-L686</f>
        <v/>
      </c>
      <c r="P686" s="10">
        <f>IFERROR(O686/M686,0)</f>
        <v/>
      </c>
      <c r="Q686" s="3">
        <f>IF(H686&lt;=0,"Review: quantity &lt;= 0",IF(K686&gt;0.3,"Review: discount &gt; 30%",IF(G686="","Review: missing customer type","OK")))</f>
        <v/>
      </c>
    </row>
    <row r="687">
      <c r="A687" s="3" t="inlineStr">
        <is>
          <t>ORD-10686</t>
        </is>
      </c>
      <c r="B687" s="7" t="n">
        <v>45935</v>
      </c>
      <c r="C687" s="3" t="inlineStr">
        <is>
          <t>Footwear</t>
        </is>
      </c>
      <c r="D687" s="3" t="inlineStr">
        <is>
          <t>Sneakers</t>
        </is>
      </c>
      <c r="E687" s="3" t="inlineStr">
        <is>
          <t>Central</t>
        </is>
      </c>
      <c r="F687" s="3" t="inlineStr">
        <is>
          <t>Online</t>
        </is>
      </c>
      <c r="G687" s="3" t="inlineStr">
        <is>
          <t>Returning</t>
        </is>
      </c>
      <c r="H687" s="3" t="n">
        <v>3</v>
      </c>
      <c r="I687" s="8" t="n">
        <v>235</v>
      </c>
      <c r="J687" s="8" t="n">
        <v>118.13</v>
      </c>
      <c r="K687" s="9" t="n">
        <v>0</v>
      </c>
      <c r="L687" s="8" t="n">
        <v>11.09</v>
      </c>
      <c r="M687" s="8">
        <f>H687*I687*(1-K687)</f>
        <v/>
      </c>
      <c r="N687" s="8">
        <f>H687*J687</f>
        <v/>
      </c>
      <c r="O687" s="8">
        <f>M687-N687-L687</f>
        <v/>
      </c>
      <c r="P687" s="10">
        <f>IFERROR(O687/M687,0)</f>
        <v/>
      </c>
      <c r="Q687" s="3">
        <f>IF(H687&lt;=0,"Review: quantity &lt;= 0",IF(K687&gt;0.3,"Review: discount &gt; 30%",IF(G687="","Review: missing customer type","OK")))</f>
        <v/>
      </c>
    </row>
    <row r="688">
      <c r="A688" s="3" t="inlineStr">
        <is>
          <t>ORD-10687</t>
        </is>
      </c>
      <c r="B688" s="7" t="n">
        <v>45838</v>
      </c>
      <c r="C688" s="3" t="inlineStr">
        <is>
          <t>Clothing</t>
        </is>
      </c>
      <c r="D688" s="3" t="inlineStr">
        <is>
          <t>Jackets</t>
        </is>
      </c>
      <c r="E688" s="3" t="inlineStr">
        <is>
          <t>Ashanti</t>
        </is>
      </c>
      <c r="F688" s="3" t="inlineStr">
        <is>
          <t>Online</t>
        </is>
      </c>
      <c r="G688" s="3" t="inlineStr">
        <is>
          <t>New</t>
        </is>
      </c>
      <c r="H688" s="3" t="n">
        <v>4</v>
      </c>
      <c r="I688" s="8" t="n">
        <v>145</v>
      </c>
      <c r="J688" s="8" t="n">
        <v>78.7</v>
      </c>
      <c r="K688" s="9" t="n">
        <v>0.1</v>
      </c>
      <c r="L688" s="8" t="n">
        <v>38.21</v>
      </c>
      <c r="M688" s="8">
        <f>H688*I688*(1-K688)</f>
        <v/>
      </c>
      <c r="N688" s="8">
        <f>H688*J688</f>
        <v/>
      </c>
      <c r="O688" s="8">
        <f>M688-N688-L688</f>
        <v/>
      </c>
      <c r="P688" s="10">
        <f>IFERROR(O688/M688,0)</f>
        <v/>
      </c>
      <c r="Q688" s="3">
        <f>IF(H688&lt;=0,"Review: quantity &lt;= 0",IF(K688&gt;0.3,"Review: discount &gt; 30%",IF(G688="","Review: missing customer type","OK")))</f>
        <v/>
      </c>
    </row>
    <row r="689">
      <c r="A689" s="3" t="inlineStr">
        <is>
          <t>ORD-10688</t>
        </is>
      </c>
      <c r="B689" s="7" t="n">
        <v>45677</v>
      </c>
      <c r="C689" s="3" t="inlineStr">
        <is>
          <t>Home &amp; Lifestyle</t>
        </is>
      </c>
      <c r="D689" s="3" t="inlineStr">
        <is>
          <t>Travel Mugs</t>
        </is>
      </c>
      <c r="E689" s="3" t="inlineStr">
        <is>
          <t>Greater Accra</t>
        </is>
      </c>
      <c r="F689" s="3" t="inlineStr">
        <is>
          <t>Online</t>
        </is>
      </c>
      <c r="G689" s="3" t="inlineStr">
        <is>
          <t>Returning</t>
        </is>
      </c>
      <c r="H689" s="3" t="n">
        <v>3</v>
      </c>
      <c r="I689" s="8" t="n">
        <v>200</v>
      </c>
      <c r="J689" s="8" t="n">
        <v>118.85</v>
      </c>
      <c r="K689" s="9" t="n">
        <v>0.05</v>
      </c>
      <c r="L689" s="8" t="n">
        <v>13.08</v>
      </c>
      <c r="M689" s="8">
        <f>H689*I689*(1-K689)</f>
        <v/>
      </c>
      <c r="N689" s="8">
        <f>H689*J689</f>
        <v/>
      </c>
      <c r="O689" s="8">
        <f>M689-N689-L689</f>
        <v/>
      </c>
      <c r="P689" s="10">
        <f>IFERROR(O689/M689,0)</f>
        <v/>
      </c>
      <c r="Q689" s="3">
        <f>IF(H689&lt;=0,"Review: quantity &lt;= 0",IF(K689&gt;0.3,"Review: discount &gt; 30%",IF(G689="","Review: missing customer type","OK")))</f>
        <v/>
      </c>
    </row>
    <row r="690">
      <c r="A690" s="3" t="inlineStr">
        <is>
          <t>ORD-10689</t>
        </is>
      </c>
      <c r="B690" s="7" t="n">
        <v>45709</v>
      </c>
      <c r="C690" s="3" t="inlineStr">
        <is>
          <t>Clothing</t>
        </is>
      </c>
      <c r="D690" s="3" t="inlineStr">
        <is>
          <t>Dresses</t>
        </is>
      </c>
      <c r="E690" s="3" t="inlineStr">
        <is>
          <t>Greater Accra</t>
        </is>
      </c>
      <c r="F690" s="3" t="inlineStr">
        <is>
          <t>Retail Shop</t>
        </is>
      </c>
      <c r="G690" s="3" t="inlineStr">
        <is>
          <t>Returning</t>
        </is>
      </c>
      <c r="H690" s="3" t="n">
        <v>1</v>
      </c>
      <c r="I690" s="8" t="n">
        <v>155</v>
      </c>
      <c r="J690" s="8" t="n">
        <v>78.04000000000001</v>
      </c>
      <c r="K690" s="9" t="n">
        <v>0</v>
      </c>
      <c r="L690" s="8" t="n">
        <v>8.99</v>
      </c>
      <c r="M690" s="8">
        <f>H690*I690*(1-K690)</f>
        <v/>
      </c>
      <c r="N690" s="8">
        <f>H690*J690</f>
        <v/>
      </c>
      <c r="O690" s="8">
        <f>M690-N690-L690</f>
        <v/>
      </c>
      <c r="P690" s="10">
        <f>IFERROR(O690/M690,0)</f>
        <v/>
      </c>
      <c r="Q690" s="3">
        <f>IF(H690&lt;=0,"Review: quantity &lt;= 0",IF(K690&gt;0.3,"Review: discount &gt; 30%",IF(G690="","Review: missing customer type","OK")))</f>
        <v/>
      </c>
    </row>
    <row r="691">
      <c r="A691" s="3" t="inlineStr">
        <is>
          <t>ORD-10690</t>
        </is>
      </c>
      <c r="B691" s="7" t="n">
        <v>45998</v>
      </c>
      <c r="C691" s="3" t="inlineStr">
        <is>
          <t>Accessories</t>
        </is>
      </c>
      <c r="D691" s="3" t="inlineStr">
        <is>
          <t>Sunglasses</t>
        </is>
      </c>
      <c r="E691" s="3" t="inlineStr">
        <is>
          <t>Western</t>
        </is>
      </c>
      <c r="F691" s="3" t="inlineStr">
        <is>
          <t>Online</t>
        </is>
      </c>
      <c r="G691" s="3" t="inlineStr">
        <is>
          <t>New</t>
        </is>
      </c>
      <c r="H691" s="3" t="n">
        <v>1</v>
      </c>
      <c r="I691" s="8" t="n">
        <v>90</v>
      </c>
      <c r="J691" s="8" t="n">
        <v>48.37</v>
      </c>
      <c r="K691" s="9" t="n">
        <v>0</v>
      </c>
      <c r="L691" s="8" t="n">
        <v>38.8</v>
      </c>
      <c r="M691" s="8">
        <f>H691*I691*(1-K691)</f>
        <v/>
      </c>
      <c r="N691" s="8">
        <f>H691*J691</f>
        <v/>
      </c>
      <c r="O691" s="8">
        <f>M691-N691-L691</f>
        <v/>
      </c>
      <c r="P691" s="10">
        <f>IFERROR(O691/M691,0)</f>
        <v/>
      </c>
      <c r="Q691" s="3">
        <f>IF(H691&lt;=0,"Review: quantity &lt;= 0",IF(K691&gt;0.3,"Review: discount &gt; 30%",IF(G691="","Review: missing customer type","OK")))</f>
        <v/>
      </c>
    </row>
    <row r="692">
      <c r="A692" s="3" t="inlineStr">
        <is>
          <t>ORD-10691</t>
        </is>
      </c>
      <c r="B692" s="7" t="n">
        <v>45905</v>
      </c>
      <c r="C692" s="3" t="inlineStr">
        <is>
          <t>Home &amp; Lifestyle</t>
        </is>
      </c>
      <c r="D692" s="3" t="inlineStr">
        <is>
          <t>Wallets</t>
        </is>
      </c>
      <c r="E692" s="3" t="inlineStr">
        <is>
          <t>Central</t>
        </is>
      </c>
      <c r="F692" s="3" t="inlineStr">
        <is>
          <t>Retail Shop</t>
        </is>
      </c>
      <c r="G692" s="3" t="inlineStr">
        <is>
          <t>Returning</t>
        </is>
      </c>
      <c r="H692" s="3" t="n">
        <v>1</v>
      </c>
      <c r="I692" s="8" t="n">
        <v>85</v>
      </c>
      <c r="J692" s="8" t="n">
        <v>52.28</v>
      </c>
      <c r="K692" s="9" t="n">
        <v>0</v>
      </c>
      <c r="L692" s="8" t="n">
        <v>1.71</v>
      </c>
      <c r="M692" s="8">
        <f>H692*I692*(1-K692)</f>
        <v/>
      </c>
      <c r="N692" s="8">
        <f>H692*J692</f>
        <v/>
      </c>
      <c r="O692" s="8">
        <f>M692-N692-L692</f>
        <v/>
      </c>
      <c r="P692" s="10">
        <f>IFERROR(O692/M692,0)</f>
        <v/>
      </c>
      <c r="Q692" s="3">
        <f>IF(H692&lt;=0,"Review: quantity &lt;= 0",IF(K692&gt;0.3,"Review: discount &gt; 30%",IF(G692="","Review: missing customer type","OK")))</f>
        <v/>
      </c>
    </row>
    <row r="693">
      <c r="A693" s="3" t="inlineStr">
        <is>
          <t>ORD-10692</t>
        </is>
      </c>
      <c r="B693" s="7" t="n">
        <v>45935</v>
      </c>
      <c r="C693" s="3" t="inlineStr">
        <is>
          <t>Accessories</t>
        </is>
      </c>
      <c r="D693" s="3" t="inlineStr">
        <is>
          <t>Watches</t>
        </is>
      </c>
      <c r="E693" s="3" t="inlineStr">
        <is>
          <t>Ashanti</t>
        </is>
      </c>
      <c r="F693" s="3" t="inlineStr">
        <is>
          <t>Retail Shop</t>
        </is>
      </c>
      <c r="G693" s="3" t="inlineStr">
        <is>
          <t>Returning</t>
        </is>
      </c>
      <c r="H693" s="3" t="n">
        <v>2</v>
      </c>
      <c r="I693" s="8" t="n">
        <v>90</v>
      </c>
      <c r="J693" s="8" t="n">
        <v>38.08</v>
      </c>
      <c r="K693" s="9" t="n">
        <v>0.05</v>
      </c>
      <c r="L693" s="8" t="n">
        <v>8.460000000000001</v>
      </c>
      <c r="M693" s="8">
        <f>H693*I693*(1-K693)</f>
        <v/>
      </c>
      <c r="N693" s="8">
        <f>H693*J693</f>
        <v/>
      </c>
      <c r="O693" s="8">
        <f>M693-N693-L693</f>
        <v/>
      </c>
      <c r="P693" s="10">
        <f>IFERROR(O693/M693,0)</f>
        <v/>
      </c>
      <c r="Q693" s="3">
        <f>IF(H693&lt;=0,"Review: quantity &lt;= 0",IF(K693&gt;0.3,"Review: discount &gt; 30%",IF(G693="","Review: missing customer type","OK")))</f>
        <v/>
      </c>
    </row>
    <row r="694">
      <c r="A694" s="3" t="inlineStr">
        <is>
          <t>ORD-10693</t>
        </is>
      </c>
      <c r="B694" s="7" t="n">
        <v>45701</v>
      </c>
      <c r="C694" s="3" t="inlineStr">
        <is>
          <t>Clothing</t>
        </is>
      </c>
      <c r="D694" s="3" t="inlineStr">
        <is>
          <t>Dresses</t>
        </is>
      </c>
      <c r="E694" s="3" t="inlineStr">
        <is>
          <t>Ashanti</t>
        </is>
      </c>
      <c r="F694" s="3" t="inlineStr">
        <is>
          <t>Phone/WhatsApp</t>
        </is>
      </c>
      <c r="G694" s="3" t="inlineStr">
        <is>
          <t>Returning</t>
        </is>
      </c>
      <c r="H694" s="3" t="n">
        <v>1</v>
      </c>
      <c r="I694" s="8" t="n">
        <v>110</v>
      </c>
      <c r="J694" s="8" t="n">
        <v>50.53</v>
      </c>
      <c r="K694" s="9" t="n">
        <v>0.1</v>
      </c>
      <c r="L694" s="8" t="n">
        <v>23.55</v>
      </c>
      <c r="M694" s="8">
        <f>H694*I694*(1-K694)</f>
        <v/>
      </c>
      <c r="N694" s="8">
        <f>H694*J694</f>
        <v/>
      </c>
      <c r="O694" s="8">
        <f>M694-N694-L694</f>
        <v/>
      </c>
      <c r="P694" s="10">
        <f>IFERROR(O694/M694,0)</f>
        <v/>
      </c>
      <c r="Q694" s="3">
        <f>IF(H694&lt;=0,"Review: quantity &lt;= 0",IF(K694&gt;0.3,"Review: discount &gt; 30%",IF(G694="","Review: missing customer type","OK")))</f>
        <v/>
      </c>
    </row>
    <row r="695">
      <c r="A695" s="3" t="inlineStr">
        <is>
          <t>ORD-10694</t>
        </is>
      </c>
      <c r="B695" s="7" t="n">
        <v>45967</v>
      </c>
      <c r="C695" s="3" t="inlineStr">
        <is>
          <t>Clothing</t>
        </is>
      </c>
      <c r="D695" s="3" t="inlineStr">
        <is>
          <t>Dresses</t>
        </is>
      </c>
      <c r="E695" s="3" t="inlineStr">
        <is>
          <t>Central</t>
        </is>
      </c>
      <c r="F695" s="3" t="inlineStr">
        <is>
          <t>Online</t>
        </is>
      </c>
      <c r="G695" s="3" t="inlineStr">
        <is>
          <t>New</t>
        </is>
      </c>
      <c r="H695" s="3" t="n">
        <v>2</v>
      </c>
      <c r="I695" s="8" t="n">
        <v>200</v>
      </c>
      <c r="J695" s="8" t="n">
        <v>110.68</v>
      </c>
      <c r="K695" s="9" t="n">
        <v>0.1</v>
      </c>
      <c r="L695" s="8" t="n">
        <v>11.41</v>
      </c>
      <c r="M695" s="8">
        <f>H695*I695*(1-K695)</f>
        <v/>
      </c>
      <c r="N695" s="8">
        <f>H695*J695</f>
        <v/>
      </c>
      <c r="O695" s="8">
        <f>M695-N695-L695</f>
        <v/>
      </c>
      <c r="P695" s="10">
        <f>IFERROR(O695/M695,0)</f>
        <v/>
      </c>
      <c r="Q695" s="3">
        <f>IF(H695&lt;=0,"Review: quantity &lt;= 0",IF(K695&gt;0.3,"Review: discount &gt; 30%",IF(G695="","Review: missing customer type","OK")))</f>
        <v/>
      </c>
    </row>
    <row r="696">
      <c r="A696" s="3" t="inlineStr">
        <is>
          <t>ORD-10695</t>
        </is>
      </c>
      <c r="B696" s="7" t="n">
        <v>45790</v>
      </c>
      <c r="C696" s="3" t="inlineStr">
        <is>
          <t>Footwear</t>
        </is>
      </c>
      <c r="D696" s="3" t="inlineStr">
        <is>
          <t>Formal Shoes</t>
        </is>
      </c>
      <c r="E696" s="3" t="inlineStr">
        <is>
          <t>Greater Accra</t>
        </is>
      </c>
      <c r="F696" s="3" t="inlineStr">
        <is>
          <t>Retail Shop</t>
        </is>
      </c>
      <c r="G696" s="3" t="inlineStr">
        <is>
          <t>Returning</t>
        </is>
      </c>
      <c r="H696" s="3" t="n">
        <v>1</v>
      </c>
      <c r="I696" s="8" t="n">
        <v>205</v>
      </c>
      <c r="J696" s="8" t="n">
        <v>124.66</v>
      </c>
      <c r="K696" s="9" t="n">
        <v>0</v>
      </c>
      <c r="L696" s="8" t="n">
        <v>7.85</v>
      </c>
      <c r="M696" s="8">
        <f>H696*I696*(1-K696)</f>
        <v/>
      </c>
      <c r="N696" s="8">
        <f>H696*J696</f>
        <v/>
      </c>
      <c r="O696" s="8">
        <f>M696-N696-L696</f>
        <v/>
      </c>
      <c r="P696" s="10">
        <f>IFERROR(O696/M696,0)</f>
        <v/>
      </c>
      <c r="Q696" s="3">
        <f>IF(H696&lt;=0,"Review: quantity &lt;= 0",IF(K696&gt;0.3,"Review: discount &gt; 30%",IF(G696="","Review: missing customer type","OK")))</f>
        <v/>
      </c>
    </row>
    <row r="697">
      <c r="A697" s="3" t="inlineStr">
        <is>
          <t>ORD-10696</t>
        </is>
      </c>
      <c r="B697" s="7" t="n">
        <v>45996</v>
      </c>
      <c r="C697" s="3" t="inlineStr">
        <is>
          <t>Clothing</t>
        </is>
      </c>
      <c r="D697" s="3" t="inlineStr">
        <is>
          <t>Trousers</t>
        </is>
      </c>
      <c r="E697" s="3" t="inlineStr">
        <is>
          <t>Western</t>
        </is>
      </c>
      <c r="F697" s="3" t="inlineStr">
        <is>
          <t>Retail Shop</t>
        </is>
      </c>
      <c r="G697" s="3" t="inlineStr">
        <is>
          <t>Returning</t>
        </is>
      </c>
      <c r="H697" s="3" t="n">
        <v>1</v>
      </c>
      <c r="I697" s="8" t="n">
        <v>120</v>
      </c>
      <c r="J697" s="8" t="n">
        <v>65.93000000000001</v>
      </c>
      <c r="K697" s="9" t="n">
        <v>0.1</v>
      </c>
      <c r="L697" s="8" t="n">
        <v>10.03</v>
      </c>
      <c r="M697" s="8">
        <f>H697*I697*(1-K697)</f>
        <v/>
      </c>
      <c r="N697" s="8">
        <f>H697*J697</f>
        <v/>
      </c>
      <c r="O697" s="8">
        <f>M697-N697-L697</f>
        <v/>
      </c>
      <c r="P697" s="10">
        <f>IFERROR(O697/M697,0)</f>
        <v/>
      </c>
      <c r="Q697" s="3">
        <f>IF(H697&lt;=0,"Review: quantity &lt;= 0",IF(K697&gt;0.3,"Review: discount &gt; 30%",IF(G697="","Review: missing customer type","OK")))</f>
        <v/>
      </c>
    </row>
    <row r="698">
      <c r="A698" s="3" t="inlineStr">
        <is>
          <t>ORD-10697</t>
        </is>
      </c>
      <c r="B698" s="7" t="n">
        <v>46013</v>
      </c>
      <c r="C698" s="3" t="inlineStr">
        <is>
          <t>Clothing</t>
        </is>
      </c>
      <c r="D698" s="3" t="inlineStr">
        <is>
          <t>Jackets</t>
        </is>
      </c>
      <c r="E698" s="3" t="inlineStr">
        <is>
          <t>Greater Accra</t>
        </is>
      </c>
      <c r="F698" s="3" t="inlineStr">
        <is>
          <t>Retail Shop</t>
        </is>
      </c>
      <c r="G698" s="3" t="inlineStr">
        <is>
          <t>Returning</t>
        </is>
      </c>
      <c r="H698" s="3" t="n">
        <v>1</v>
      </c>
      <c r="I698" s="8" t="n">
        <v>150</v>
      </c>
      <c r="J698" s="8" t="n">
        <v>70.19</v>
      </c>
      <c r="K698" s="9" t="n">
        <v>0</v>
      </c>
      <c r="L698" s="8" t="n">
        <v>4.2</v>
      </c>
      <c r="M698" s="8">
        <f>H698*I698*(1-K698)</f>
        <v/>
      </c>
      <c r="N698" s="8">
        <f>H698*J698</f>
        <v/>
      </c>
      <c r="O698" s="8">
        <f>M698-N698-L698</f>
        <v/>
      </c>
      <c r="P698" s="10">
        <f>IFERROR(O698/M698,0)</f>
        <v/>
      </c>
      <c r="Q698" s="3">
        <f>IF(H698&lt;=0,"Review: quantity &lt;= 0",IF(K698&gt;0.3,"Review: discount &gt; 30%",IF(G698="","Review: missing customer type","OK")))</f>
        <v/>
      </c>
    </row>
    <row r="699">
      <c r="A699" s="3" t="inlineStr">
        <is>
          <t>ORD-10698</t>
        </is>
      </c>
      <c r="B699" s="7" t="n">
        <v>46015</v>
      </c>
      <c r="C699" s="3" t="inlineStr">
        <is>
          <t>Accessories</t>
        </is>
      </c>
      <c r="D699" s="3" t="inlineStr">
        <is>
          <t>Watches</t>
        </is>
      </c>
      <c r="E699" s="3" t="inlineStr">
        <is>
          <t>Greater Accra</t>
        </is>
      </c>
      <c r="F699" s="3" t="inlineStr">
        <is>
          <t>Retail Shop</t>
        </is>
      </c>
      <c r="G699" s="3" t="inlineStr">
        <is>
          <t>New</t>
        </is>
      </c>
      <c r="H699" s="3" t="n">
        <v>1</v>
      </c>
      <c r="I699" s="8" t="n">
        <v>125</v>
      </c>
      <c r="J699" s="8" t="n">
        <v>63.85</v>
      </c>
      <c r="K699" s="9" t="n">
        <v>0</v>
      </c>
      <c r="L699" s="8" t="n">
        <v>0.62</v>
      </c>
      <c r="M699" s="8">
        <f>H699*I699*(1-K699)</f>
        <v/>
      </c>
      <c r="N699" s="8">
        <f>H699*J699</f>
        <v/>
      </c>
      <c r="O699" s="8">
        <f>M699-N699-L699</f>
        <v/>
      </c>
      <c r="P699" s="10">
        <f>IFERROR(O699/M699,0)</f>
        <v/>
      </c>
      <c r="Q699" s="3">
        <f>IF(H699&lt;=0,"Review: quantity &lt;= 0",IF(K699&gt;0.3,"Review: discount &gt; 30%",IF(G699="","Review: missing customer type","OK")))</f>
        <v/>
      </c>
    </row>
    <row r="700">
      <c r="A700" s="3" t="inlineStr">
        <is>
          <t>ORD-10699</t>
        </is>
      </c>
      <c r="B700" s="7" t="n">
        <v>45841</v>
      </c>
      <c r="C700" s="3" t="inlineStr">
        <is>
          <t>Clothing</t>
        </is>
      </c>
      <c r="D700" s="3" t="inlineStr">
        <is>
          <t>Trousers</t>
        </is>
      </c>
      <c r="E700" s="3" t="inlineStr">
        <is>
          <t>Greater Accra</t>
        </is>
      </c>
      <c r="F700" s="3" t="inlineStr">
        <is>
          <t>Retail Shop</t>
        </is>
      </c>
      <c r="G700" s="3" t="inlineStr">
        <is>
          <t>New</t>
        </is>
      </c>
      <c r="H700" s="3" t="n">
        <v>1</v>
      </c>
      <c r="I700" s="8" t="n">
        <v>155</v>
      </c>
      <c r="J700" s="8" t="n">
        <v>73.76000000000001</v>
      </c>
      <c r="K700" s="9" t="n">
        <v>0.15</v>
      </c>
      <c r="L700" s="8" t="n">
        <v>4.45</v>
      </c>
      <c r="M700" s="8">
        <f>H700*I700*(1-K700)</f>
        <v/>
      </c>
      <c r="N700" s="8">
        <f>H700*J700</f>
        <v/>
      </c>
      <c r="O700" s="8">
        <f>M700-N700-L700</f>
        <v/>
      </c>
      <c r="P700" s="10">
        <f>IFERROR(O700/M700,0)</f>
        <v/>
      </c>
      <c r="Q700" s="3">
        <f>IF(H700&lt;=0,"Review: quantity &lt;= 0",IF(K700&gt;0.3,"Review: discount &gt; 30%",IF(G700="","Review: missing customer type","OK")))</f>
        <v/>
      </c>
    </row>
    <row r="701">
      <c r="A701" s="3" t="inlineStr">
        <is>
          <t>ORD-10700</t>
        </is>
      </c>
      <c r="B701" s="7" t="n">
        <v>45992</v>
      </c>
      <c r="C701" s="3" t="inlineStr">
        <is>
          <t>Footwear</t>
        </is>
      </c>
      <c r="D701" s="3" t="inlineStr">
        <is>
          <t>Boots</t>
        </is>
      </c>
      <c r="E701" s="3" t="inlineStr">
        <is>
          <t>Greater Accra</t>
        </is>
      </c>
      <c r="F701" s="3" t="inlineStr">
        <is>
          <t>Retail Shop</t>
        </is>
      </c>
      <c r="G701" s="3" t="inlineStr">
        <is>
          <t>Returning</t>
        </is>
      </c>
      <c r="H701" s="3" t="n">
        <v>1</v>
      </c>
      <c r="I701" s="8" t="n">
        <v>380</v>
      </c>
      <c r="J701" s="8" t="n">
        <v>191.93</v>
      </c>
      <c r="K701" s="9" t="n">
        <v>0</v>
      </c>
      <c r="L701" s="8" t="n">
        <v>3.7</v>
      </c>
      <c r="M701" s="8">
        <f>H701*I701*(1-K701)</f>
        <v/>
      </c>
      <c r="N701" s="8">
        <f>H701*J701</f>
        <v/>
      </c>
      <c r="O701" s="8">
        <f>M701-N701-L701</f>
        <v/>
      </c>
      <c r="P701" s="10">
        <f>IFERROR(O701/M701,0)</f>
        <v/>
      </c>
      <c r="Q701" s="3">
        <f>IF(H701&lt;=0,"Review: quantity &lt;= 0",IF(K701&gt;0.3,"Review: discount &gt; 30%",IF(G701="","Review: missing customer type","OK")))</f>
        <v/>
      </c>
    </row>
    <row r="702">
      <c r="A702" s="3" t="inlineStr">
        <is>
          <t>ORD-10701</t>
        </is>
      </c>
      <c r="B702" s="7" t="n">
        <v>45775</v>
      </c>
      <c r="C702" s="3" t="inlineStr">
        <is>
          <t>Home &amp; Lifestyle</t>
        </is>
      </c>
      <c r="D702" s="3" t="inlineStr">
        <is>
          <t>Wallets</t>
        </is>
      </c>
      <c r="E702" s="3" t="inlineStr">
        <is>
          <t>Greater Accra</t>
        </is>
      </c>
      <c r="F702" s="3" t="inlineStr">
        <is>
          <t>Retail Shop</t>
        </is>
      </c>
      <c r="G702" s="3" t="inlineStr">
        <is>
          <t>New</t>
        </is>
      </c>
      <c r="H702" s="3" t="n">
        <v>1</v>
      </c>
      <c r="I702" s="8" t="n">
        <v>170</v>
      </c>
      <c r="J702" s="8" t="n">
        <v>90.86</v>
      </c>
      <c r="K702" s="9" t="n">
        <v>0.2</v>
      </c>
      <c r="L702" s="8" t="n">
        <v>7.42</v>
      </c>
      <c r="M702" s="8">
        <f>H702*I702*(1-K702)</f>
        <v/>
      </c>
      <c r="N702" s="8">
        <f>H702*J702</f>
        <v/>
      </c>
      <c r="O702" s="8">
        <f>M702-N702-L702</f>
        <v/>
      </c>
      <c r="P702" s="10">
        <f>IFERROR(O702/M702,0)</f>
        <v/>
      </c>
      <c r="Q702" s="3">
        <f>IF(H702&lt;=0,"Review: quantity &lt;= 0",IF(K702&gt;0.3,"Review: discount &gt; 30%",IF(G702="","Review: missing customer type","OK")))</f>
        <v/>
      </c>
    </row>
    <row r="703">
      <c r="A703" s="3" t="inlineStr">
        <is>
          <t>ORD-10702</t>
        </is>
      </c>
      <c r="B703" s="7" t="n">
        <v>46002</v>
      </c>
      <c r="C703" s="3" t="inlineStr">
        <is>
          <t>Home &amp; Lifestyle</t>
        </is>
      </c>
      <c r="D703" s="3" t="inlineStr">
        <is>
          <t>Small Home Goods</t>
        </is>
      </c>
      <c r="E703" s="3" t="inlineStr">
        <is>
          <t>Ashanti</t>
        </is>
      </c>
      <c r="F703" s="3" t="inlineStr">
        <is>
          <t>Retail Shop</t>
        </is>
      </c>
      <c r="G703" s="3" t="inlineStr">
        <is>
          <t>Returning</t>
        </is>
      </c>
      <c r="H703" s="3" t="n">
        <v>4</v>
      </c>
      <c r="I703" s="8" t="n">
        <v>165</v>
      </c>
      <c r="J703" s="8" t="n">
        <v>86.48</v>
      </c>
      <c r="K703" s="9" t="n">
        <v>0.2</v>
      </c>
      <c r="L703" s="8" t="n">
        <v>3.83</v>
      </c>
      <c r="M703" s="8">
        <f>H703*I703*(1-K703)</f>
        <v/>
      </c>
      <c r="N703" s="8">
        <f>H703*J703</f>
        <v/>
      </c>
      <c r="O703" s="8">
        <f>M703-N703-L703</f>
        <v/>
      </c>
      <c r="P703" s="10">
        <f>IFERROR(O703/M703,0)</f>
        <v/>
      </c>
      <c r="Q703" s="3">
        <f>IF(H703&lt;=0,"Review: quantity &lt;= 0",IF(K703&gt;0.3,"Review: discount &gt; 30%",IF(G703="","Review: missing customer type","OK")))</f>
        <v/>
      </c>
    </row>
    <row r="704">
      <c r="A704" s="3" t="inlineStr">
        <is>
          <t>ORD-10703</t>
        </is>
      </c>
      <c r="B704" s="7" t="n">
        <v>45839</v>
      </c>
      <c r="C704" s="3" t="inlineStr">
        <is>
          <t>Footwear</t>
        </is>
      </c>
      <c r="D704" s="3" t="inlineStr">
        <is>
          <t>Sandals</t>
        </is>
      </c>
      <c r="E704" s="3" t="inlineStr">
        <is>
          <t>Northern</t>
        </is>
      </c>
      <c r="F704" s="3" t="inlineStr">
        <is>
          <t>Retail Shop</t>
        </is>
      </c>
      <c r="G704" s="3" t="inlineStr">
        <is>
          <t>New</t>
        </is>
      </c>
      <c r="H704" s="3" t="n">
        <v>2</v>
      </c>
      <c r="I704" s="8" t="n">
        <v>135</v>
      </c>
      <c r="J704" s="8" t="n">
        <v>72.98</v>
      </c>
      <c r="K704" s="9" t="n">
        <v>0.15</v>
      </c>
      <c r="L704" s="8" t="n">
        <v>9.82</v>
      </c>
      <c r="M704" s="8">
        <f>H704*I704*(1-K704)</f>
        <v/>
      </c>
      <c r="N704" s="8">
        <f>H704*J704</f>
        <v/>
      </c>
      <c r="O704" s="8">
        <f>M704-N704-L704</f>
        <v/>
      </c>
      <c r="P704" s="10">
        <f>IFERROR(O704/M704,0)</f>
        <v/>
      </c>
      <c r="Q704" s="3">
        <f>IF(H704&lt;=0,"Review: quantity &lt;= 0",IF(K704&gt;0.3,"Review: discount &gt; 30%",IF(G704="","Review: missing customer type","OK")))</f>
        <v/>
      </c>
    </row>
    <row r="705">
      <c r="A705" s="3" t="inlineStr">
        <is>
          <t>ORD-10704</t>
        </is>
      </c>
      <c r="B705" s="7" t="n">
        <v>45755</v>
      </c>
      <c r="C705" s="3" t="inlineStr">
        <is>
          <t>Accessories</t>
        </is>
      </c>
      <c r="D705" s="3" t="inlineStr">
        <is>
          <t>Watches</t>
        </is>
      </c>
      <c r="E705" s="3" t="inlineStr">
        <is>
          <t>Western</t>
        </is>
      </c>
      <c r="F705" s="3" t="inlineStr">
        <is>
          <t>Retail Shop</t>
        </is>
      </c>
      <c r="G705" s="3" t="inlineStr">
        <is>
          <t>New</t>
        </is>
      </c>
      <c r="H705" s="3" t="n">
        <v>1</v>
      </c>
      <c r="I705" s="8" t="n">
        <v>80</v>
      </c>
      <c r="J705" s="8" t="n">
        <v>35.42</v>
      </c>
      <c r="K705" s="9" t="n">
        <v>0.05</v>
      </c>
      <c r="L705" s="8" t="n">
        <v>1.85</v>
      </c>
      <c r="M705" s="8">
        <f>H705*I705*(1-K705)</f>
        <v/>
      </c>
      <c r="N705" s="8">
        <f>H705*J705</f>
        <v/>
      </c>
      <c r="O705" s="8">
        <f>M705-N705-L705</f>
        <v/>
      </c>
      <c r="P705" s="10">
        <f>IFERROR(O705/M705,0)</f>
        <v/>
      </c>
      <c r="Q705" s="3">
        <f>IF(H705&lt;=0,"Review: quantity &lt;= 0",IF(K705&gt;0.3,"Review: discount &gt; 30%",IF(G705="","Review: missing customer type","OK")))</f>
        <v/>
      </c>
    </row>
    <row r="706">
      <c r="A706" s="3" t="inlineStr">
        <is>
          <t>ORD-10705</t>
        </is>
      </c>
      <c r="B706" s="7" t="n">
        <v>45816</v>
      </c>
      <c r="C706" s="3" t="inlineStr">
        <is>
          <t>Clothing</t>
        </is>
      </c>
      <c r="D706" s="3" t="inlineStr">
        <is>
          <t>Shirts</t>
        </is>
      </c>
      <c r="E706" s="3" t="inlineStr">
        <is>
          <t>Greater Accra</t>
        </is>
      </c>
      <c r="F706" s="3" t="inlineStr">
        <is>
          <t>Phone/WhatsApp</t>
        </is>
      </c>
      <c r="G706" s="3" t="inlineStr">
        <is>
          <t>Returning</t>
        </is>
      </c>
      <c r="H706" s="3" t="n">
        <v>1</v>
      </c>
      <c r="I706" s="8" t="n">
        <v>225</v>
      </c>
      <c r="J706" s="8" t="n">
        <v>119.41</v>
      </c>
      <c r="K706" s="9" t="n">
        <v>0.1</v>
      </c>
      <c r="L706" s="8" t="n">
        <v>20.58</v>
      </c>
      <c r="M706" s="8">
        <f>H706*I706*(1-K706)</f>
        <v/>
      </c>
      <c r="N706" s="8">
        <f>H706*J706</f>
        <v/>
      </c>
      <c r="O706" s="8">
        <f>M706-N706-L706</f>
        <v/>
      </c>
      <c r="P706" s="10">
        <f>IFERROR(O706/M706,0)</f>
        <v/>
      </c>
      <c r="Q706" s="3">
        <f>IF(H706&lt;=0,"Review: quantity &lt;= 0",IF(K706&gt;0.3,"Review: discount &gt; 30%",IF(G706="","Review: missing customer type","OK")))</f>
        <v/>
      </c>
    </row>
    <row r="707">
      <c r="A707" s="3" t="inlineStr">
        <is>
          <t>ORD-10706</t>
        </is>
      </c>
      <c r="B707" s="7" t="n">
        <v>45825</v>
      </c>
      <c r="C707" s="3" t="inlineStr">
        <is>
          <t>Home &amp; Lifestyle</t>
        </is>
      </c>
      <c r="D707" s="3" t="inlineStr">
        <is>
          <t>Wallets</t>
        </is>
      </c>
      <c r="E707" s="3" t="inlineStr">
        <is>
          <t>Greater Accra</t>
        </is>
      </c>
      <c r="F707" s="3" t="inlineStr">
        <is>
          <t>Phone/WhatsApp</t>
        </is>
      </c>
      <c r="G707" s="3" t="inlineStr">
        <is>
          <t>Returning</t>
        </is>
      </c>
      <c r="H707" s="3" t="n">
        <v>5</v>
      </c>
      <c r="I707" s="8" t="n">
        <v>120</v>
      </c>
      <c r="J707" s="8" t="n">
        <v>63.96</v>
      </c>
      <c r="K707" s="9" t="n">
        <v>0</v>
      </c>
      <c r="L707" s="8" t="n">
        <v>10.02</v>
      </c>
      <c r="M707" s="8">
        <f>H707*I707*(1-K707)</f>
        <v/>
      </c>
      <c r="N707" s="8">
        <f>H707*J707</f>
        <v/>
      </c>
      <c r="O707" s="8">
        <f>M707-N707-L707</f>
        <v/>
      </c>
      <c r="P707" s="10">
        <f>IFERROR(O707/M707,0)</f>
        <v/>
      </c>
      <c r="Q707" s="3">
        <f>IF(H707&lt;=0,"Review: quantity &lt;= 0",IF(K707&gt;0.3,"Review: discount &gt; 30%",IF(G707="","Review: missing customer type","OK")))</f>
        <v/>
      </c>
    </row>
    <row r="708">
      <c r="A708" s="3" t="inlineStr">
        <is>
          <t>ORD-10707</t>
        </is>
      </c>
      <c r="B708" s="7" t="n">
        <v>45713</v>
      </c>
      <c r="C708" s="3" t="inlineStr">
        <is>
          <t>Accessories</t>
        </is>
      </c>
      <c r="D708" s="3" t="inlineStr">
        <is>
          <t>Bags</t>
        </is>
      </c>
      <c r="E708" s="3" t="inlineStr">
        <is>
          <t>Greater Accra</t>
        </is>
      </c>
      <c r="F708" s="3" t="inlineStr">
        <is>
          <t>Retail Shop</t>
        </is>
      </c>
      <c r="G708" s="3" t="inlineStr">
        <is>
          <t>New</t>
        </is>
      </c>
      <c r="H708" s="3" t="n">
        <v>1</v>
      </c>
      <c r="I708" s="8" t="n">
        <v>130</v>
      </c>
      <c r="J708" s="8" t="n">
        <v>57.48</v>
      </c>
      <c r="K708" s="9" t="n">
        <v>0.15</v>
      </c>
      <c r="L708" s="8" t="n">
        <v>2.26</v>
      </c>
      <c r="M708" s="8">
        <f>H708*I708*(1-K708)</f>
        <v/>
      </c>
      <c r="N708" s="8">
        <f>H708*J708</f>
        <v/>
      </c>
      <c r="O708" s="8">
        <f>M708-N708-L708</f>
        <v/>
      </c>
      <c r="P708" s="10">
        <f>IFERROR(O708/M708,0)</f>
        <v/>
      </c>
      <c r="Q708" s="3">
        <f>IF(H708&lt;=0,"Review: quantity &lt;= 0",IF(K708&gt;0.3,"Review: discount &gt; 30%",IF(G708="","Review: missing customer type","OK")))</f>
        <v/>
      </c>
    </row>
    <row r="709">
      <c r="A709" s="3" t="inlineStr">
        <is>
          <t>ORD-10708</t>
        </is>
      </c>
      <c r="B709" s="7" t="n">
        <v>45731</v>
      </c>
      <c r="C709" s="3" t="inlineStr">
        <is>
          <t>Footwear</t>
        </is>
      </c>
      <c r="D709" s="3" t="inlineStr">
        <is>
          <t>Sandals</t>
        </is>
      </c>
      <c r="E709" s="3" t="inlineStr">
        <is>
          <t>Greater Accra</t>
        </is>
      </c>
      <c r="F709" s="3" t="inlineStr">
        <is>
          <t>Phone/WhatsApp</t>
        </is>
      </c>
      <c r="G709" s="3" t="inlineStr">
        <is>
          <t>New</t>
        </is>
      </c>
      <c r="H709" s="3" t="n">
        <v>2</v>
      </c>
      <c r="I709" s="8" t="n">
        <v>350</v>
      </c>
      <c r="J709" s="8" t="n">
        <v>176.69</v>
      </c>
      <c r="K709" s="9" t="n">
        <v>0.05</v>
      </c>
      <c r="L709" s="8" t="n">
        <v>30.6</v>
      </c>
      <c r="M709" s="8">
        <f>H709*I709*(1-K709)</f>
        <v/>
      </c>
      <c r="N709" s="8">
        <f>H709*J709</f>
        <v/>
      </c>
      <c r="O709" s="8">
        <f>M709-N709-L709</f>
        <v/>
      </c>
      <c r="P709" s="10">
        <f>IFERROR(O709/M709,0)</f>
        <v/>
      </c>
      <c r="Q709" s="3">
        <f>IF(H709&lt;=0,"Review: quantity &lt;= 0",IF(K709&gt;0.3,"Review: discount &gt; 30%",IF(G709="","Review: missing customer type","OK")))</f>
        <v/>
      </c>
    </row>
    <row r="710">
      <c r="A710" s="3" t="inlineStr">
        <is>
          <t>ORD-10709</t>
        </is>
      </c>
      <c r="B710" s="7" t="n">
        <v>45746</v>
      </c>
      <c r="C710" s="3" t="inlineStr">
        <is>
          <t>Clothing</t>
        </is>
      </c>
      <c r="D710" s="3" t="inlineStr">
        <is>
          <t>Trousers</t>
        </is>
      </c>
      <c r="E710" s="3" t="inlineStr">
        <is>
          <t>Greater Accra</t>
        </is>
      </c>
      <c r="F710" s="3" t="inlineStr">
        <is>
          <t>Phone/WhatsApp</t>
        </is>
      </c>
      <c r="G710" s="3" t="inlineStr">
        <is>
          <t>New</t>
        </is>
      </c>
      <c r="H710" s="3" t="n">
        <v>1</v>
      </c>
      <c r="I710" s="8" t="n">
        <v>145</v>
      </c>
      <c r="J710" s="8" t="n">
        <v>70.19</v>
      </c>
      <c r="K710" s="9" t="n">
        <v>0.15</v>
      </c>
      <c r="L710" s="8" t="n">
        <v>29.44</v>
      </c>
      <c r="M710" s="8">
        <f>H710*I710*(1-K710)</f>
        <v/>
      </c>
      <c r="N710" s="8">
        <f>H710*J710</f>
        <v/>
      </c>
      <c r="O710" s="8">
        <f>M710-N710-L710</f>
        <v/>
      </c>
      <c r="P710" s="10">
        <f>IFERROR(O710/M710,0)</f>
        <v/>
      </c>
      <c r="Q710" s="3">
        <f>IF(H710&lt;=0,"Review: quantity &lt;= 0",IF(K710&gt;0.3,"Review: discount &gt; 30%",IF(G710="","Review: missing customer type","OK")))</f>
        <v/>
      </c>
    </row>
    <row r="711">
      <c r="A711" s="3" t="inlineStr">
        <is>
          <t>ORD-10710</t>
        </is>
      </c>
      <c r="B711" s="7" t="n">
        <v>45746</v>
      </c>
      <c r="C711" s="3" t="inlineStr">
        <is>
          <t>Footwear</t>
        </is>
      </c>
      <c r="D711" s="3" t="inlineStr">
        <is>
          <t>Sneakers</t>
        </is>
      </c>
      <c r="E711" s="3" t="inlineStr">
        <is>
          <t>Ashanti</t>
        </is>
      </c>
      <c r="F711" s="3" t="inlineStr">
        <is>
          <t>Online</t>
        </is>
      </c>
      <c r="G711" s="3" t="inlineStr">
        <is>
          <t>New</t>
        </is>
      </c>
      <c r="H711" s="3" t="n">
        <v>1</v>
      </c>
      <c r="I711" s="8" t="n">
        <v>370</v>
      </c>
      <c r="J711" s="8" t="n">
        <v>217.16</v>
      </c>
      <c r="K711" s="9" t="n">
        <v>0.05</v>
      </c>
      <c r="L711" s="8" t="n">
        <v>20.8</v>
      </c>
      <c r="M711" s="8">
        <f>H711*I711*(1-K711)</f>
        <v/>
      </c>
      <c r="N711" s="8">
        <f>H711*J711</f>
        <v/>
      </c>
      <c r="O711" s="8">
        <f>M711-N711-L711</f>
        <v/>
      </c>
      <c r="P711" s="10">
        <f>IFERROR(O711/M711,0)</f>
        <v/>
      </c>
      <c r="Q711" s="3">
        <f>IF(H711&lt;=0,"Review: quantity &lt;= 0",IF(K711&gt;0.3,"Review: discount &gt; 30%",IF(G711="","Review: missing customer type","OK")))</f>
        <v/>
      </c>
    </row>
    <row r="712">
      <c r="A712" s="3" t="inlineStr">
        <is>
          <t>ORD-10711</t>
        </is>
      </c>
      <c r="B712" s="7" t="n">
        <v>45817</v>
      </c>
      <c r="C712" s="3" t="inlineStr">
        <is>
          <t>Footwear</t>
        </is>
      </c>
      <c r="D712" s="3" t="inlineStr">
        <is>
          <t>Sandals</t>
        </is>
      </c>
      <c r="E712" s="3" t="inlineStr">
        <is>
          <t>Greater Accra</t>
        </is>
      </c>
      <c r="F712" s="3" t="inlineStr">
        <is>
          <t>Online</t>
        </is>
      </c>
      <c r="G712" s="3" t="inlineStr">
        <is>
          <t>Returning</t>
        </is>
      </c>
      <c r="H712" s="3" t="n">
        <v>1</v>
      </c>
      <c r="I712" s="8" t="n">
        <v>210</v>
      </c>
      <c r="J712" s="8" t="n">
        <v>123.78</v>
      </c>
      <c r="K712" s="9" t="n">
        <v>0.05</v>
      </c>
      <c r="L712" s="8" t="n">
        <v>12.39</v>
      </c>
      <c r="M712" s="8">
        <f>H712*I712*(1-K712)</f>
        <v/>
      </c>
      <c r="N712" s="8">
        <f>H712*J712</f>
        <v/>
      </c>
      <c r="O712" s="8">
        <f>M712-N712-L712</f>
        <v/>
      </c>
      <c r="P712" s="10">
        <f>IFERROR(O712/M712,0)</f>
        <v/>
      </c>
      <c r="Q712" s="3">
        <f>IF(H712&lt;=0,"Review: quantity &lt;= 0",IF(K712&gt;0.3,"Review: discount &gt; 30%",IF(G712="","Review: missing customer type","OK")))</f>
        <v/>
      </c>
    </row>
    <row r="713">
      <c r="A713" s="3" t="inlineStr">
        <is>
          <t>ORD-10712</t>
        </is>
      </c>
      <c r="B713" s="7" t="n">
        <v>45726</v>
      </c>
      <c r="C713" s="3" t="inlineStr">
        <is>
          <t>Clothing</t>
        </is>
      </c>
      <c r="D713" s="3" t="inlineStr">
        <is>
          <t>Jackets</t>
        </is>
      </c>
      <c r="E713" s="3" t="inlineStr">
        <is>
          <t>Greater Accra</t>
        </is>
      </c>
      <c r="F713" s="3" t="inlineStr">
        <is>
          <t>Retail Shop</t>
        </is>
      </c>
      <c r="G713" s="3" t="inlineStr">
        <is>
          <t>New</t>
        </is>
      </c>
      <c r="H713" s="3" t="n">
        <v>2</v>
      </c>
      <c r="I713" s="8" t="n">
        <v>95</v>
      </c>
      <c r="J713" s="8" t="n">
        <v>50.11</v>
      </c>
      <c r="K713" s="9" t="n">
        <v>0.15</v>
      </c>
      <c r="L713" s="8" t="n">
        <v>2.05</v>
      </c>
      <c r="M713" s="8">
        <f>H713*I713*(1-K713)</f>
        <v/>
      </c>
      <c r="N713" s="8">
        <f>H713*J713</f>
        <v/>
      </c>
      <c r="O713" s="8">
        <f>M713-N713-L713</f>
        <v/>
      </c>
      <c r="P713" s="10">
        <f>IFERROR(O713/M713,0)</f>
        <v/>
      </c>
      <c r="Q713" s="3">
        <f>IF(H713&lt;=0,"Review: quantity &lt;= 0",IF(K713&gt;0.3,"Review: discount &gt; 30%",IF(G713="","Review: missing customer type","OK")))</f>
        <v/>
      </c>
    </row>
    <row r="714">
      <c r="A714" s="3" t="inlineStr">
        <is>
          <t>ORD-10713</t>
        </is>
      </c>
      <c r="B714" s="7" t="n">
        <v>45976</v>
      </c>
      <c r="C714" s="3" t="inlineStr">
        <is>
          <t>Home &amp; Lifestyle</t>
        </is>
      </c>
      <c r="D714" s="3" t="inlineStr">
        <is>
          <t>Travel Mugs</t>
        </is>
      </c>
      <c r="E714" s="3" t="inlineStr">
        <is>
          <t>Western</t>
        </is>
      </c>
      <c r="F714" s="3" t="inlineStr">
        <is>
          <t>Online</t>
        </is>
      </c>
      <c r="G714" s="3" t="inlineStr">
        <is>
          <t>Returning</t>
        </is>
      </c>
      <c r="H714" s="3" t="n">
        <v>2</v>
      </c>
      <c r="I714" s="8" t="n">
        <v>105</v>
      </c>
      <c r="J714" s="8" t="n">
        <v>59.2</v>
      </c>
      <c r="K714" s="9" t="n">
        <v>0</v>
      </c>
      <c r="L714" s="8" t="n">
        <v>19.58</v>
      </c>
      <c r="M714" s="8">
        <f>H714*I714*(1-K714)</f>
        <v/>
      </c>
      <c r="N714" s="8">
        <f>H714*J714</f>
        <v/>
      </c>
      <c r="O714" s="8">
        <f>M714-N714-L714</f>
        <v/>
      </c>
      <c r="P714" s="10">
        <f>IFERROR(O714/M714,0)</f>
        <v/>
      </c>
      <c r="Q714" s="3">
        <f>IF(H714&lt;=0,"Review: quantity &lt;= 0",IF(K714&gt;0.3,"Review: discount &gt; 30%",IF(G714="","Review: missing customer type","OK")))</f>
        <v/>
      </c>
    </row>
    <row r="715">
      <c r="A715" s="3" t="inlineStr">
        <is>
          <t>ORD-10714</t>
        </is>
      </c>
      <c r="B715" s="7" t="n">
        <v>45992</v>
      </c>
      <c r="C715" s="3" t="inlineStr">
        <is>
          <t>Footwear</t>
        </is>
      </c>
      <c r="D715" s="3" t="inlineStr">
        <is>
          <t>Formal Shoes</t>
        </is>
      </c>
      <c r="E715" s="3" t="inlineStr">
        <is>
          <t>Ashanti</t>
        </is>
      </c>
      <c r="F715" s="3" t="inlineStr">
        <is>
          <t>Retail Shop</t>
        </is>
      </c>
      <c r="G715" s="3" t="inlineStr">
        <is>
          <t>New</t>
        </is>
      </c>
      <c r="H715" s="3" t="n">
        <v>4</v>
      </c>
      <c r="I715" s="8" t="n">
        <v>235</v>
      </c>
      <c r="J715" s="8" t="n">
        <v>135.66</v>
      </c>
      <c r="K715" s="9" t="n">
        <v>0.1</v>
      </c>
      <c r="L715" s="8" t="n">
        <v>1.57</v>
      </c>
      <c r="M715" s="8">
        <f>H715*I715*(1-K715)</f>
        <v/>
      </c>
      <c r="N715" s="8">
        <f>H715*J715</f>
        <v/>
      </c>
      <c r="O715" s="8">
        <f>M715-N715-L715</f>
        <v/>
      </c>
      <c r="P715" s="10">
        <f>IFERROR(O715/M715,0)</f>
        <v/>
      </c>
      <c r="Q715" s="3">
        <f>IF(H715&lt;=0,"Review: quantity &lt;= 0",IF(K715&gt;0.3,"Review: discount &gt; 30%",IF(G715="","Review: missing customer type","OK")))</f>
        <v/>
      </c>
    </row>
    <row r="716">
      <c r="A716" s="3" t="inlineStr">
        <is>
          <t>ORD-10715</t>
        </is>
      </c>
      <c r="B716" s="7" t="n">
        <v>45685</v>
      </c>
      <c r="C716" s="3" t="inlineStr">
        <is>
          <t>Footwear</t>
        </is>
      </c>
      <c r="D716" s="3" t="inlineStr">
        <is>
          <t>Sneakers</t>
        </is>
      </c>
      <c r="E716" s="3" t="inlineStr">
        <is>
          <t>Western</t>
        </is>
      </c>
      <c r="F716" s="3" t="inlineStr">
        <is>
          <t>Retail Shop</t>
        </is>
      </c>
      <c r="G716" s="3" t="inlineStr">
        <is>
          <t>Returning</t>
        </is>
      </c>
      <c r="H716" s="3" t="n">
        <v>1</v>
      </c>
      <c r="I716" s="8" t="n">
        <v>315</v>
      </c>
      <c r="J716" s="8" t="n">
        <v>189.18</v>
      </c>
      <c r="K716" s="9" t="n">
        <v>0.15</v>
      </c>
      <c r="L716" s="8" t="n">
        <v>10.26</v>
      </c>
      <c r="M716" s="8">
        <f>H716*I716*(1-K716)</f>
        <v/>
      </c>
      <c r="N716" s="8">
        <f>H716*J716</f>
        <v/>
      </c>
      <c r="O716" s="8">
        <f>M716-N716-L716</f>
        <v/>
      </c>
      <c r="P716" s="10">
        <f>IFERROR(O716/M716,0)</f>
        <v/>
      </c>
      <c r="Q716" s="3">
        <f>IF(H716&lt;=0,"Review: quantity &lt;= 0",IF(K716&gt;0.3,"Review: discount &gt; 30%",IF(G716="","Review: missing customer type","OK")))</f>
        <v/>
      </c>
    </row>
    <row r="717">
      <c r="A717" s="3" t="inlineStr">
        <is>
          <t>ORD-10716</t>
        </is>
      </c>
      <c r="B717" s="7" t="n">
        <v>45840</v>
      </c>
      <c r="C717" s="3" t="inlineStr">
        <is>
          <t>Footwear</t>
        </is>
      </c>
      <c r="D717" s="3" t="inlineStr">
        <is>
          <t>Sneakers</t>
        </is>
      </c>
      <c r="E717" s="3" t="inlineStr">
        <is>
          <t>Greater Accra</t>
        </is>
      </c>
      <c r="F717" s="3" t="inlineStr">
        <is>
          <t>Online</t>
        </is>
      </c>
      <c r="G717" s="3" t="inlineStr">
        <is>
          <t>New</t>
        </is>
      </c>
      <c r="H717" s="3" t="n">
        <v>2</v>
      </c>
      <c r="I717" s="8" t="n">
        <v>295</v>
      </c>
      <c r="J717" s="8" t="n">
        <v>160.14</v>
      </c>
      <c r="K717" s="9" t="n">
        <v>0</v>
      </c>
      <c r="L717" s="8" t="n">
        <v>10.24</v>
      </c>
      <c r="M717" s="8">
        <f>H717*I717*(1-K717)</f>
        <v/>
      </c>
      <c r="N717" s="8">
        <f>H717*J717</f>
        <v/>
      </c>
      <c r="O717" s="8">
        <f>M717-N717-L717</f>
        <v/>
      </c>
      <c r="P717" s="10">
        <f>IFERROR(O717/M717,0)</f>
        <v/>
      </c>
      <c r="Q717" s="3">
        <f>IF(H717&lt;=0,"Review: quantity &lt;= 0",IF(K717&gt;0.3,"Review: discount &gt; 30%",IF(G717="","Review: missing customer type","OK")))</f>
        <v/>
      </c>
    </row>
    <row r="718">
      <c r="A718" s="3" t="inlineStr">
        <is>
          <t>ORD-10717</t>
        </is>
      </c>
      <c r="B718" s="7" t="n">
        <v>45659</v>
      </c>
      <c r="C718" s="3" t="inlineStr">
        <is>
          <t>Clothing</t>
        </is>
      </c>
      <c r="D718" s="3" t="inlineStr">
        <is>
          <t>Jackets</t>
        </is>
      </c>
      <c r="E718" s="3" t="inlineStr">
        <is>
          <t>Ashanti</t>
        </is>
      </c>
      <c r="F718" s="3" t="inlineStr">
        <is>
          <t>Phone/WhatsApp</t>
        </is>
      </c>
      <c r="G718" s="3" t="inlineStr">
        <is>
          <t>New</t>
        </is>
      </c>
      <c r="H718" s="3" t="n">
        <v>1</v>
      </c>
      <c r="I718" s="8" t="n">
        <v>85</v>
      </c>
      <c r="J718" s="8" t="n">
        <v>49.35</v>
      </c>
      <c r="K718" s="9" t="n">
        <v>0.1</v>
      </c>
      <c r="L718" s="8" t="n">
        <v>35.6</v>
      </c>
      <c r="M718" s="8">
        <f>H718*I718*(1-K718)</f>
        <v/>
      </c>
      <c r="N718" s="8">
        <f>H718*J718</f>
        <v/>
      </c>
      <c r="O718" s="8">
        <f>M718-N718-L718</f>
        <v/>
      </c>
      <c r="P718" s="10">
        <f>IFERROR(O718/M718,0)</f>
        <v/>
      </c>
      <c r="Q718" s="3">
        <f>IF(H718&lt;=0,"Review: quantity &lt;= 0",IF(K718&gt;0.3,"Review: discount &gt; 30%",IF(G718="","Review: missing customer type","OK")))</f>
        <v/>
      </c>
    </row>
    <row r="719">
      <c r="A719" s="3" t="inlineStr">
        <is>
          <t>ORD-10718</t>
        </is>
      </c>
      <c r="B719" s="7" t="n">
        <v>45986</v>
      </c>
      <c r="C719" s="3" t="inlineStr">
        <is>
          <t>Footwear</t>
        </is>
      </c>
      <c r="D719" s="3" t="inlineStr">
        <is>
          <t>Formal Shoes</t>
        </is>
      </c>
      <c r="E719" s="3" t="inlineStr">
        <is>
          <t>Greater Accra</t>
        </is>
      </c>
      <c r="F719" s="3" t="inlineStr">
        <is>
          <t>Retail Shop</t>
        </is>
      </c>
      <c r="G719" s="3" t="inlineStr">
        <is>
          <t>Returning</t>
        </is>
      </c>
      <c r="H719" s="3" t="n">
        <v>1</v>
      </c>
      <c r="I719" s="8" t="n">
        <v>265</v>
      </c>
      <c r="J719" s="8" t="n">
        <v>167.29</v>
      </c>
      <c r="K719" s="9" t="n">
        <v>0.2</v>
      </c>
      <c r="L719" s="8" t="n">
        <v>6.11</v>
      </c>
      <c r="M719" s="8">
        <f>H719*I719*(1-K719)</f>
        <v/>
      </c>
      <c r="N719" s="8">
        <f>H719*J719</f>
        <v/>
      </c>
      <c r="O719" s="8">
        <f>M719-N719-L719</f>
        <v/>
      </c>
      <c r="P719" s="10">
        <f>IFERROR(O719/M719,0)</f>
        <v/>
      </c>
      <c r="Q719" s="3">
        <f>IF(H719&lt;=0,"Review: quantity &lt;= 0",IF(K719&gt;0.3,"Review: discount &gt; 30%",IF(G719="","Review: missing customer type","OK")))</f>
        <v/>
      </c>
    </row>
    <row r="720">
      <c r="A720" s="3" t="inlineStr">
        <is>
          <t>ORD-10719</t>
        </is>
      </c>
      <c r="B720" s="7" t="n">
        <v>45900</v>
      </c>
      <c r="C720" s="3" t="inlineStr">
        <is>
          <t>Footwear</t>
        </is>
      </c>
      <c r="D720" s="3" t="inlineStr">
        <is>
          <t>Sandals</t>
        </is>
      </c>
      <c r="E720" s="3" t="inlineStr">
        <is>
          <t>Greater Accra</t>
        </is>
      </c>
      <c r="F720" s="3" t="inlineStr">
        <is>
          <t>Phone/WhatsApp</t>
        </is>
      </c>
      <c r="G720" s="3" t="inlineStr">
        <is>
          <t>New</t>
        </is>
      </c>
      <c r="H720" s="3" t="n">
        <v>8</v>
      </c>
      <c r="I720" s="8" t="n">
        <v>375</v>
      </c>
      <c r="J720" s="8" t="n">
        <v>219.54</v>
      </c>
      <c r="K720" s="9" t="n">
        <v>0</v>
      </c>
      <c r="L720" s="8" t="n">
        <v>14.36</v>
      </c>
      <c r="M720" s="8">
        <f>H720*I720*(1-K720)</f>
        <v/>
      </c>
      <c r="N720" s="8">
        <f>H720*J720</f>
        <v/>
      </c>
      <c r="O720" s="8">
        <f>M720-N720-L720</f>
        <v/>
      </c>
      <c r="P720" s="10">
        <f>IFERROR(O720/M720,0)</f>
        <v/>
      </c>
      <c r="Q720" s="3">
        <f>IF(H720&lt;=0,"Review: quantity &lt;= 0",IF(K720&gt;0.3,"Review: discount &gt; 30%",IF(G720="","Review: missing customer type","OK")))</f>
        <v/>
      </c>
    </row>
    <row r="721">
      <c r="A721" s="3" t="inlineStr">
        <is>
          <t>ORD-10720</t>
        </is>
      </c>
      <c r="B721" s="7" t="n">
        <v>45843</v>
      </c>
      <c r="C721" s="3" t="inlineStr">
        <is>
          <t>Home &amp; Lifestyle</t>
        </is>
      </c>
      <c r="D721" s="3" t="inlineStr">
        <is>
          <t>Travel Mugs</t>
        </is>
      </c>
      <c r="E721" s="3" t="inlineStr">
        <is>
          <t>Northern</t>
        </is>
      </c>
      <c r="F721" s="3" t="inlineStr">
        <is>
          <t>Retail Shop</t>
        </is>
      </c>
      <c r="G721" s="3" t="inlineStr">
        <is>
          <t>New</t>
        </is>
      </c>
      <c r="H721" s="3" t="n">
        <v>4</v>
      </c>
      <c r="I721" s="8" t="n">
        <v>120</v>
      </c>
      <c r="J721" s="8" t="n">
        <v>67.81999999999999</v>
      </c>
      <c r="K721" s="9" t="n">
        <v>0.1</v>
      </c>
      <c r="L721" s="8" t="n">
        <v>5.74</v>
      </c>
      <c r="M721" s="8">
        <f>H721*I721*(1-K721)</f>
        <v/>
      </c>
      <c r="N721" s="8">
        <f>H721*J721</f>
        <v/>
      </c>
      <c r="O721" s="8">
        <f>M721-N721-L721</f>
        <v/>
      </c>
      <c r="P721" s="10">
        <f>IFERROR(O721/M721,0)</f>
        <v/>
      </c>
      <c r="Q721" s="3">
        <f>IF(H721&lt;=0,"Review: quantity &lt;= 0",IF(K721&gt;0.3,"Review: discount &gt; 30%",IF(G721="","Review: missing customer type","OK")))</f>
        <v/>
      </c>
    </row>
    <row r="722">
      <c r="A722" s="3" t="inlineStr">
        <is>
          <t>ORD-10721</t>
        </is>
      </c>
      <c r="B722" s="7" t="n">
        <v>46014</v>
      </c>
      <c r="C722" s="3" t="inlineStr">
        <is>
          <t>Footwear</t>
        </is>
      </c>
      <c r="D722" s="3" t="inlineStr">
        <is>
          <t>Boots</t>
        </is>
      </c>
      <c r="E722" s="3" t="inlineStr">
        <is>
          <t>Ashanti</t>
        </is>
      </c>
      <c r="F722" s="3" t="inlineStr">
        <is>
          <t>Online</t>
        </is>
      </c>
      <c r="G722" s="3" t="inlineStr">
        <is>
          <t>Returning</t>
        </is>
      </c>
      <c r="H722" s="3" t="n">
        <v>4</v>
      </c>
      <c r="I722" s="8" t="n">
        <v>260</v>
      </c>
      <c r="J722" s="8" t="n">
        <v>152.45</v>
      </c>
      <c r="K722" s="9" t="n">
        <v>0.1</v>
      </c>
      <c r="L722" s="8" t="n">
        <v>24.28</v>
      </c>
      <c r="M722" s="8">
        <f>H722*I722*(1-K722)</f>
        <v/>
      </c>
      <c r="N722" s="8">
        <f>H722*J722</f>
        <v/>
      </c>
      <c r="O722" s="8">
        <f>M722-N722-L722</f>
        <v/>
      </c>
      <c r="P722" s="10">
        <f>IFERROR(O722/M722,0)</f>
        <v/>
      </c>
      <c r="Q722" s="3">
        <f>IF(H722&lt;=0,"Review: quantity &lt;= 0",IF(K722&gt;0.3,"Review: discount &gt; 30%",IF(G722="","Review: missing customer type","OK")))</f>
        <v/>
      </c>
    </row>
    <row r="723">
      <c r="A723" s="3" t="inlineStr">
        <is>
          <t>ORD-10722</t>
        </is>
      </c>
      <c r="B723" s="7" t="n">
        <v>46021</v>
      </c>
      <c r="C723" s="3" t="inlineStr">
        <is>
          <t>Footwear</t>
        </is>
      </c>
      <c r="D723" s="3" t="inlineStr">
        <is>
          <t>Sandals</t>
        </is>
      </c>
      <c r="E723" s="3" t="inlineStr">
        <is>
          <t>Western</t>
        </is>
      </c>
      <c r="F723" s="3" t="inlineStr">
        <is>
          <t>Online</t>
        </is>
      </c>
      <c r="G723" s="3" t="inlineStr">
        <is>
          <t>Returning</t>
        </is>
      </c>
      <c r="H723" s="3" t="n">
        <v>2</v>
      </c>
      <c r="I723" s="8" t="n">
        <v>400</v>
      </c>
      <c r="J723" s="8" t="n">
        <v>232.24</v>
      </c>
      <c r="K723" s="9" t="n">
        <v>0</v>
      </c>
      <c r="L723" s="8" t="n">
        <v>37.71</v>
      </c>
      <c r="M723" s="8">
        <f>H723*I723*(1-K723)</f>
        <v/>
      </c>
      <c r="N723" s="8">
        <f>H723*J723</f>
        <v/>
      </c>
      <c r="O723" s="8">
        <f>M723-N723-L723</f>
        <v/>
      </c>
      <c r="P723" s="10">
        <f>IFERROR(O723/M723,0)</f>
        <v/>
      </c>
      <c r="Q723" s="3">
        <f>IF(H723&lt;=0,"Review: quantity &lt;= 0",IF(K723&gt;0.3,"Review: discount &gt; 30%",IF(G723="","Review: missing customer type","OK")))</f>
        <v/>
      </c>
    </row>
    <row r="724">
      <c r="A724" s="3" t="inlineStr">
        <is>
          <t>ORD-10723</t>
        </is>
      </c>
      <c r="B724" s="7" t="n">
        <v>45798</v>
      </c>
      <c r="C724" s="3" t="inlineStr">
        <is>
          <t>Footwear</t>
        </is>
      </c>
      <c r="D724" s="3" t="inlineStr">
        <is>
          <t>Sandals</t>
        </is>
      </c>
      <c r="E724" s="3" t="inlineStr">
        <is>
          <t>Ashanti</t>
        </is>
      </c>
      <c r="F724" s="3" t="inlineStr">
        <is>
          <t>Retail Shop</t>
        </is>
      </c>
      <c r="G724" s="3" t="inlineStr">
        <is>
          <t>Returning</t>
        </is>
      </c>
      <c r="H724" s="3" t="n">
        <v>3</v>
      </c>
      <c r="I724" s="8" t="n">
        <v>375</v>
      </c>
      <c r="J724" s="8" t="n">
        <v>217.5</v>
      </c>
      <c r="K724" s="9" t="n">
        <v>0.1</v>
      </c>
      <c r="L724" s="8" t="n">
        <v>0.64</v>
      </c>
      <c r="M724" s="8">
        <f>H724*I724*(1-K724)</f>
        <v/>
      </c>
      <c r="N724" s="8">
        <f>H724*J724</f>
        <v/>
      </c>
      <c r="O724" s="8">
        <f>M724-N724-L724</f>
        <v/>
      </c>
      <c r="P724" s="10">
        <f>IFERROR(O724/M724,0)</f>
        <v/>
      </c>
      <c r="Q724" s="3">
        <f>IF(H724&lt;=0,"Review: quantity &lt;= 0",IF(K724&gt;0.3,"Review: discount &gt; 30%",IF(G724="","Review: missing customer type","OK")))</f>
        <v/>
      </c>
    </row>
    <row r="725">
      <c r="A725" s="3" t="inlineStr">
        <is>
          <t>ORD-10724</t>
        </is>
      </c>
      <c r="B725" s="7" t="n">
        <v>46003</v>
      </c>
      <c r="C725" s="3" t="inlineStr">
        <is>
          <t>Home &amp; Lifestyle</t>
        </is>
      </c>
      <c r="D725" s="3" t="inlineStr">
        <is>
          <t>Travel Mugs</t>
        </is>
      </c>
      <c r="E725" s="3" t="inlineStr">
        <is>
          <t>Greater Accra</t>
        </is>
      </c>
      <c r="F725" s="3" t="inlineStr">
        <is>
          <t>Retail Shop</t>
        </is>
      </c>
      <c r="G725" s="3" t="inlineStr">
        <is>
          <t>Returning</t>
        </is>
      </c>
      <c r="H725" s="3" t="n">
        <v>1</v>
      </c>
      <c r="I725" s="8" t="n">
        <v>105</v>
      </c>
      <c r="J725" s="8" t="n">
        <v>53.12</v>
      </c>
      <c r="K725" s="9" t="n">
        <v>0.1</v>
      </c>
      <c r="L725" s="8" t="n">
        <v>11.87</v>
      </c>
      <c r="M725" s="8">
        <f>H725*I725*(1-K725)</f>
        <v/>
      </c>
      <c r="N725" s="8">
        <f>H725*J725</f>
        <v/>
      </c>
      <c r="O725" s="8">
        <f>M725-N725-L725</f>
        <v/>
      </c>
      <c r="P725" s="10">
        <f>IFERROR(O725/M725,0)</f>
        <v/>
      </c>
      <c r="Q725" s="3">
        <f>IF(H725&lt;=0,"Review: quantity &lt;= 0",IF(K725&gt;0.3,"Review: discount &gt; 30%",IF(G725="","Review: missing customer type","OK")))</f>
        <v/>
      </c>
    </row>
    <row r="726">
      <c r="A726" s="3" t="inlineStr">
        <is>
          <t>ORD-10725</t>
        </is>
      </c>
      <c r="B726" s="7" t="n">
        <v>45890</v>
      </c>
      <c r="C726" s="3" t="inlineStr">
        <is>
          <t>Accessories</t>
        </is>
      </c>
      <c r="D726" s="3" t="inlineStr">
        <is>
          <t>Belts</t>
        </is>
      </c>
      <c r="E726" s="3" t="inlineStr">
        <is>
          <t>Ashanti</t>
        </is>
      </c>
      <c r="F726" s="3" t="inlineStr">
        <is>
          <t>Online</t>
        </is>
      </c>
      <c r="G726" s="3" t="inlineStr">
        <is>
          <t>Returning</t>
        </is>
      </c>
      <c r="H726" s="3" t="n">
        <v>5</v>
      </c>
      <c r="I726" s="8" t="n">
        <v>90</v>
      </c>
      <c r="J726" s="8" t="n">
        <v>38.42</v>
      </c>
      <c r="K726" s="9" t="n">
        <v>0.15</v>
      </c>
      <c r="L726" s="8" t="n">
        <v>33.88</v>
      </c>
      <c r="M726" s="8">
        <f>H726*I726*(1-K726)</f>
        <v/>
      </c>
      <c r="N726" s="8">
        <f>H726*J726</f>
        <v/>
      </c>
      <c r="O726" s="8">
        <f>M726-N726-L726</f>
        <v/>
      </c>
      <c r="P726" s="10">
        <f>IFERROR(O726/M726,0)</f>
        <v/>
      </c>
      <c r="Q726" s="3">
        <f>IF(H726&lt;=0,"Review: quantity &lt;= 0",IF(K726&gt;0.3,"Review: discount &gt; 30%",IF(G726="","Review: missing customer type","OK")))</f>
        <v/>
      </c>
    </row>
    <row r="727">
      <c r="A727" s="3" t="inlineStr">
        <is>
          <t>ORD-10726</t>
        </is>
      </c>
      <c r="B727" s="7" t="n">
        <v>45675</v>
      </c>
      <c r="C727" s="3" t="inlineStr">
        <is>
          <t>Footwear</t>
        </is>
      </c>
      <c r="D727" s="3" t="inlineStr">
        <is>
          <t>Sneakers</t>
        </is>
      </c>
      <c r="E727" s="3" t="inlineStr">
        <is>
          <t>Western</t>
        </is>
      </c>
      <c r="F727" s="3" t="inlineStr">
        <is>
          <t>Phone/WhatsApp</t>
        </is>
      </c>
      <c r="G727" s="3" t="inlineStr">
        <is>
          <t>Returning</t>
        </is>
      </c>
      <c r="H727" s="3" t="n">
        <v>3</v>
      </c>
      <c r="I727" s="8" t="n">
        <v>145</v>
      </c>
      <c r="J727" s="8" t="n">
        <v>73.28</v>
      </c>
      <c r="K727" s="9" t="n">
        <v>0.05</v>
      </c>
      <c r="L727" s="8" t="n">
        <v>27.43</v>
      </c>
      <c r="M727" s="8">
        <f>H727*I727*(1-K727)</f>
        <v/>
      </c>
      <c r="N727" s="8">
        <f>H727*J727</f>
        <v/>
      </c>
      <c r="O727" s="8">
        <f>M727-N727-L727</f>
        <v/>
      </c>
      <c r="P727" s="10">
        <f>IFERROR(O727/M727,0)</f>
        <v/>
      </c>
      <c r="Q727" s="3">
        <f>IF(H727&lt;=0,"Review: quantity &lt;= 0",IF(K727&gt;0.3,"Review: discount &gt; 30%",IF(G727="","Review: missing customer type","OK")))</f>
        <v/>
      </c>
    </row>
    <row r="728">
      <c r="A728" s="3" t="inlineStr">
        <is>
          <t>ORD-10727</t>
        </is>
      </c>
      <c r="B728" s="7" t="n">
        <v>45802</v>
      </c>
      <c r="C728" s="3" t="inlineStr">
        <is>
          <t>Clothing</t>
        </is>
      </c>
      <c r="D728" s="3" t="inlineStr">
        <is>
          <t>Trousers</t>
        </is>
      </c>
      <c r="E728" s="3" t="inlineStr">
        <is>
          <t>Northern</t>
        </is>
      </c>
      <c r="F728" s="3" t="inlineStr">
        <is>
          <t>Retail Shop</t>
        </is>
      </c>
      <c r="G728" s="3" t="inlineStr">
        <is>
          <t>New</t>
        </is>
      </c>
      <c r="H728" s="3" t="n">
        <v>2</v>
      </c>
      <c r="I728" s="8" t="n">
        <v>120</v>
      </c>
      <c r="J728" s="8" t="n">
        <v>57.71</v>
      </c>
      <c r="K728" s="9" t="n">
        <v>0.15</v>
      </c>
      <c r="L728" s="8" t="n">
        <v>9.699999999999999</v>
      </c>
      <c r="M728" s="8">
        <f>H728*I728*(1-K728)</f>
        <v/>
      </c>
      <c r="N728" s="8">
        <f>H728*J728</f>
        <v/>
      </c>
      <c r="O728" s="8">
        <f>M728-N728-L728</f>
        <v/>
      </c>
      <c r="P728" s="10">
        <f>IFERROR(O728/M728,0)</f>
        <v/>
      </c>
      <c r="Q728" s="3">
        <f>IF(H728&lt;=0,"Review: quantity &lt;= 0",IF(K728&gt;0.3,"Review: discount &gt; 30%",IF(G728="","Review: missing customer type","OK")))</f>
        <v/>
      </c>
    </row>
    <row r="729">
      <c r="A729" s="3" t="inlineStr">
        <is>
          <t>ORD-10728</t>
        </is>
      </c>
      <c r="B729" s="7" t="n">
        <v>45922</v>
      </c>
      <c r="C729" s="3" t="inlineStr">
        <is>
          <t>Clothing</t>
        </is>
      </c>
      <c r="D729" s="3" t="inlineStr">
        <is>
          <t>Dresses</t>
        </is>
      </c>
      <c r="E729" s="3" t="inlineStr">
        <is>
          <t>Greater Accra</t>
        </is>
      </c>
      <c r="F729" s="3" t="inlineStr">
        <is>
          <t>Online</t>
        </is>
      </c>
      <c r="G729" s="3" t="inlineStr">
        <is>
          <t>Returning</t>
        </is>
      </c>
      <c r="H729" s="3" t="n">
        <v>1</v>
      </c>
      <c r="I729" s="8" t="n">
        <v>115</v>
      </c>
      <c r="J729" s="8" t="n">
        <v>61.26</v>
      </c>
      <c r="K729" s="9" t="n">
        <v>0</v>
      </c>
      <c r="L729" s="8" t="n">
        <v>15.63</v>
      </c>
      <c r="M729" s="8">
        <f>H729*I729*(1-K729)</f>
        <v/>
      </c>
      <c r="N729" s="8">
        <f>H729*J729</f>
        <v/>
      </c>
      <c r="O729" s="8">
        <f>M729-N729-L729</f>
        <v/>
      </c>
      <c r="P729" s="10">
        <f>IFERROR(O729/M729,0)</f>
        <v/>
      </c>
      <c r="Q729" s="3">
        <f>IF(H729&lt;=0,"Review: quantity &lt;= 0",IF(K729&gt;0.3,"Review: discount &gt; 30%",IF(G729="","Review: missing customer type","OK")))</f>
        <v/>
      </c>
    </row>
    <row r="730">
      <c r="A730" s="3" t="inlineStr">
        <is>
          <t>ORD-10729</t>
        </is>
      </c>
      <c r="B730" s="7" t="n">
        <v>45859</v>
      </c>
      <c r="C730" s="3" t="inlineStr">
        <is>
          <t>Clothing</t>
        </is>
      </c>
      <c r="D730" s="3" t="inlineStr">
        <is>
          <t>Trousers</t>
        </is>
      </c>
      <c r="E730" s="3" t="inlineStr">
        <is>
          <t>Greater Accra</t>
        </is>
      </c>
      <c r="F730" s="3" t="inlineStr">
        <is>
          <t>Retail Shop</t>
        </is>
      </c>
      <c r="G730" s="3" t="inlineStr">
        <is>
          <t>Returning</t>
        </is>
      </c>
      <c r="H730" s="3" t="n">
        <v>1</v>
      </c>
      <c r="I730" s="8" t="n">
        <v>65</v>
      </c>
      <c r="J730" s="8" t="n">
        <v>31.11</v>
      </c>
      <c r="K730" s="9" t="n">
        <v>0</v>
      </c>
      <c r="L730" s="8" t="n">
        <v>6.68</v>
      </c>
      <c r="M730" s="8">
        <f>H730*I730*(1-K730)</f>
        <v/>
      </c>
      <c r="N730" s="8">
        <f>H730*J730</f>
        <v/>
      </c>
      <c r="O730" s="8">
        <f>M730-N730-L730</f>
        <v/>
      </c>
      <c r="P730" s="10">
        <f>IFERROR(O730/M730,0)</f>
        <v/>
      </c>
      <c r="Q730" s="3">
        <f>IF(H730&lt;=0,"Review: quantity &lt;= 0",IF(K730&gt;0.3,"Review: discount &gt; 30%",IF(G730="","Review: missing customer type","OK")))</f>
        <v/>
      </c>
    </row>
    <row r="731">
      <c r="A731" s="3" t="inlineStr">
        <is>
          <t>ORD-10730</t>
        </is>
      </c>
      <c r="B731" s="7" t="n">
        <v>45818</v>
      </c>
      <c r="C731" s="3" t="inlineStr">
        <is>
          <t>Accessories</t>
        </is>
      </c>
      <c r="D731" s="3" t="inlineStr">
        <is>
          <t>Watches</t>
        </is>
      </c>
      <c r="E731" s="3" t="inlineStr">
        <is>
          <t>Ashanti</t>
        </is>
      </c>
      <c r="F731" s="3" t="inlineStr">
        <is>
          <t>Retail Shop</t>
        </is>
      </c>
      <c r="G731" s="3" t="inlineStr">
        <is>
          <t>New</t>
        </is>
      </c>
      <c r="H731" s="3" t="n">
        <v>1</v>
      </c>
      <c r="I731" s="8" t="n">
        <v>90</v>
      </c>
      <c r="J731" s="8" t="n">
        <v>40.52</v>
      </c>
      <c r="K731" s="9" t="n">
        <v>0.1</v>
      </c>
      <c r="L731" s="8" t="n">
        <v>2.53</v>
      </c>
      <c r="M731" s="8">
        <f>H731*I731*(1-K731)</f>
        <v/>
      </c>
      <c r="N731" s="8">
        <f>H731*J731</f>
        <v/>
      </c>
      <c r="O731" s="8">
        <f>M731-N731-L731</f>
        <v/>
      </c>
      <c r="P731" s="10">
        <f>IFERROR(O731/M731,0)</f>
        <v/>
      </c>
      <c r="Q731" s="3">
        <f>IF(H731&lt;=0,"Review: quantity &lt;= 0",IF(K731&gt;0.3,"Review: discount &gt; 30%",IF(G731="","Review: missing customer type","OK")))</f>
        <v/>
      </c>
    </row>
    <row r="732">
      <c r="A732" s="3" t="inlineStr">
        <is>
          <t>ORD-10731</t>
        </is>
      </c>
      <c r="B732" s="7" t="n">
        <v>45944</v>
      </c>
      <c r="C732" s="3" t="inlineStr">
        <is>
          <t>Clothing</t>
        </is>
      </c>
      <c r="D732" s="3" t="inlineStr">
        <is>
          <t>Trousers</t>
        </is>
      </c>
      <c r="E732" s="3" t="inlineStr">
        <is>
          <t>Greater Accra</t>
        </is>
      </c>
      <c r="F732" s="3" t="inlineStr">
        <is>
          <t>Phone/WhatsApp</t>
        </is>
      </c>
      <c r="G732" s="3" t="inlineStr">
        <is>
          <t>Returning</t>
        </is>
      </c>
      <c r="H732" s="3" t="n">
        <v>2</v>
      </c>
      <c r="I732" s="8" t="n">
        <v>80</v>
      </c>
      <c r="J732" s="8" t="n">
        <v>36.99</v>
      </c>
      <c r="K732" s="9" t="n">
        <v>0</v>
      </c>
      <c r="L732" s="8" t="n">
        <v>39</v>
      </c>
      <c r="M732" s="8">
        <f>H732*I732*(1-K732)</f>
        <v/>
      </c>
      <c r="N732" s="8">
        <f>H732*J732</f>
        <v/>
      </c>
      <c r="O732" s="8">
        <f>M732-N732-L732</f>
        <v/>
      </c>
      <c r="P732" s="10">
        <f>IFERROR(O732/M732,0)</f>
        <v/>
      </c>
      <c r="Q732" s="3">
        <f>IF(H732&lt;=0,"Review: quantity &lt;= 0",IF(K732&gt;0.3,"Review: discount &gt; 30%",IF(G732="","Review: missing customer type","OK")))</f>
        <v/>
      </c>
    </row>
    <row r="733">
      <c r="A733" s="3" t="inlineStr">
        <is>
          <t>ORD-10732</t>
        </is>
      </c>
      <c r="B733" s="7" t="n">
        <v>45884</v>
      </c>
      <c r="C733" s="3" t="inlineStr">
        <is>
          <t>Clothing</t>
        </is>
      </c>
      <c r="D733" s="3" t="inlineStr">
        <is>
          <t>Jackets</t>
        </is>
      </c>
      <c r="E733" s="3" t="inlineStr">
        <is>
          <t>Greater Accra</t>
        </is>
      </c>
      <c r="F733" s="3" t="inlineStr">
        <is>
          <t>Online</t>
        </is>
      </c>
      <c r="G733" s="3" t="inlineStr">
        <is>
          <t>Returning</t>
        </is>
      </c>
      <c r="H733" s="3" t="n">
        <v>1</v>
      </c>
      <c r="I733" s="8" t="n">
        <v>135</v>
      </c>
      <c r="J733" s="8" t="n">
        <v>77.93000000000001</v>
      </c>
      <c r="K733" s="9" t="n">
        <v>0.1</v>
      </c>
      <c r="L733" s="8" t="n">
        <v>44.18</v>
      </c>
      <c r="M733" s="8">
        <f>H733*I733*(1-K733)</f>
        <v/>
      </c>
      <c r="N733" s="8">
        <f>H733*J733</f>
        <v/>
      </c>
      <c r="O733" s="8">
        <f>M733-N733-L733</f>
        <v/>
      </c>
      <c r="P733" s="10">
        <f>IFERROR(O733/M733,0)</f>
        <v/>
      </c>
      <c r="Q733" s="3">
        <f>IF(H733&lt;=0,"Review: quantity &lt;= 0",IF(K733&gt;0.3,"Review: discount &gt; 30%",IF(G733="","Review: missing customer type","OK")))</f>
        <v/>
      </c>
    </row>
    <row r="734">
      <c r="A734" s="3" t="inlineStr">
        <is>
          <t>ORD-10733</t>
        </is>
      </c>
      <c r="B734" s="7" t="n">
        <v>45951</v>
      </c>
      <c r="C734" s="3" t="inlineStr">
        <is>
          <t>Footwear</t>
        </is>
      </c>
      <c r="D734" s="3" t="inlineStr">
        <is>
          <t>Boots</t>
        </is>
      </c>
      <c r="E734" s="3" t="inlineStr">
        <is>
          <t>Ashanti</t>
        </is>
      </c>
      <c r="F734" s="3" t="inlineStr">
        <is>
          <t>Phone/WhatsApp</t>
        </is>
      </c>
      <c r="G734" s="3" t="inlineStr">
        <is>
          <t>New</t>
        </is>
      </c>
      <c r="H734" s="3" t="n">
        <v>2</v>
      </c>
      <c r="I734" s="8" t="n">
        <v>235</v>
      </c>
      <c r="J734" s="8" t="n">
        <v>126.09</v>
      </c>
      <c r="K734" s="9" t="n">
        <v>0.1</v>
      </c>
      <c r="L734" s="8" t="n">
        <v>35.29</v>
      </c>
      <c r="M734" s="8">
        <f>H734*I734*(1-K734)</f>
        <v/>
      </c>
      <c r="N734" s="8">
        <f>H734*J734</f>
        <v/>
      </c>
      <c r="O734" s="8">
        <f>M734-N734-L734</f>
        <v/>
      </c>
      <c r="P734" s="10">
        <f>IFERROR(O734/M734,0)</f>
        <v/>
      </c>
      <c r="Q734" s="3">
        <f>IF(H734&lt;=0,"Review: quantity &lt;= 0",IF(K734&gt;0.3,"Review: discount &gt; 30%",IF(G734="","Review: missing customer type","OK")))</f>
        <v/>
      </c>
    </row>
    <row r="735">
      <c r="A735" s="3" t="inlineStr">
        <is>
          <t>ORD-10734</t>
        </is>
      </c>
      <c r="B735" s="7" t="n">
        <v>45717</v>
      </c>
      <c r="C735" s="3" t="inlineStr">
        <is>
          <t>Clothing</t>
        </is>
      </c>
      <c r="D735" s="3" t="inlineStr">
        <is>
          <t>Shirts</t>
        </is>
      </c>
      <c r="E735" s="3" t="inlineStr">
        <is>
          <t>Greater Accra</t>
        </is>
      </c>
      <c r="F735" s="3" t="inlineStr">
        <is>
          <t>Online</t>
        </is>
      </c>
      <c r="G735" s="3" t="inlineStr">
        <is>
          <t>New</t>
        </is>
      </c>
      <c r="H735" s="3" t="n">
        <v>1</v>
      </c>
      <c r="I735" s="8" t="n">
        <v>195</v>
      </c>
      <c r="J735" s="8" t="n">
        <v>108.53</v>
      </c>
      <c r="K735" s="9" t="n">
        <v>0</v>
      </c>
      <c r="L735" s="8" t="n">
        <v>30.86</v>
      </c>
      <c r="M735" s="8">
        <f>H735*I735*(1-K735)</f>
        <v/>
      </c>
      <c r="N735" s="8">
        <f>H735*J735</f>
        <v/>
      </c>
      <c r="O735" s="8">
        <f>M735-N735-L735</f>
        <v/>
      </c>
      <c r="P735" s="10">
        <f>IFERROR(O735/M735,0)</f>
        <v/>
      </c>
      <c r="Q735" s="3">
        <f>IF(H735&lt;=0,"Review: quantity &lt;= 0",IF(K735&gt;0.3,"Review: discount &gt; 30%",IF(G735="","Review: missing customer type","OK")))</f>
        <v/>
      </c>
    </row>
    <row r="736">
      <c r="A736" s="3" t="inlineStr">
        <is>
          <t>ORD-10735</t>
        </is>
      </c>
      <c r="B736" s="7" t="n">
        <v>45660</v>
      </c>
      <c r="C736" s="3" t="inlineStr">
        <is>
          <t>Clothing</t>
        </is>
      </c>
      <c r="D736" s="3" t="inlineStr">
        <is>
          <t>Jackets</t>
        </is>
      </c>
      <c r="E736" s="3" t="inlineStr">
        <is>
          <t>Ashanti</t>
        </is>
      </c>
      <c r="F736" s="3" t="inlineStr">
        <is>
          <t>Retail Shop</t>
        </is>
      </c>
      <c r="G736" s="3" t="inlineStr">
        <is>
          <t>New</t>
        </is>
      </c>
      <c r="H736" s="3" t="n">
        <v>1</v>
      </c>
      <c r="I736" s="8" t="n">
        <v>105</v>
      </c>
      <c r="J736" s="8" t="n">
        <v>48.88</v>
      </c>
      <c r="K736" s="9" t="n">
        <v>0</v>
      </c>
      <c r="L736" s="8" t="n">
        <v>1.57</v>
      </c>
      <c r="M736" s="8">
        <f>H736*I736*(1-K736)</f>
        <v/>
      </c>
      <c r="N736" s="8">
        <f>H736*J736</f>
        <v/>
      </c>
      <c r="O736" s="8">
        <f>M736-N736-L736</f>
        <v/>
      </c>
      <c r="P736" s="10">
        <f>IFERROR(O736/M736,0)</f>
        <v/>
      </c>
      <c r="Q736" s="3">
        <f>IF(H736&lt;=0,"Review: quantity &lt;= 0",IF(K736&gt;0.3,"Review: discount &gt; 30%",IF(G736="","Review: missing customer type","OK")))</f>
        <v/>
      </c>
    </row>
    <row r="737">
      <c r="A737" s="3" t="inlineStr">
        <is>
          <t>ORD-10736</t>
        </is>
      </c>
      <c r="B737" s="7" t="n">
        <v>45661</v>
      </c>
      <c r="C737" s="3" t="inlineStr">
        <is>
          <t>Clothing</t>
        </is>
      </c>
      <c r="D737" s="3" t="inlineStr">
        <is>
          <t>Dresses</t>
        </is>
      </c>
      <c r="E737" s="3" t="inlineStr">
        <is>
          <t>Western</t>
        </is>
      </c>
      <c r="F737" s="3" t="inlineStr">
        <is>
          <t>Online</t>
        </is>
      </c>
      <c r="G737" s="3" t="inlineStr">
        <is>
          <t>New</t>
        </is>
      </c>
      <c r="H737" s="3" t="n">
        <v>8</v>
      </c>
      <c r="I737" s="8" t="n">
        <v>115</v>
      </c>
      <c r="J737" s="8" t="n">
        <v>57.67</v>
      </c>
      <c r="K737" s="9" t="n">
        <v>0</v>
      </c>
      <c r="L737" s="8" t="n">
        <v>44.61</v>
      </c>
      <c r="M737" s="8">
        <f>H737*I737*(1-K737)</f>
        <v/>
      </c>
      <c r="N737" s="8">
        <f>H737*J737</f>
        <v/>
      </c>
      <c r="O737" s="8">
        <f>M737-N737-L737</f>
        <v/>
      </c>
      <c r="P737" s="10">
        <f>IFERROR(O737/M737,0)</f>
        <v/>
      </c>
      <c r="Q737" s="3">
        <f>IF(H737&lt;=0,"Review: quantity &lt;= 0",IF(K737&gt;0.3,"Review: discount &gt; 30%",IF(G737="","Review: missing customer type","OK")))</f>
        <v/>
      </c>
    </row>
    <row r="738">
      <c r="A738" s="3" t="inlineStr">
        <is>
          <t>ORD-10737</t>
        </is>
      </c>
      <c r="B738" s="7" t="n">
        <v>45879</v>
      </c>
      <c r="C738" s="3" t="inlineStr">
        <is>
          <t>Footwear</t>
        </is>
      </c>
      <c r="D738" s="3" t="inlineStr">
        <is>
          <t>Sneakers</t>
        </is>
      </c>
      <c r="E738" s="3" t="inlineStr">
        <is>
          <t>Western</t>
        </is>
      </c>
      <c r="F738" s="3" t="inlineStr">
        <is>
          <t>Online</t>
        </is>
      </c>
      <c r="G738" s="3" t="inlineStr">
        <is>
          <t>Returning</t>
        </is>
      </c>
      <c r="H738" s="3" t="n">
        <v>1</v>
      </c>
      <c r="I738" s="8" t="n">
        <v>175</v>
      </c>
      <c r="J738" s="8" t="n">
        <v>90.26000000000001</v>
      </c>
      <c r="K738" s="9" t="n">
        <v>0</v>
      </c>
      <c r="L738" s="8" t="n">
        <v>27.83</v>
      </c>
      <c r="M738" s="8">
        <f>H738*I738*(1-K738)</f>
        <v/>
      </c>
      <c r="N738" s="8">
        <f>H738*J738</f>
        <v/>
      </c>
      <c r="O738" s="8">
        <f>M738-N738-L738</f>
        <v/>
      </c>
      <c r="P738" s="10">
        <f>IFERROR(O738/M738,0)</f>
        <v/>
      </c>
      <c r="Q738" s="3">
        <f>IF(H738&lt;=0,"Review: quantity &lt;= 0",IF(K738&gt;0.3,"Review: discount &gt; 30%",IF(G738="","Review: missing customer type","OK")))</f>
        <v/>
      </c>
    </row>
    <row r="739">
      <c r="A739" s="3" t="inlineStr">
        <is>
          <t>ORD-10738</t>
        </is>
      </c>
      <c r="B739" s="7" t="n">
        <v>45815</v>
      </c>
      <c r="C739" s="3" t="inlineStr">
        <is>
          <t>Accessories</t>
        </is>
      </c>
      <c r="D739" s="3" t="inlineStr">
        <is>
          <t>Bags</t>
        </is>
      </c>
      <c r="E739" s="3" t="inlineStr">
        <is>
          <t>Western</t>
        </is>
      </c>
      <c r="F739" s="3" t="inlineStr">
        <is>
          <t>Retail Shop</t>
        </is>
      </c>
      <c r="G739" s="3" t="inlineStr">
        <is>
          <t>Returning</t>
        </is>
      </c>
      <c r="H739" s="3" t="n">
        <v>2</v>
      </c>
      <c r="I739" s="8" t="n">
        <v>100</v>
      </c>
      <c r="J739" s="8" t="n">
        <v>50.71</v>
      </c>
      <c r="K739" s="9" t="n">
        <v>0.1</v>
      </c>
      <c r="L739" s="8" t="n">
        <v>6.26</v>
      </c>
      <c r="M739" s="8">
        <f>H739*I739*(1-K739)</f>
        <v/>
      </c>
      <c r="N739" s="8">
        <f>H739*J739</f>
        <v/>
      </c>
      <c r="O739" s="8">
        <f>M739-N739-L739</f>
        <v/>
      </c>
      <c r="P739" s="10">
        <f>IFERROR(O739/M739,0)</f>
        <v/>
      </c>
      <c r="Q739" s="3">
        <f>IF(H739&lt;=0,"Review: quantity &lt;= 0",IF(K739&gt;0.3,"Review: discount &gt; 30%",IF(G739="","Review: missing customer type","OK")))</f>
        <v/>
      </c>
    </row>
    <row r="740">
      <c r="A740" s="3" t="inlineStr">
        <is>
          <t>ORD-10739</t>
        </is>
      </c>
      <c r="B740" s="7" t="n">
        <v>45798</v>
      </c>
      <c r="C740" s="3" t="inlineStr">
        <is>
          <t>Accessories</t>
        </is>
      </c>
      <c r="D740" s="3" t="inlineStr">
        <is>
          <t>Sunglasses</t>
        </is>
      </c>
      <c r="E740" s="3" t="inlineStr">
        <is>
          <t>Central</t>
        </is>
      </c>
      <c r="F740" s="3" t="inlineStr">
        <is>
          <t>Online</t>
        </is>
      </c>
      <c r="G740" s="3" t="inlineStr">
        <is>
          <t>Returning</t>
        </is>
      </c>
      <c r="H740" s="3" t="n">
        <v>2</v>
      </c>
      <c r="I740" s="8" t="n">
        <v>175</v>
      </c>
      <c r="J740" s="8" t="n">
        <v>84.48</v>
      </c>
      <c r="K740" s="9" t="n">
        <v>0.15</v>
      </c>
      <c r="L740" s="8" t="n">
        <v>30.08</v>
      </c>
      <c r="M740" s="8">
        <f>H740*I740*(1-K740)</f>
        <v/>
      </c>
      <c r="N740" s="8">
        <f>H740*J740</f>
        <v/>
      </c>
      <c r="O740" s="8">
        <f>M740-N740-L740</f>
        <v/>
      </c>
      <c r="P740" s="10">
        <f>IFERROR(O740/M740,0)</f>
        <v/>
      </c>
      <c r="Q740" s="3">
        <f>IF(H740&lt;=0,"Review: quantity &lt;= 0",IF(K740&gt;0.3,"Review: discount &gt; 30%",IF(G740="","Review: missing customer type","OK")))</f>
        <v/>
      </c>
    </row>
    <row r="741">
      <c r="A741" s="3" t="inlineStr">
        <is>
          <t>ORD-10740</t>
        </is>
      </c>
      <c r="B741" s="7" t="n">
        <v>45666</v>
      </c>
      <c r="C741" s="3" t="inlineStr">
        <is>
          <t>Accessories</t>
        </is>
      </c>
      <c r="D741" s="3" t="inlineStr">
        <is>
          <t>Watches</t>
        </is>
      </c>
      <c r="E741" s="3" t="inlineStr">
        <is>
          <t>Greater Accra</t>
        </is>
      </c>
      <c r="F741" s="3" t="inlineStr">
        <is>
          <t>Phone/WhatsApp</t>
        </is>
      </c>
      <c r="G741" s="3" t="inlineStr">
        <is>
          <t>Returning</t>
        </is>
      </c>
      <c r="H741" s="3" t="n">
        <v>2</v>
      </c>
      <c r="I741" s="8" t="n">
        <v>70</v>
      </c>
      <c r="J741" s="8" t="n">
        <v>32.61</v>
      </c>
      <c r="K741" s="9" t="n">
        <v>0</v>
      </c>
      <c r="L741" s="8" t="n">
        <v>30.34</v>
      </c>
      <c r="M741" s="8">
        <f>H741*I741*(1-K741)</f>
        <v/>
      </c>
      <c r="N741" s="8">
        <f>H741*J741</f>
        <v/>
      </c>
      <c r="O741" s="8">
        <f>M741-N741-L741</f>
        <v/>
      </c>
      <c r="P741" s="10">
        <f>IFERROR(O741/M741,0)</f>
        <v/>
      </c>
      <c r="Q741" s="3">
        <f>IF(H741&lt;=0,"Review: quantity &lt;= 0",IF(K741&gt;0.3,"Review: discount &gt; 30%",IF(G741="","Review: missing customer type","OK")))</f>
        <v/>
      </c>
    </row>
    <row r="742">
      <c r="A742" s="3" t="inlineStr">
        <is>
          <t>ORD-10741</t>
        </is>
      </c>
      <c r="B742" s="7" t="n">
        <v>45986</v>
      </c>
      <c r="C742" s="3" t="inlineStr">
        <is>
          <t>Footwear</t>
        </is>
      </c>
      <c r="D742" s="3" t="inlineStr">
        <is>
          <t>Boots</t>
        </is>
      </c>
      <c r="E742" s="3" t="inlineStr">
        <is>
          <t>Greater Accra</t>
        </is>
      </c>
      <c r="F742" s="3" t="inlineStr">
        <is>
          <t>Online</t>
        </is>
      </c>
      <c r="G742" s="3" t="inlineStr">
        <is>
          <t>New</t>
        </is>
      </c>
      <c r="H742" s="3" t="n">
        <v>2</v>
      </c>
      <c r="I742" s="8" t="n">
        <v>350</v>
      </c>
      <c r="J742" s="8" t="n">
        <v>178.36</v>
      </c>
      <c r="K742" s="9" t="n">
        <v>0</v>
      </c>
      <c r="L742" s="8" t="n">
        <v>23.73</v>
      </c>
      <c r="M742" s="8">
        <f>H742*I742*(1-K742)</f>
        <v/>
      </c>
      <c r="N742" s="8">
        <f>H742*J742</f>
        <v/>
      </c>
      <c r="O742" s="8">
        <f>M742-N742-L742</f>
        <v/>
      </c>
      <c r="P742" s="10">
        <f>IFERROR(O742/M742,0)</f>
        <v/>
      </c>
      <c r="Q742" s="3">
        <f>IF(H742&lt;=0,"Review: quantity &lt;= 0",IF(K742&gt;0.3,"Review: discount &gt; 30%",IF(G742="","Review: missing customer type","OK")))</f>
        <v/>
      </c>
    </row>
    <row r="743">
      <c r="A743" s="3" t="inlineStr">
        <is>
          <t>ORD-10742</t>
        </is>
      </c>
      <c r="B743" s="7" t="n">
        <v>45818</v>
      </c>
      <c r="C743" s="3" t="inlineStr">
        <is>
          <t>Clothing</t>
        </is>
      </c>
      <c r="D743" s="3" t="inlineStr">
        <is>
          <t>Trousers</t>
        </is>
      </c>
      <c r="E743" s="3" t="inlineStr">
        <is>
          <t>Western</t>
        </is>
      </c>
      <c r="F743" s="3" t="inlineStr">
        <is>
          <t>Online</t>
        </is>
      </c>
      <c r="G743" s="3" t="inlineStr">
        <is>
          <t>Returning</t>
        </is>
      </c>
      <c r="H743" s="3" t="n">
        <v>2</v>
      </c>
      <c r="I743" s="8" t="n">
        <v>105</v>
      </c>
      <c r="J743" s="8" t="n">
        <v>54.5</v>
      </c>
      <c r="K743" s="9" t="n">
        <v>0.05</v>
      </c>
      <c r="L743" s="8" t="n">
        <v>36.92</v>
      </c>
      <c r="M743" s="8">
        <f>H743*I743*(1-K743)</f>
        <v/>
      </c>
      <c r="N743" s="8">
        <f>H743*J743</f>
        <v/>
      </c>
      <c r="O743" s="8">
        <f>M743-N743-L743</f>
        <v/>
      </c>
      <c r="P743" s="10">
        <f>IFERROR(O743/M743,0)</f>
        <v/>
      </c>
      <c r="Q743" s="3">
        <f>IF(H743&lt;=0,"Review: quantity &lt;= 0",IF(K743&gt;0.3,"Review: discount &gt; 30%",IF(G743="","Review: missing customer type","OK")))</f>
        <v/>
      </c>
    </row>
    <row r="744">
      <c r="A744" s="3" t="inlineStr">
        <is>
          <t>ORD-10743</t>
        </is>
      </c>
      <c r="B744" s="7" t="n">
        <v>45909</v>
      </c>
      <c r="C744" s="3" t="inlineStr">
        <is>
          <t>Clothing</t>
        </is>
      </c>
      <c r="D744" s="3" t="inlineStr">
        <is>
          <t>Dresses</t>
        </is>
      </c>
      <c r="E744" s="3" t="inlineStr">
        <is>
          <t>Ashanti</t>
        </is>
      </c>
      <c r="F744" s="3" t="inlineStr">
        <is>
          <t>Phone/WhatsApp</t>
        </is>
      </c>
      <c r="G744" s="3" t="inlineStr">
        <is>
          <t>Returning</t>
        </is>
      </c>
      <c r="H744" s="3" t="n">
        <v>8</v>
      </c>
      <c r="I744" s="8" t="n">
        <v>245</v>
      </c>
      <c r="J744" s="8" t="n">
        <v>131.9</v>
      </c>
      <c r="K744" s="9" t="n">
        <v>0</v>
      </c>
      <c r="L744" s="8" t="n">
        <v>9.970000000000001</v>
      </c>
      <c r="M744" s="8">
        <f>H744*I744*(1-K744)</f>
        <v/>
      </c>
      <c r="N744" s="8">
        <f>H744*J744</f>
        <v/>
      </c>
      <c r="O744" s="8">
        <f>M744-N744-L744</f>
        <v/>
      </c>
      <c r="P744" s="10">
        <f>IFERROR(O744/M744,0)</f>
        <v/>
      </c>
      <c r="Q744" s="3">
        <f>IF(H744&lt;=0,"Review: quantity &lt;= 0",IF(K744&gt;0.3,"Review: discount &gt; 30%",IF(G744="","Review: missing customer type","OK")))</f>
        <v/>
      </c>
    </row>
    <row r="745">
      <c r="A745" s="3" t="inlineStr">
        <is>
          <t>ORD-10744</t>
        </is>
      </c>
      <c r="B745" s="7" t="n">
        <v>45972</v>
      </c>
      <c r="C745" s="3" t="inlineStr">
        <is>
          <t>Footwear</t>
        </is>
      </c>
      <c r="D745" s="3" t="inlineStr">
        <is>
          <t>Formal Shoes</t>
        </is>
      </c>
      <c r="E745" s="3" t="inlineStr">
        <is>
          <t>Greater Accra</t>
        </is>
      </c>
      <c r="F745" s="3" t="inlineStr">
        <is>
          <t>Phone/WhatsApp</t>
        </is>
      </c>
      <c r="G745" s="3" t="inlineStr">
        <is>
          <t>Returning</t>
        </is>
      </c>
      <c r="H745" s="3" t="n">
        <v>6</v>
      </c>
      <c r="I745" s="8" t="n">
        <v>295</v>
      </c>
      <c r="J745" s="8" t="n">
        <v>158.94</v>
      </c>
      <c r="K745" s="9" t="n">
        <v>0.05</v>
      </c>
      <c r="L745" s="8" t="n">
        <v>13.35</v>
      </c>
      <c r="M745" s="8">
        <f>H745*I745*(1-K745)</f>
        <v/>
      </c>
      <c r="N745" s="8">
        <f>H745*J745</f>
        <v/>
      </c>
      <c r="O745" s="8">
        <f>M745-N745-L745</f>
        <v/>
      </c>
      <c r="P745" s="10">
        <f>IFERROR(O745/M745,0)</f>
        <v/>
      </c>
      <c r="Q745" s="3">
        <f>IF(H745&lt;=0,"Review: quantity &lt;= 0",IF(K745&gt;0.3,"Review: discount &gt; 30%",IF(G745="","Review: missing customer type","OK")))</f>
        <v/>
      </c>
    </row>
    <row r="746">
      <c r="A746" s="3" t="inlineStr">
        <is>
          <t>ORD-10745</t>
        </is>
      </c>
      <c r="B746" s="7" t="n">
        <v>45711</v>
      </c>
      <c r="C746" s="3" t="inlineStr">
        <is>
          <t>Clothing</t>
        </is>
      </c>
      <c r="D746" s="3" t="inlineStr">
        <is>
          <t>Trousers</t>
        </is>
      </c>
      <c r="E746" s="3" t="inlineStr">
        <is>
          <t>Ashanti</t>
        </is>
      </c>
      <c r="F746" s="3" t="inlineStr">
        <is>
          <t>Phone/WhatsApp</t>
        </is>
      </c>
      <c r="G746" s="3" t="inlineStr">
        <is>
          <t>Returning</t>
        </is>
      </c>
      <c r="H746" s="3" t="n">
        <v>2</v>
      </c>
      <c r="I746" s="8" t="n">
        <v>155</v>
      </c>
      <c r="J746" s="8" t="n">
        <v>82.66</v>
      </c>
      <c r="K746" s="9" t="n">
        <v>0.1</v>
      </c>
      <c r="L746" s="8" t="n">
        <v>34.6</v>
      </c>
      <c r="M746" s="8">
        <f>H746*I746*(1-K746)</f>
        <v/>
      </c>
      <c r="N746" s="8">
        <f>H746*J746</f>
        <v/>
      </c>
      <c r="O746" s="8">
        <f>M746-N746-L746</f>
        <v/>
      </c>
      <c r="P746" s="10">
        <f>IFERROR(O746/M746,0)</f>
        <v/>
      </c>
      <c r="Q746" s="3">
        <f>IF(H746&lt;=0,"Review: quantity &lt;= 0",IF(K746&gt;0.3,"Review: discount &gt; 30%",IF(G746="","Review: missing customer type","OK")))</f>
        <v/>
      </c>
    </row>
    <row r="747">
      <c r="A747" s="3" t="inlineStr">
        <is>
          <t>ORD-10746</t>
        </is>
      </c>
      <c r="B747" s="7" t="n">
        <v>45804</v>
      </c>
      <c r="C747" s="3" t="inlineStr">
        <is>
          <t>Accessories</t>
        </is>
      </c>
      <c r="D747" s="3" t="inlineStr">
        <is>
          <t>Watches</t>
        </is>
      </c>
      <c r="E747" s="3" t="inlineStr">
        <is>
          <t>Greater Accra</t>
        </is>
      </c>
      <c r="F747" s="3" t="inlineStr">
        <is>
          <t>Online</t>
        </is>
      </c>
      <c r="G747" s="3" t="inlineStr">
        <is>
          <t>New</t>
        </is>
      </c>
      <c r="H747" s="3" t="n">
        <v>2</v>
      </c>
      <c r="I747" s="8" t="n">
        <v>130</v>
      </c>
      <c r="J747" s="8" t="n">
        <v>59.92</v>
      </c>
      <c r="K747" s="9" t="n">
        <v>0.05</v>
      </c>
      <c r="L747" s="8" t="n">
        <v>28.74</v>
      </c>
      <c r="M747" s="8">
        <f>H747*I747*(1-K747)</f>
        <v/>
      </c>
      <c r="N747" s="8">
        <f>H747*J747</f>
        <v/>
      </c>
      <c r="O747" s="8">
        <f>M747-N747-L747</f>
        <v/>
      </c>
      <c r="P747" s="10">
        <f>IFERROR(O747/M747,0)</f>
        <v/>
      </c>
      <c r="Q747" s="3">
        <f>IF(H747&lt;=0,"Review: quantity &lt;= 0",IF(K747&gt;0.3,"Review: discount &gt; 30%",IF(G747="","Review: missing customer type","OK")))</f>
        <v/>
      </c>
    </row>
    <row r="748">
      <c r="A748" s="3" t="inlineStr">
        <is>
          <t>ORD-10747</t>
        </is>
      </c>
      <c r="B748" s="7" t="n">
        <v>45740</v>
      </c>
      <c r="C748" s="3" t="inlineStr">
        <is>
          <t>Accessories</t>
        </is>
      </c>
      <c r="D748" s="3" t="inlineStr">
        <is>
          <t>Belts</t>
        </is>
      </c>
      <c r="E748" s="3" t="inlineStr">
        <is>
          <t>Ashanti</t>
        </is>
      </c>
      <c r="F748" s="3" t="inlineStr">
        <is>
          <t>Phone/WhatsApp</t>
        </is>
      </c>
      <c r="G748" s="3" t="inlineStr">
        <is>
          <t>Returning</t>
        </is>
      </c>
      <c r="H748" s="3" t="n">
        <v>1</v>
      </c>
      <c r="I748" s="8" t="n">
        <v>95</v>
      </c>
      <c r="J748" s="8" t="n">
        <v>48.19</v>
      </c>
      <c r="K748" s="9" t="n">
        <v>0.1</v>
      </c>
      <c r="L748" s="8" t="n">
        <v>17.88</v>
      </c>
      <c r="M748" s="8">
        <f>H748*I748*(1-K748)</f>
        <v/>
      </c>
      <c r="N748" s="8">
        <f>H748*J748</f>
        <v/>
      </c>
      <c r="O748" s="8">
        <f>M748-N748-L748</f>
        <v/>
      </c>
      <c r="P748" s="10">
        <f>IFERROR(O748/M748,0)</f>
        <v/>
      </c>
      <c r="Q748" s="3">
        <f>IF(H748&lt;=0,"Review: quantity &lt;= 0",IF(K748&gt;0.3,"Review: discount &gt; 30%",IF(G748="","Review: missing customer type","OK")))</f>
        <v/>
      </c>
    </row>
    <row r="749">
      <c r="A749" s="3" t="inlineStr">
        <is>
          <t>ORD-10748</t>
        </is>
      </c>
      <c r="B749" s="7" t="n">
        <v>45894</v>
      </c>
      <c r="C749" s="3" t="inlineStr">
        <is>
          <t>Clothing</t>
        </is>
      </c>
      <c r="D749" s="3" t="inlineStr">
        <is>
          <t>Dresses</t>
        </is>
      </c>
      <c r="E749" s="3" t="inlineStr">
        <is>
          <t>Greater Accra</t>
        </is>
      </c>
      <c r="F749" s="3" t="inlineStr">
        <is>
          <t>Retail Shop</t>
        </is>
      </c>
      <c r="G749" s="3" t="inlineStr">
        <is>
          <t>Returning</t>
        </is>
      </c>
      <c r="H749" s="3" t="n">
        <v>1</v>
      </c>
      <c r="I749" s="8" t="n">
        <v>145</v>
      </c>
      <c r="J749" s="8" t="n">
        <v>80.87</v>
      </c>
      <c r="K749" s="9" t="n">
        <v>0.1</v>
      </c>
      <c r="L749" s="8" t="n">
        <v>4.82</v>
      </c>
      <c r="M749" s="8">
        <f>H749*I749*(1-K749)</f>
        <v/>
      </c>
      <c r="N749" s="8">
        <f>H749*J749</f>
        <v/>
      </c>
      <c r="O749" s="8">
        <f>M749-N749-L749</f>
        <v/>
      </c>
      <c r="P749" s="10">
        <f>IFERROR(O749/M749,0)</f>
        <v/>
      </c>
      <c r="Q749" s="3">
        <f>IF(H749&lt;=0,"Review: quantity &lt;= 0",IF(K749&gt;0.3,"Review: discount &gt; 30%",IF(G749="","Review: missing customer type","OK")))</f>
        <v/>
      </c>
    </row>
    <row r="750">
      <c r="A750" s="3" t="inlineStr">
        <is>
          <t>ORD-10749</t>
        </is>
      </c>
      <c r="B750" s="7" t="n">
        <v>45792</v>
      </c>
      <c r="C750" s="3" t="inlineStr">
        <is>
          <t>Footwear</t>
        </is>
      </c>
      <c r="D750" s="3" t="inlineStr">
        <is>
          <t>Formal Shoes</t>
        </is>
      </c>
      <c r="E750" s="3" t="inlineStr">
        <is>
          <t>Greater Accra</t>
        </is>
      </c>
      <c r="F750" s="3" t="inlineStr">
        <is>
          <t>Retail Shop</t>
        </is>
      </c>
      <c r="G750" s="3" t="inlineStr">
        <is>
          <t>Returning</t>
        </is>
      </c>
      <c r="H750" s="3" t="n">
        <v>4</v>
      </c>
      <c r="I750" s="8" t="n">
        <v>450</v>
      </c>
      <c r="J750" s="8" t="n">
        <v>226.52</v>
      </c>
      <c r="K750" s="9" t="n">
        <v>0.15</v>
      </c>
      <c r="L750" s="8" t="n">
        <v>10.57</v>
      </c>
      <c r="M750" s="8">
        <f>H750*I750*(1-K750)</f>
        <v/>
      </c>
      <c r="N750" s="8">
        <f>H750*J750</f>
        <v/>
      </c>
      <c r="O750" s="8">
        <f>M750-N750-L750</f>
        <v/>
      </c>
      <c r="P750" s="10">
        <f>IFERROR(O750/M750,0)</f>
        <v/>
      </c>
      <c r="Q750" s="3">
        <f>IF(H750&lt;=0,"Review: quantity &lt;= 0",IF(K750&gt;0.3,"Review: discount &gt; 30%",IF(G750="","Review: missing customer type","OK")))</f>
        <v/>
      </c>
    </row>
    <row r="751">
      <c r="A751" s="3" t="inlineStr">
        <is>
          <t>ORD-10750</t>
        </is>
      </c>
      <c r="B751" s="7" t="n">
        <v>45878</v>
      </c>
      <c r="C751" s="3" t="inlineStr">
        <is>
          <t>Footwear</t>
        </is>
      </c>
      <c r="D751" s="3" t="inlineStr">
        <is>
          <t>Sneakers</t>
        </is>
      </c>
      <c r="E751" s="3" t="inlineStr">
        <is>
          <t>Greater Accra</t>
        </is>
      </c>
      <c r="F751" s="3" t="inlineStr">
        <is>
          <t>Online</t>
        </is>
      </c>
      <c r="G751" s="3" t="inlineStr">
        <is>
          <t>Returning</t>
        </is>
      </c>
      <c r="H751" s="3" t="n">
        <v>3</v>
      </c>
      <c r="I751" s="8" t="n">
        <v>340</v>
      </c>
      <c r="J751" s="8" t="n">
        <v>173.11</v>
      </c>
      <c r="K751" s="9" t="n">
        <v>0.1</v>
      </c>
      <c r="L751" s="8" t="n">
        <v>27.19</v>
      </c>
      <c r="M751" s="8">
        <f>H751*I751*(1-K751)</f>
        <v/>
      </c>
      <c r="N751" s="8">
        <f>H751*J751</f>
        <v/>
      </c>
      <c r="O751" s="8">
        <f>M751-N751-L751</f>
        <v/>
      </c>
      <c r="P751" s="10">
        <f>IFERROR(O751/M751,0)</f>
        <v/>
      </c>
      <c r="Q751" s="3">
        <f>IF(H751&lt;=0,"Review: quantity &lt;= 0",IF(K751&gt;0.3,"Review: discount &gt; 30%",IF(G751="","Review: missing customer type","OK")))</f>
        <v/>
      </c>
    </row>
    <row r="752">
      <c r="A752" s="3" t="inlineStr">
        <is>
          <t>ORD-10751</t>
        </is>
      </c>
      <c r="B752" s="7" t="n">
        <v>45953</v>
      </c>
      <c r="C752" s="3" t="inlineStr">
        <is>
          <t>Footwear</t>
        </is>
      </c>
      <c r="D752" s="3" t="inlineStr">
        <is>
          <t>Sandals</t>
        </is>
      </c>
      <c r="E752" s="3" t="inlineStr">
        <is>
          <t>Greater Accra</t>
        </is>
      </c>
      <c r="F752" s="3" t="inlineStr">
        <is>
          <t>Retail Shop</t>
        </is>
      </c>
      <c r="G752" s="3" t="inlineStr">
        <is>
          <t>Returning</t>
        </is>
      </c>
      <c r="H752" s="3" t="n">
        <v>3</v>
      </c>
      <c r="I752" s="8" t="n">
        <v>175</v>
      </c>
      <c r="J752" s="8" t="n">
        <v>103.83</v>
      </c>
      <c r="K752" s="9" t="n">
        <v>0.05</v>
      </c>
      <c r="L752" s="8" t="n">
        <v>7.1</v>
      </c>
      <c r="M752" s="8">
        <f>H752*I752*(1-K752)</f>
        <v/>
      </c>
      <c r="N752" s="8">
        <f>H752*J752</f>
        <v/>
      </c>
      <c r="O752" s="8">
        <f>M752-N752-L752</f>
        <v/>
      </c>
      <c r="P752" s="10">
        <f>IFERROR(O752/M752,0)</f>
        <v/>
      </c>
      <c r="Q752" s="3">
        <f>IF(H752&lt;=0,"Review: quantity &lt;= 0",IF(K752&gt;0.3,"Review: discount &gt; 30%",IF(G752="","Review: missing customer type","OK")))</f>
        <v/>
      </c>
    </row>
    <row r="753">
      <c r="A753" s="3" t="inlineStr">
        <is>
          <t>ORD-10752</t>
        </is>
      </c>
      <c r="B753" s="7" t="n">
        <v>45662</v>
      </c>
      <c r="C753" s="3" t="inlineStr">
        <is>
          <t>Accessories</t>
        </is>
      </c>
      <c r="D753" s="3" t="inlineStr">
        <is>
          <t>Watches</t>
        </is>
      </c>
      <c r="E753" s="3" t="inlineStr">
        <is>
          <t>Greater Accra</t>
        </is>
      </c>
      <c r="F753" s="3" t="inlineStr">
        <is>
          <t>Retail Shop</t>
        </is>
      </c>
      <c r="G753" s="3" t="inlineStr">
        <is>
          <t>New</t>
        </is>
      </c>
      <c r="H753" s="3" t="n">
        <v>2</v>
      </c>
      <c r="I753" s="8" t="n">
        <v>60</v>
      </c>
      <c r="J753" s="8" t="n">
        <v>28.05</v>
      </c>
      <c r="K753" s="9" t="n">
        <v>0</v>
      </c>
      <c r="L753" s="8" t="n">
        <v>11.38</v>
      </c>
      <c r="M753" s="8">
        <f>H753*I753*(1-K753)</f>
        <v/>
      </c>
      <c r="N753" s="8">
        <f>H753*J753</f>
        <v/>
      </c>
      <c r="O753" s="8">
        <f>M753-N753-L753</f>
        <v/>
      </c>
      <c r="P753" s="10">
        <f>IFERROR(O753/M753,0)</f>
        <v/>
      </c>
      <c r="Q753" s="3">
        <f>IF(H753&lt;=0,"Review: quantity &lt;= 0",IF(K753&gt;0.3,"Review: discount &gt; 30%",IF(G753="","Review: missing customer type","OK")))</f>
        <v/>
      </c>
    </row>
    <row r="754">
      <c r="A754" s="3" t="inlineStr">
        <is>
          <t>ORD-10753</t>
        </is>
      </c>
      <c r="B754" s="7" t="n">
        <v>45894</v>
      </c>
      <c r="C754" s="3" t="inlineStr">
        <is>
          <t>Clothing</t>
        </is>
      </c>
      <c r="D754" s="3" t="inlineStr">
        <is>
          <t>Jackets</t>
        </is>
      </c>
      <c r="E754" s="3" t="inlineStr">
        <is>
          <t>Western</t>
        </is>
      </c>
      <c r="F754" s="3" t="inlineStr">
        <is>
          <t>Retail Shop</t>
        </is>
      </c>
      <c r="G754" s="3" t="inlineStr">
        <is>
          <t>Returning</t>
        </is>
      </c>
      <c r="H754" s="3" t="n">
        <v>2</v>
      </c>
      <c r="I754" s="8" t="n">
        <v>170</v>
      </c>
      <c r="J754" s="8" t="n">
        <v>92.84</v>
      </c>
      <c r="K754" s="9" t="n">
        <v>0.15</v>
      </c>
      <c r="L754" s="8" t="n">
        <v>8.74</v>
      </c>
      <c r="M754" s="8">
        <f>H754*I754*(1-K754)</f>
        <v/>
      </c>
      <c r="N754" s="8">
        <f>H754*J754</f>
        <v/>
      </c>
      <c r="O754" s="8">
        <f>M754-N754-L754</f>
        <v/>
      </c>
      <c r="P754" s="10">
        <f>IFERROR(O754/M754,0)</f>
        <v/>
      </c>
      <c r="Q754" s="3">
        <f>IF(H754&lt;=0,"Review: quantity &lt;= 0",IF(K754&gt;0.3,"Review: discount &gt; 30%",IF(G754="","Review: missing customer type","OK")))</f>
        <v/>
      </c>
    </row>
    <row r="755">
      <c r="A755" s="3" t="inlineStr">
        <is>
          <t>ORD-10754</t>
        </is>
      </c>
      <c r="B755" s="7" t="n">
        <v>45738</v>
      </c>
      <c r="C755" s="3" t="inlineStr">
        <is>
          <t>Footwear</t>
        </is>
      </c>
      <c r="D755" s="3" t="inlineStr">
        <is>
          <t>Boots</t>
        </is>
      </c>
      <c r="E755" s="3" t="inlineStr">
        <is>
          <t>Ashanti</t>
        </is>
      </c>
      <c r="F755" s="3" t="inlineStr">
        <is>
          <t>Phone/WhatsApp</t>
        </is>
      </c>
      <c r="G755" s="3" t="inlineStr">
        <is>
          <t>Returning</t>
        </is>
      </c>
      <c r="H755" s="3" t="n">
        <v>1</v>
      </c>
      <c r="I755" s="8" t="n">
        <v>215</v>
      </c>
      <c r="J755" s="8" t="n">
        <v>134.13</v>
      </c>
      <c r="K755" s="9" t="n">
        <v>0.05</v>
      </c>
      <c r="L755" s="8" t="n">
        <v>8.220000000000001</v>
      </c>
      <c r="M755" s="8">
        <f>H755*I755*(1-K755)</f>
        <v/>
      </c>
      <c r="N755" s="8">
        <f>H755*J755</f>
        <v/>
      </c>
      <c r="O755" s="8">
        <f>M755-N755-L755</f>
        <v/>
      </c>
      <c r="P755" s="10">
        <f>IFERROR(O755/M755,0)</f>
        <v/>
      </c>
      <c r="Q755" s="3">
        <f>IF(H755&lt;=0,"Review: quantity &lt;= 0",IF(K755&gt;0.3,"Review: discount &gt; 30%",IF(G755="","Review: missing customer type","OK")))</f>
        <v/>
      </c>
    </row>
    <row r="756">
      <c r="A756" s="3" t="inlineStr">
        <is>
          <t>ORD-10755</t>
        </is>
      </c>
      <c r="B756" s="7" t="n">
        <v>45928</v>
      </c>
      <c r="C756" s="3" t="inlineStr">
        <is>
          <t>Home &amp; Lifestyle</t>
        </is>
      </c>
      <c r="D756" s="3" t="inlineStr">
        <is>
          <t>Backpacks</t>
        </is>
      </c>
      <c r="E756" s="3" t="inlineStr">
        <is>
          <t>Ashanti</t>
        </is>
      </c>
      <c r="F756" s="3" t="inlineStr">
        <is>
          <t>Retail Shop</t>
        </is>
      </c>
      <c r="G756" s="3" t="inlineStr">
        <is>
          <t>New</t>
        </is>
      </c>
      <c r="H756" s="3" t="n">
        <v>5</v>
      </c>
      <c r="I756" s="8" t="n">
        <v>105</v>
      </c>
      <c r="J756" s="8" t="n">
        <v>60.38</v>
      </c>
      <c r="K756" s="9" t="n">
        <v>0</v>
      </c>
      <c r="L756" s="8" t="n">
        <v>1.27</v>
      </c>
      <c r="M756" s="8">
        <f>H756*I756*(1-K756)</f>
        <v/>
      </c>
      <c r="N756" s="8">
        <f>H756*J756</f>
        <v/>
      </c>
      <c r="O756" s="8">
        <f>M756-N756-L756</f>
        <v/>
      </c>
      <c r="P756" s="10">
        <f>IFERROR(O756/M756,0)</f>
        <v/>
      </c>
      <c r="Q756" s="3">
        <f>IF(H756&lt;=0,"Review: quantity &lt;= 0",IF(K756&gt;0.3,"Review: discount &gt; 30%",IF(G756="","Review: missing customer type","OK")))</f>
        <v/>
      </c>
    </row>
    <row r="757">
      <c r="A757" s="3" t="inlineStr">
        <is>
          <t>ORD-10756</t>
        </is>
      </c>
      <c r="B757" s="7" t="n">
        <v>45948</v>
      </c>
      <c r="C757" s="3" t="inlineStr">
        <is>
          <t>Footwear</t>
        </is>
      </c>
      <c r="D757" s="3" t="inlineStr">
        <is>
          <t>Sneakers</t>
        </is>
      </c>
      <c r="E757" s="3" t="inlineStr">
        <is>
          <t>Western</t>
        </is>
      </c>
      <c r="F757" s="3" t="inlineStr">
        <is>
          <t>Online</t>
        </is>
      </c>
      <c r="G757" s="3" t="inlineStr">
        <is>
          <t>New</t>
        </is>
      </c>
      <c r="H757" s="3" t="n">
        <v>2</v>
      </c>
      <c r="I757" s="8" t="n">
        <v>160</v>
      </c>
      <c r="J757" s="8" t="n">
        <v>86.95999999999999</v>
      </c>
      <c r="K757" s="9" t="n">
        <v>0</v>
      </c>
      <c r="L757" s="8" t="n">
        <v>13.21</v>
      </c>
      <c r="M757" s="8">
        <f>H757*I757*(1-K757)</f>
        <v/>
      </c>
      <c r="N757" s="8">
        <f>H757*J757</f>
        <v/>
      </c>
      <c r="O757" s="8">
        <f>M757-N757-L757</f>
        <v/>
      </c>
      <c r="P757" s="10">
        <f>IFERROR(O757/M757,0)</f>
        <v/>
      </c>
      <c r="Q757" s="3">
        <f>IF(H757&lt;=0,"Review: quantity &lt;= 0",IF(K757&gt;0.3,"Review: discount &gt; 30%",IF(G757="","Review: missing customer type","OK")))</f>
        <v/>
      </c>
    </row>
    <row r="758">
      <c r="A758" s="3" t="inlineStr">
        <is>
          <t>ORD-10757</t>
        </is>
      </c>
      <c r="B758" s="7" t="n">
        <v>46019</v>
      </c>
      <c r="C758" s="3" t="inlineStr">
        <is>
          <t>Accessories</t>
        </is>
      </c>
      <c r="D758" s="3" t="inlineStr">
        <is>
          <t>Sunglasses</t>
        </is>
      </c>
      <c r="E758" s="3" t="inlineStr">
        <is>
          <t>Western</t>
        </is>
      </c>
      <c r="F758" s="3" t="inlineStr">
        <is>
          <t>Retail Shop</t>
        </is>
      </c>
      <c r="G758" s="3" t="inlineStr">
        <is>
          <t>Returning</t>
        </is>
      </c>
      <c r="H758" s="3" t="n">
        <v>3</v>
      </c>
      <c r="I758" s="8" t="n">
        <v>90</v>
      </c>
      <c r="J758" s="8" t="n">
        <v>48.24</v>
      </c>
      <c r="K758" s="9" t="n">
        <v>0.05</v>
      </c>
      <c r="L758" s="8" t="n">
        <v>3.12</v>
      </c>
      <c r="M758" s="8">
        <f>H758*I758*(1-K758)</f>
        <v/>
      </c>
      <c r="N758" s="8">
        <f>H758*J758</f>
        <v/>
      </c>
      <c r="O758" s="8">
        <f>M758-N758-L758</f>
        <v/>
      </c>
      <c r="P758" s="10">
        <f>IFERROR(O758/M758,0)</f>
        <v/>
      </c>
      <c r="Q758" s="3">
        <f>IF(H758&lt;=0,"Review: quantity &lt;= 0",IF(K758&gt;0.3,"Review: discount &gt; 30%",IF(G758="","Review: missing customer type","OK")))</f>
        <v/>
      </c>
    </row>
    <row r="759">
      <c r="A759" s="3" t="inlineStr">
        <is>
          <t>ORD-10758</t>
        </is>
      </c>
      <c r="B759" s="7" t="n">
        <v>45975</v>
      </c>
      <c r="C759" s="3" t="inlineStr">
        <is>
          <t>Accessories</t>
        </is>
      </c>
      <c r="D759" s="3" t="inlineStr">
        <is>
          <t>Belts</t>
        </is>
      </c>
      <c r="E759" s="3" t="inlineStr">
        <is>
          <t>Greater Accra</t>
        </is>
      </c>
      <c r="F759" s="3" t="inlineStr">
        <is>
          <t>Retail Shop</t>
        </is>
      </c>
      <c r="G759" s="3" t="inlineStr">
        <is>
          <t>Returning</t>
        </is>
      </c>
      <c r="H759" s="3" t="n">
        <v>3</v>
      </c>
      <c r="I759" s="8" t="n">
        <v>90</v>
      </c>
      <c r="J759" s="8" t="n">
        <v>44.69</v>
      </c>
      <c r="K759" s="9" t="n">
        <v>0</v>
      </c>
      <c r="L759" s="8" t="n">
        <v>1.46</v>
      </c>
      <c r="M759" s="8">
        <f>H759*I759*(1-K759)</f>
        <v/>
      </c>
      <c r="N759" s="8">
        <f>H759*J759</f>
        <v/>
      </c>
      <c r="O759" s="8">
        <f>M759-N759-L759</f>
        <v/>
      </c>
      <c r="P759" s="10">
        <f>IFERROR(O759/M759,0)</f>
        <v/>
      </c>
      <c r="Q759" s="3">
        <f>IF(H759&lt;=0,"Review: quantity &lt;= 0",IF(K759&gt;0.3,"Review: discount &gt; 30%",IF(G759="","Review: missing customer type","OK")))</f>
        <v/>
      </c>
    </row>
    <row r="760">
      <c r="A760" s="3" t="inlineStr">
        <is>
          <t>ORD-10759</t>
        </is>
      </c>
      <c r="B760" s="7" t="n">
        <v>45942</v>
      </c>
      <c r="C760" s="3" t="inlineStr">
        <is>
          <t>Clothing</t>
        </is>
      </c>
      <c r="D760" s="3" t="inlineStr">
        <is>
          <t>Dresses</t>
        </is>
      </c>
      <c r="E760" s="3" t="inlineStr">
        <is>
          <t>Western</t>
        </is>
      </c>
      <c r="F760" s="3" t="inlineStr">
        <is>
          <t>Retail Shop</t>
        </is>
      </c>
      <c r="G760" s="3" t="inlineStr">
        <is>
          <t>Returning</t>
        </is>
      </c>
      <c r="H760" s="3" t="n">
        <v>2</v>
      </c>
      <c r="I760" s="8" t="n">
        <v>215</v>
      </c>
      <c r="J760" s="8" t="n">
        <v>107.08</v>
      </c>
      <c r="K760" s="9" t="n">
        <v>0</v>
      </c>
      <c r="L760" s="8" t="n">
        <v>11.46</v>
      </c>
      <c r="M760" s="8">
        <f>H760*I760*(1-K760)</f>
        <v/>
      </c>
      <c r="N760" s="8">
        <f>H760*J760</f>
        <v/>
      </c>
      <c r="O760" s="8">
        <f>M760-N760-L760</f>
        <v/>
      </c>
      <c r="P760" s="10">
        <f>IFERROR(O760/M760,0)</f>
        <v/>
      </c>
      <c r="Q760" s="3">
        <f>IF(H760&lt;=0,"Review: quantity &lt;= 0",IF(K760&gt;0.3,"Review: discount &gt; 30%",IF(G760="","Review: missing customer type","OK")))</f>
        <v/>
      </c>
    </row>
    <row r="761">
      <c r="A761" s="3" t="inlineStr">
        <is>
          <t>ORD-10760</t>
        </is>
      </c>
      <c r="B761" s="7" t="n">
        <v>45994</v>
      </c>
      <c r="C761" s="3" t="inlineStr">
        <is>
          <t>Footwear</t>
        </is>
      </c>
      <c r="D761" s="3" t="inlineStr">
        <is>
          <t>Boots</t>
        </is>
      </c>
      <c r="E761" s="3" t="inlineStr">
        <is>
          <t>Western</t>
        </is>
      </c>
      <c r="F761" s="3" t="inlineStr">
        <is>
          <t>Online</t>
        </is>
      </c>
      <c r="G761" s="3" t="inlineStr">
        <is>
          <t>Returning</t>
        </is>
      </c>
      <c r="H761" s="3" t="n">
        <v>3</v>
      </c>
      <c r="I761" s="8" t="n">
        <v>330</v>
      </c>
      <c r="J761" s="8" t="n">
        <v>205.17</v>
      </c>
      <c r="K761" s="9" t="n">
        <v>0.1</v>
      </c>
      <c r="L761" s="8" t="n">
        <v>35.95</v>
      </c>
      <c r="M761" s="8">
        <f>H761*I761*(1-K761)</f>
        <v/>
      </c>
      <c r="N761" s="8">
        <f>H761*J761</f>
        <v/>
      </c>
      <c r="O761" s="8">
        <f>M761-N761-L761</f>
        <v/>
      </c>
      <c r="P761" s="10">
        <f>IFERROR(O761/M761,0)</f>
        <v/>
      </c>
      <c r="Q761" s="3">
        <f>IF(H761&lt;=0,"Review: quantity &lt;= 0",IF(K761&gt;0.3,"Review: discount &gt; 30%",IF(G761="","Review: missing customer type","OK")))</f>
        <v/>
      </c>
    </row>
    <row r="762">
      <c r="A762" s="3" t="inlineStr">
        <is>
          <t>ORD-10761</t>
        </is>
      </c>
      <c r="B762" s="7" t="n">
        <v>45732</v>
      </c>
      <c r="C762" s="3" t="inlineStr">
        <is>
          <t>Home &amp; Lifestyle</t>
        </is>
      </c>
      <c r="D762" s="3" t="inlineStr">
        <is>
          <t>Small Home Goods</t>
        </is>
      </c>
      <c r="E762" s="3" t="inlineStr">
        <is>
          <t>Northern</t>
        </is>
      </c>
      <c r="F762" s="3" t="inlineStr">
        <is>
          <t>Phone/WhatsApp</t>
        </is>
      </c>
      <c r="G762" s="3" t="inlineStr">
        <is>
          <t>Returning</t>
        </is>
      </c>
      <c r="H762" s="3" t="n">
        <v>1</v>
      </c>
      <c r="I762" s="8" t="n">
        <v>130</v>
      </c>
      <c r="J762" s="8" t="n">
        <v>76.14</v>
      </c>
      <c r="K762" s="9" t="n">
        <v>0.1</v>
      </c>
      <c r="L762" s="8" t="n">
        <v>13.17</v>
      </c>
      <c r="M762" s="8">
        <f>H762*I762*(1-K762)</f>
        <v/>
      </c>
      <c r="N762" s="8">
        <f>H762*J762</f>
        <v/>
      </c>
      <c r="O762" s="8">
        <f>M762-N762-L762</f>
        <v/>
      </c>
      <c r="P762" s="10">
        <f>IFERROR(O762/M762,0)</f>
        <v/>
      </c>
      <c r="Q762" s="3">
        <f>IF(H762&lt;=0,"Review: quantity &lt;= 0",IF(K762&gt;0.3,"Review: discount &gt; 30%",IF(G762="","Review: missing customer type","OK")))</f>
        <v/>
      </c>
    </row>
    <row r="763">
      <c r="A763" s="3" t="inlineStr">
        <is>
          <t>ORD-10762</t>
        </is>
      </c>
      <c r="B763" s="7" t="n">
        <v>45989</v>
      </c>
      <c r="C763" s="3" t="inlineStr">
        <is>
          <t>Footwear</t>
        </is>
      </c>
      <c r="D763" s="3" t="inlineStr">
        <is>
          <t>Formal Shoes</t>
        </is>
      </c>
      <c r="E763" s="3" t="inlineStr">
        <is>
          <t>Northern</t>
        </is>
      </c>
      <c r="F763" s="3" t="inlineStr">
        <is>
          <t>Retail Shop</t>
        </is>
      </c>
      <c r="G763" s="3" t="inlineStr">
        <is>
          <t>Returning</t>
        </is>
      </c>
      <c r="H763" s="3" t="n">
        <v>5</v>
      </c>
      <c r="I763" s="8" t="n">
        <v>380</v>
      </c>
      <c r="J763" s="8" t="n">
        <v>196.08</v>
      </c>
      <c r="K763" s="9" t="n">
        <v>0</v>
      </c>
      <c r="L763" s="8" t="n">
        <v>2.6</v>
      </c>
      <c r="M763" s="8">
        <f>H763*I763*(1-K763)</f>
        <v/>
      </c>
      <c r="N763" s="8">
        <f>H763*J763</f>
        <v/>
      </c>
      <c r="O763" s="8">
        <f>M763-N763-L763</f>
        <v/>
      </c>
      <c r="P763" s="10">
        <f>IFERROR(O763/M763,0)</f>
        <v/>
      </c>
      <c r="Q763" s="3">
        <f>IF(H763&lt;=0,"Review: quantity &lt;= 0",IF(K763&gt;0.3,"Review: discount &gt; 30%",IF(G763="","Review: missing customer type","OK")))</f>
        <v/>
      </c>
    </row>
    <row r="764">
      <c r="A764" s="3" t="inlineStr">
        <is>
          <t>ORD-10763</t>
        </is>
      </c>
      <c r="B764" s="7" t="n">
        <v>45916</v>
      </c>
      <c r="C764" s="3" t="inlineStr">
        <is>
          <t>Footwear</t>
        </is>
      </c>
      <c r="D764" s="3" t="inlineStr">
        <is>
          <t>Boots</t>
        </is>
      </c>
      <c r="E764" s="3" t="inlineStr">
        <is>
          <t>Western</t>
        </is>
      </c>
      <c r="F764" s="3" t="inlineStr">
        <is>
          <t>Retail Shop</t>
        </is>
      </c>
      <c r="G764" s="3" t="inlineStr">
        <is>
          <t>New</t>
        </is>
      </c>
      <c r="H764" s="3" t="n">
        <v>1</v>
      </c>
      <c r="I764" s="8" t="n">
        <v>290</v>
      </c>
      <c r="J764" s="8" t="n">
        <v>165.77</v>
      </c>
      <c r="K764" s="9" t="n">
        <v>0.1</v>
      </c>
      <c r="L764" s="8" t="n">
        <v>0.5</v>
      </c>
      <c r="M764" s="8">
        <f>H764*I764*(1-K764)</f>
        <v/>
      </c>
      <c r="N764" s="8">
        <f>H764*J764</f>
        <v/>
      </c>
      <c r="O764" s="8">
        <f>M764-N764-L764</f>
        <v/>
      </c>
      <c r="P764" s="10">
        <f>IFERROR(O764/M764,0)</f>
        <v/>
      </c>
      <c r="Q764" s="3">
        <f>IF(H764&lt;=0,"Review: quantity &lt;= 0",IF(K764&gt;0.3,"Review: discount &gt; 30%",IF(G764="","Review: missing customer type","OK")))</f>
        <v/>
      </c>
    </row>
    <row r="765">
      <c r="A765" s="3" t="inlineStr">
        <is>
          <t>ORD-10764</t>
        </is>
      </c>
      <c r="B765" s="7" t="n">
        <v>45952</v>
      </c>
      <c r="C765" s="3" t="inlineStr">
        <is>
          <t>Footwear</t>
        </is>
      </c>
      <c r="D765" s="3" t="inlineStr">
        <is>
          <t>Sneakers</t>
        </is>
      </c>
      <c r="E765" s="3" t="inlineStr">
        <is>
          <t>Greater Accra</t>
        </is>
      </c>
      <c r="F765" s="3" t="inlineStr">
        <is>
          <t>Online</t>
        </is>
      </c>
      <c r="G765" s="3" t="inlineStr">
        <is>
          <t>Returning</t>
        </is>
      </c>
      <c r="H765" s="3" t="n">
        <v>1</v>
      </c>
      <c r="I765" s="8" t="n">
        <v>260</v>
      </c>
      <c r="J765" s="8" t="n">
        <v>150.39</v>
      </c>
      <c r="K765" s="9" t="n">
        <v>0.1</v>
      </c>
      <c r="L765" s="8" t="n">
        <v>27.22</v>
      </c>
      <c r="M765" s="8">
        <f>H765*I765*(1-K765)</f>
        <v/>
      </c>
      <c r="N765" s="8">
        <f>H765*J765</f>
        <v/>
      </c>
      <c r="O765" s="8">
        <f>M765-N765-L765</f>
        <v/>
      </c>
      <c r="P765" s="10">
        <f>IFERROR(O765/M765,0)</f>
        <v/>
      </c>
      <c r="Q765" s="3">
        <f>IF(H765&lt;=0,"Review: quantity &lt;= 0",IF(K765&gt;0.3,"Review: discount &gt; 30%",IF(G765="","Review: missing customer type","OK")))</f>
        <v/>
      </c>
    </row>
    <row r="766">
      <c r="A766" s="3" t="inlineStr">
        <is>
          <t>ORD-10765</t>
        </is>
      </c>
      <c r="B766" s="7" t="n">
        <v>45819</v>
      </c>
      <c r="C766" s="3" t="inlineStr">
        <is>
          <t>Clothing</t>
        </is>
      </c>
      <c r="D766" s="3" t="inlineStr">
        <is>
          <t>Trousers</t>
        </is>
      </c>
      <c r="E766" s="3" t="inlineStr">
        <is>
          <t>Western</t>
        </is>
      </c>
      <c r="F766" s="3" t="inlineStr">
        <is>
          <t>Online</t>
        </is>
      </c>
      <c r="G766" s="3" t="inlineStr">
        <is>
          <t>Returning</t>
        </is>
      </c>
      <c r="H766" s="3" t="n">
        <v>4</v>
      </c>
      <c r="I766" s="8" t="n">
        <v>120</v>
      </c>
      <c r="J766" s="8" t="n">
        <v>62.1</v>
      </c>
      <c r="K766" s="9" t="n">
        <v>0</v>
      </c>
      <c r="L766" s="8" t="n">
        <v>43.06</v>
      </c>
      <c r="M766" s="8">
        <f>H766*I766*(1-K766)</f>
        <v/>
      </c>
      <c r="N766" s="8">
        <f>H766*J766</f>
        <v/>
      </c>
      <c r="O766" s="8">
        <f>M766-N766-L766</f>
        <v/>
      </c>
      <c r="P766" s="10">
        <f>IFERROR(O766/M766,0)</f>
        <v/>
      </c>
      <c r="Q766" s="3">
        <f>IF(H766&lt;=0,"Review: quantity &lt;= 0",IF(K766&gt;0.3,"Review: discount &gt; 30%",IF(G766="","Review: missing customer type","OK")))</f>
        <v/>
      </c>
    </row>
    <row r="767">
      <c r="A767" s="3" t="inlineStr">
        <is>
          <t>ORD-10766</t>
        </is>
      </c>
      <c r="B767" s="7" t="n">
        <v>45860</v>
      </c>
      <c r="C767" s="3" t="inlineStr">
        <is>
          <t>Accessories</t>
        </is>
      </c>
      <c r="D767" s="3" t="inlineStr">
        <is>
          <t>Watches</t>
        </is>
      </c>
      <c r="E767" s="3" t="inlineStr">
        <is>
          <t>Greater Accra</t>
        </is>
      </c>
      <c r="F767" s="3" t="inlineStr">
        <is>
          <t>Retail Shop</t>
        </is>
      </c>
      <c r="G767" s="3" t="inlineStr">
        <is>
          <t>Returning</t>
        </is>
      </c>
      <c r="H767" s="3" t="n">
        <v>1</v>
      </c>
      <c r="I767" s="8" t="n">
        <v>105</v>
      </c>
      <c r="J767" s="8" t="n">
        <v>55.79</v>
      </c>
      <c r="K767" s="9" t="n">
        <v>0.1</v>
      </c>
      <c r="L767" s="8" t="n">
        <v>9.25</v>
      </c>
      <c r="M767" s="8">
        <f>H767*I767*(1-K767)</f>
        <v/>
      </c>
      <c r="N767" s="8">
        <f>H767*J767</f>
        <v/>
      </c>
      <c r="O767" s="8">
        <f>M767-N767-L767</f>
        <v/>
      </c>
      <c r="P767" s="10">
        <f>IFERROR(O767/M767,0)</f>
        <v/>
      </c>
      <c r="Q767" s="3">
        <f>IF(H767&lt;=0,"Review: quantity &lt;= 0",IF(K767&gt;0.3,"Review: discount &gt; 30%",IF(G767="","Review: missing customer type","OK")))</f>
        <v/>
      </c>
    </row>
    <row r="768">
      <c r="A768" s="3" t="inlineStr">
        <is>
          <t>ORD-10767</t>
        </is>
      </c>
      <c r="B768" s="7" t="n">
        <v>45828</v>
      </c>
      <c r="C768" s="3" t="inlineStr">
        <is>
          <t>Clothing</t>
        </is>
      </c>
      <c r="D768" s="3" t="inlineStr">
        <is>
          <t>Jackets</t>
        </is>
      </c>
      <c r="E768" s="3" t="inlineStr">
        <is>
          <t>Greater Accra</t>
        </is>
      </c>
      <c r="F768" s="3" t="inlineStr">
        <is>
          <t>Retail Shop</t>
        </is>
      </c>
      <c r="G768" s="3" t="inlineStr">
        <is>
          <t>New</t>
        </is>
      </c>
      <c r="H768" s="3" t="n">
        <v>2</v>
      </c>
      <c r="I768" s="8" t="n">
        <v>130</v>
      </c>
      <c r="J768" s="8" t="n">
        <v>67.52</v>
      </c>
      <c r="K768" s="9" t="n">
        <v>0</v>
      </c>
      <c r="L768" s="8" t="n">
        <v>1</v>
      </c>
      <c r="M768" s="8">
        <f>H768*I768*(1-K768)</f>
        <v/>
      </c>
      <c r="N768" s="8">
        <f>H768*J768</f>
        <v/>
      </c>
      <c r="O768" s="8">
        <f>M768-N768-L768</f>
        <v/>
      </c>
      <c r="P768" s="10">
        <f>IFERROR(O768/M768,0)</f>
        <v/>
      </c>
      <c r="Q768" s="3">
        <f>IF(H768&lt;=0,"Review: quantity &lt;= 0",IF(K768&gt;0.3,"Review: discount &gt; 30%",IF(G768="","Review: missing customer type","OK")))</f>
        <v/>
      </c>
    </row>
    <row r="769">
      <c r="A769" s="3" t="inlineStr">
        <is>
          <t>ORD-10768</t>
        </is>
      </c>
      <c r="B769" s="7" t="n">
        <v>45928</v>
      </c>
      <c r="C769" s="3" t="inlineStr">
        <is>
          <t>Clothing</t>
        </is>
      </c>
      <c r="D769" s="3" t="inlineStr">
        <is>
          <t>Dresses</t>
        </is>
      </c>
      <c r="E769" s="3" t="inlineStr">
        <is>
          <t>Greater Accra</t>
        </is>
      </c>
      <c r="F769" s="3" t="inlineStr">
        <is>
          <t>Retail Shop</t>
        </is>
      </c>
      <c r="G769" s="3" t="inlineStr">
        <is>
          <t>New</t>
        </is>
      </c>
      <c r="H769" s="3" t="n">
        <v>2</v>
      </c>
      <c r="I769" s="8" t="n">
        <v>115</v>
      </c>
      <c r="J769" s="8" t="n">
        <v>52.66</v>
      </c>
      <c r="K769" s="9" t="n">
        <v>0</v>
      </c>
      <c r="L769" s="8" t="n">
        <v>7.42</v>
      </c>
      <c r="M769" s="8">
        <f>H769*I769*(1-K769)</f>
        <v/>
      </c>
      <c r="N769" s="8">
        <f>H769*J769</f>
        <v/>
      </c>
      <c r="O769" s="8">
        <f>M769-N769-L769</f>
        <v/>
      </c>
      <c r="P769" s="10">
        <f>IFERROR(O769/M769,0)</f>
        <v/>
      </c>
      <c r="Q769" s="3">
        <f>IF(H769&lt;=0,"Review: quantity &lt;= 0",IF(K769&gt;0.3,"Review: discount &gt; 30%",IF(G769="","Review: missing customer type","OK")))</f>
        <v/>
      </c>
    </row>
    <row r="770">
      <c r="A770" s="3" t="inlineStr">
        <is>
          <t>ORD-10769</t>
        </is>
      </c>
      <c r="B770" s="7" t="n">
        <v>45766</v>
      </c>
      <c r="C770" s="3" t="inlineStr">
        <is>
          <t>Clothing</t>
        </is>
      </c>
      <c r="D770" s="3" t="inlineStr">
        <is>
          <t>Jackets</t>
        </is>
      </c>
      <c r="E770" s="3" t="inlineStr">
        <is>
          <t>Greater Accra</t>
        </is>
      </c>
      <c r="F770" s="3" t="inlineStr">
        <is>
          <t>Retail Shop</t>
        </is>
      </c>
      <c r="G770" s="3" t="inlineStr">
        <is>
          <t>Returning</t>
        </is>
      </c>
      <c r="H770" s="3" t="n">
        <v>1</v>
      </c>
      <c r="I770" s="8" t="n">
        <v>165</v>
      </c>
      <c r="J770" s="8" t="n">
        <v>84.83</v>
      </c>
      <c r="K770" s="9" t="n">
        <v>0.05</v>
      </c>
      <c r="L770" s="8" t="n">
        <v>3.72</v>
      </c>
      <c r="M770" s="8">
        <f>H770*I770*(1-K770)</f>
        <v/>
      </c>
      <c r="N770" s="8">
        <f>H770*J770</f>
        <v/>
      </c>
      <c r="O770" s="8">
        <f>M770-N770-L770</f>
        <v/>
      </c>
      <c r="P770" s="10">
        <f>IFERROR(O770/M770,0)</f>
        <v/>
      </c>
      <c r="Q770" s="3">
        <f>IF(H770&lt;=0,"Review: quantity &lt;= 0",IF(K770&gt;0.3,"Review: discount &gt; 30%",IF(G770="","Review: missing customer type","OK")))</f>
        <v/>
      </c>
    </row>
    <row r="771">
      <c r="A771" s="3" t="inlineStr">
        <is>
          <t>ORD-10770</t>
        </is>
      </c>
      <c r="B771" s="7" t="n">
        <v>45977</v>
      </c>
      <c r="C771" s="3" t="inlineStr">
        <is>
          <t>Footwear</t>
        </is>
      </c>
      <c r="D771" s="3" t="inlineStr">
        <is>
          <t>Sandals</t>
        </is>
      </c>
      <c r="E771" s="3" t="inlineStr">
        <is>
          <t>Greater Accra</t>
        </is>
      </c>
      <c r="F771" s="3" t="inlineStr">
        <is>
          <t>Online</t>
        </is>
      </c>
      <c r="G771" s="3" t="inlineStr">
        <is>
          <t>Returning</t>
        </is>
      </c>
      <c r="H771" s="3" t="n">
        <v>1</v>
      </c>
      <c r="I771" s="8" t="n">
        <v>135</v>
      </c>
      <c r="J771" s="8" t="n">
        <v>84.38</v>
      </c>
      <c r="K771" s="9" t="n">
        <v>0</v>
      </c>
      <c r="L771" s="8" t="n">
        <v>12.09</v>
      </c>
      <c r="M771" s="8">
        <f>H771*I771*(1-K771)</f>
        <v/>
      </c>
      <c r="N771" s="8">
        <f>H771*J771</f>
        <v/>
      </c>
      <c r="O771" s="8">
        <f>M771-N771-L771</f>
        <v/>
      </c>
      <c r="P771" s="10">
        <f>IFERROR(O771/M771,0)</f>
        <v/>
      </c>
      <c r="Q771" s="3">
        <f>IF(H771&lt;=0,"Review: quantity &lt;= 0",IF(K771&gt;0.3,"Review: discount &gt; 30%",IF(G771="","Review: missing customer type","OK")))</f>
        <v/>
      </c>
    </row>
    <row r="772">
      <c r="A772" s="3" t="inlineStr">
        <is>
          <t>ORD-10771</t>
        </is>
      </c>
      <c r="B772" s="7" t="n">
        <v>45799</v>
      </c>
      <c r="C772" s="3" t="inlineStr">
        <is>
          <t>Clothing</t>
        </is>
      </c>
      <c r="D772" s="3" t="inlineStr">
        <is>
          <t>Trousers</t>
        </is>
      </c>
      <c r="E772" s="3" t="inlineStr">
        <is>
          <t>Greater Accra</t>
        </is>
      </c>
      <c r="F772" s="3" t="inlineStr">
        <is>
          <t>Phone/WhatsApp</t>
        </is>
      </c>
      <c r="G772" s="3" t="inlineStr">
        <is>
          <t>Returning</t>
        </is>
      </c>
      <c r="H772" s="3" t="n">
        <v>4</v>
      </c>
      <c r="I772" s="8" t="n">
        <v>115</v>
      </c>
      <c r="J772" s="8" t="n">
        <v>57.56</v>
      </c>
      <c r="K772" s="9" t="n">
        <v>0</v>
      </c>
      <c r="L772" s="8" t="n">
        <v>34.18</v>
      </c>
      <c r="M772" s="8">
        <f>H772*I772*(1-K772)</f>
        <v/>
      </c>
      <c r="N772" s="8">
        <f>H772*J772</f>
        <v/>
      </c>
      <c r="O772" s="8">
        <f>M772-N772-L772</f>
        <v/>
      </c>
      <c r="P772" s="10">
        <f>IFERROR(O772/M772,0)</f>
        <v/>
      </c>
      <c r="Q772" s="3">
        <f>IF(H772&lt;=0,"Review: quantity &lt;= 0",IF(K772&gt;0.3,"Review: discount &gt; 30%",IF(G772="","Review: missing customer type","OK")))</f>
        <v/>
      </c>
    </row>
    <row r="773">
      <c r="A773" s="3" t="inlineStr">
        <is>
          <t>ORD-10772</t>
        </is>
      </c>
      <c r="B773" s="7" t="n">
        <v>45851</v>
      </c>
      <c r="C773" s="3" t="inlineStr">
        <is>
          <t>Footwear</t>
        </is>
      </c>
      <c r="D773" s="3" t="inlineStr">
        <is>
          <t>Boots</t>
        </is>
      </c>
      <c r="E773" s="3" t="inlineStr">
        <is>
          <t>Greater Accra</t>
        </is>
      </c>
      <c r="F773" s="3" t="inlineStr">
        <is>
          <t>Online</t>
        </is>
      </c>
      <c r="G773" s="3" t="inlineStr">
        <is>
          <t>Returning</t>
        </is>
      </c>
      <c r="H773" s="3" t="n">
        <v>2</v>
      </c>
      <c r="I773" s="8" t="n">
        <v>195</v>
      </c>
      <c r="J773" s="8" t="n">
        <v>99.43000000000001</v>
      </c>
      <c r="K773" s="9" t="n">
        <v>0</v>
      </c>
      <c r="L773" s="8" t="n">
        <v>39.21</v>
      </c>
      <c r="M773" s="8">
        <f>H773*I773*(1-K773)</f>
        <v/>
      </c>
      <c r="N773" s="8">
        <f>H773*J773</f>
        <v/>
      </c>
      <c r="O773" s="8">
        <f>M773-N773-L773</f>
        <v/>
      </c>
      <c r="P773" s="10">
        <f>IFERROR(O773/M773,0)</f>
        <v/>
      </c>
      <c r="Q773" s="3">
        <f>IF(H773&lt;=0,"Review: quantity &lt;= 0",IF(K773&gt;0.3,"Review: discount &gt; 30%",IF(G773="","Review: missing customer type","OK")))</f>
        <v/>
      </c>
    </row>
    <row r="774">
      <c r="A774" s="3" t="inlineStr">
        <is>
          <t>ORD-10773</t>
        </is>
      </c>
      <c r="B774" s="7" t="n">
        <v>45835</v>
      </c>
      <c r="C774" s="3" t="inlineStr">
        <is>
          <t>Footwear</t>
        </is>
      </c>
      <c r="D774" s="3" t="inlineStr">
        <is>
          <t>Sandals</t>
        </is>
      </c>
      <c r="E774" s="3" t="inlineStr">
        <is>
          <t>Greater Accra</t>
        </is>
      </c>
      <c r="F774" s="3" t="inlineStr">
        <is>
          <t>Online</t>
        </is>
      </c>
      <c r="G774" s="3" t="inlineStr">
        <is>
          <t>Returning</t>
        </is>
      </c>
      <c r="H774" s="3" t="n">
        <v>2</v>
      </c>
      <c r="I774" s="8" t="n">
        <v>265</v>
      </c>
      <c r="J774" s="8" t="n">
        <v>146.01</v>
      </c>
      <c r="K774" s="9" t="n">
        <v>0.2</v>
      </c>
      <c r="L774" s="8" t="n">
        <v>13.47</v>
      </c>
      <c r="M774" s="8">
        <f>H774*I774*(1-K774)</f>
        <v/>
      </c>
      <c r="N774" s="8">
        <f>H774*J774</f>
        <v/>
      </c>
      <c r="O774" s="8">
        <f>M774-N774-L774</f>
        <v/>
      </c>
      <c r="P774" s="10">
        <f>IFERROR(O774/M774,0)</f>
        <v/>
      </c>
      <c r="Q774" s="3">
        <f>IF(H774&lt;=0,"Review: quantity &lt;= 0",IF(K774&gt;0.3,"Review: discount &gt; 30%",IF(G774="","Review: missing customer type","OK")))</f>
        <v/>
      </c>
    </row>
    <row r="775">
      <c r="A775" s="3" t="inlineStr">
        <is>
          <t>ORD-10774</t>
        </is>
      </c>
      <c r="B775" s="7" t="n">
        <v>45883</v>
      </c>
      <c r="C775" s="3" t="inlineStr">
        <is>
          <t>Footwear</t>
        </is>
      </c>
      <c r="D775" s="3" t="inlineStr">
        <is>
          <t>Sandals</t>
        </is>
      </c>
      <c r="E775" s="3" t="inlineStr">
        <is>
          <t>Western</t>
        </is>
      </c>
      <c r="F775" s="3" t="inlineStr">
        <is>
          <t>Retail Shop</t>
        </is>
      </c>
      <c r="G775" s="3" t="inlineStr">
        <is>
          <t>Returning</t>
        </is>
      </c>
      <c r="H775" s="3" t="n">
        <v>2</v>
      </c>
      <c r="I775" s="8" t="n">
        <v>235</v>
      </c>
      <c r="J775" s="8" t="n">
        <v>131.94</v>
      </c>
      <c r="K775" s="9" t="n">
        <v>0</v>
      </c>
      <c r="L775" s="8" t="n">
        <v>10.1</v>
      </c>
      <c r="M775" s="8">
        <f>H775*I775*(1-K775)</f>
        <v/>
      </c>
      <c r="N775" s="8">
        <f>H775*J775</f>
        <v/>
      </c>
      <c r="O775" s="8">
        <f>M775-N775-L775</f>
        <v/>
      </c>
      <c r="P775" s="10">
        <f>IFERROR(O775/M775,0)</f>
        <v/>
      </c>
      <c r="Q775" s="3">
        <f>IF(H775&lt;=0,"Review: quantity &lt;= 0",IF(K775&gt;0.3,"Review: discount &gt; 30%",IF(G775="","Review: missing customer type","OK")))</f>
        <v/>
      </c>
    </row>
    <row r="776">
      <c r="A776" s="3" t="inlineStr">
        <is>
          <t>ORD-10775</t>
        </is>
      </c>
      <c r="B776" s="7" t="n">
        <v>45720</v>
      </c>
      <c r="C776" s="3" t="inlineStr">
        <is>
          <t>Accessories</t>
        </is>
      </c>
      <c r="D776" s="3" t="inlineStr">
        <is>
          <t>Bags</t>
        </is>
      </c>
      <c r="E776" s="3" t="inlineStr">
        <is>
          <t>Greater Accra</t>
        </is>
      </c>
      <c r="F776" s="3" t="inlineStr">
        <is>
          <t>Retail Shop</t>
        </is>
      </c>
      <c r="G776" s="3" t="inlineStr">
        <is>
          <t>New</t>
        </is>
      </c>
      <c r="H776" s="3" t="n">
        <v>1</v>
      </c>
      <c r="I776" s="8" t="n">
        <v>70</v>
      </c>
      <c r="J776" s="8" t="n">
        <v>32.64</v>
      </c>
      <c r="K776" s="9" t="n">
        <v>0</v>
      </c>
      <c r="L776" s="8" t="n">
        <v>7.25</v>
      </c>
      <c r="M776" s="8">
        <f>H776*I776*(1-K776)</f>
        <v/>
      </c>
      <c r="N776" s="8">
        <f>H776*J776</f>
        <v/>
      </c>
      <c r="O776" s="8">
        <f>M776-N776-L776</f>
        <v/>
      </c>
      <c r="P776" s="10">
        <f>IFERROR(O776/M776,0)</f>
        <v/>
      </c>
      <c r="Q776" s="3">
        <f>IF(H776&lt;=0,"Review: quantity &lt;= 0",IF(K776&gt;0.3,"Review: discount &gt; 30%",IF(G776="","Review: missing customer type","OK")))</f>
        <v/>
      </c>
    </row>
    <row r="777">
      <c r="A777" s="3" t="inlineStr">
        <is>
          <t>ORD-10776</t>
        </is>
      </c>
      <c r="B777" s="7" t="n">
        <v>45937</v>
      </c>
      <c r="C777" s="3" t="inlineStr">
        <is>
          <t>Clothing</t>
        </is>
      </c>
      <c r="D777" s="3" t="inlineStr">
        <is>
          <t>Jackets</t>
        </is>
      </c>
      <c r="E777" s="3" t="inlineStr">
        <is>
          <t>Greater Accra</t>
        </is>
      </c>
      <c r="F777" s="3" t="inlineStr">
        <is>
          <t>Online</t>
        </is>
      </c>
      <c r="G777" s="3" t="inlineStr">
        <is>
          <t>Returning</t>
        </is>
      </c>
      <c r="H777" s="3" t="n">
        <v>1</v>
      </c>
      <c r="I777" s="8" t="n">
        <v>195</v>
      </c>
      <c r="J777" s="8" t="n">
        <v>99.84999999999999</v>
      </c>
      <c r="K777" s="9" t="n">
        <v>0</v>
      </c>
      <c r="L777" s="8" t="n">
        <v>16.17</v>
      </c>
      <c r="M777" s="8">
        <f>H777*I777*(1-K777)</f>
        <v/>
      </c>
      <c r="N777" s="8">
        <f>H777*J777</f>
        <v/>
      </c>
      <c r="O777" s="8">
        <f>M777-N777-L777</f>
        <v/>
      </c>
      <c r="P777" s="10">
        <f>IFERROR(O777/M777,0)</f>
        <v/>
      </c>
      <c r="Q777" s="3">
        <f>IF(H777&lt;=0,"Review: quantity &lt;= 0",IF(K777&gt;0.3,"Review: discount &gt; 30%",IF(G777="","Review: missing customer type","OK")))</f>
        <v/>
      </c>
    </row>
    <row r="778">
      <c r="A778" s="3" t="inlineStr">
        <is>
          <t>ORD-10777</t>
        </is>
      </c>
      <c r="B778" s="7" t="n">
        <v>45770</v>
      </c>
      <c r="C778" s="3" t="inlineStr">
        <is>
          <t>Accessories</t>
        </is>
      </c>
      <c r="D778" s="3" t="inlineStr">
        <is>
          <t>Watches</t>
        </is>
      </c>
      <c r="E778" s="3" t="inlineStr">
        <is>
          <t>Greater Accra</t>
        </is>
      </c>
      <c r="F778" s="3" t="inlineStr">
        <is>
          <t>Retail Shop</t>
        </is>
      </c>
      <c r="G778" s="3" t="inlineStr">
        <is>
          <t>Returning</t>
        </is>
      </c>
      <c r="H778" s="3" t="n">
        <v>2</v>
      </c>
      <c r="I778" s="8" t="n">
        <v>95</v>
      </c>
      <c r="J778" s="8" t="n">
        <v>49.24</v>
      </c>
      <c r="K778" s="9" t="n">
        <v>0</v>
      </c>
      <c r="L778" s="8" t="n">
        <v>2.84</v>
      </c>
      <c r="M778" s="8">
        <f>H778*I778*(1-K778)</f>
        <v/>
      </c>
      <c r="N778" s="8">
        <f>H778*J778</f>
        <v/>
      </c>
      <c r="O778" s="8">
        <f>M778-N778-L778</f>
        <v/>
      </c>
      <c r="P778" s="10">
        <f>IFERROR(O778/M778,0)</f>
        <v/>
      </c>
      <c r="Q778" s="3">
        <f>IF(H778&lt;=0,"Review: quantity &lt;= 0",IF(K778&gt;0.3,"Review: discount &gt; 30%",IF(G778="","Review: missing customer type","OK")))</f>
        <v/>
      </c>
    </row>
    <row r="779">
      <c r="A779" s="3" t="inlineStr">
        <is>
          <t>ORD-10778</t>
        </is>
      </c>
      <c r="B779" s="7" t="n">
        <v>45991</v>
      </c>
      <c r="C779" s="3" t="inlineStr">
        <is>
          <t>Footwear</t>
        </is>
      </c>
      <c r="D779" s="3" t="inlineStr">
        <is>
          <t>Sandals</t>
        </is>
      </c>
      <c r="E779" s="3" t="inlineStr">
        <is>
          <t>Northern</t>
        </is>
      </c>
      <c r="F779" s="3" t="inlineStr">
        <is>
          <t>Retail Shop</t>
        </is>
      </c>
      <c r="G779" s="3" t="inlineStr">
        <is>
          <t>Returning</t>
        </is>
      </c>
      <c r="H779" s="3" t="n">
        <v>2</v>
      </c>
      <c r="I779" s="8" t="n">
        <v>390</v>
      </c>
      <c r="J779" s="8" t="n">
        <v>206.51</v>
      </c>
      <c r="K779" s="9" t="n">
        <v>0.1</v>
      </c>
      <c r="L779" s="8" t="n">
        <v>1.26</v>
      </c>
      <c r="M779" s="8">
        <f>H779*I779*(1-K779)</f>
        <v/>
      </c>
      <c r="N779" s="8">
        <f>H779*J779</f>
        <v/>
      </c>
      <c r="O779" s="8">
        <f>M779-N779-L779</f>
        <v/>
      </c>
      <c r="P779" s="10">
        <f>IFERROR(O779/M779,0)</f>
        <v/>
      </c>
      <c r="Q779" s="3">
        <f>IF(H779&lt;=0,"Review: quantity &lt;= 0",IF(K779&gt;0.3,"Review: discount &gt; 30%",IF(G779="","Review: missing customer type","OK")))</f>
        <v/>
      </c>
    </row>
    <row r="780">
      <c r="A780" s="3" t="inlineStr">
        <is>
          <t>ORD-10779</t>
        </is>
      </c>
      <c r="B780" s="7" t="n">
        <v>46014</v>
      </c>
      <c r="C780" s="3" t="inlineStr">
        <is>
          <t>Footwear</t>
        </is>
      </c>
      <c r="D780" s="3" t="inlineStr">
        <is>
          <t>Sandals</t>
        </is>
      </c>
      <c r="E780" s="3" t="inlineStr">
        <is>
          <t>Greater Accra</t>
        </is>
      </c>
      <c r="F780" s="3" t="inlineStr">
        <is>
          <t>Online</t>
        </is>
      </c>
      <c r="G780" s="3" t="inlineStr">
        <is>
          <t>Returning</t>
        </is>
      </c>
      <c r="H780" s="3" t="n">
        <v>4</v>
      </c>
      <c r="I780" s="8" t="n">
        <v>350</v>
      </c>
      <c r="J780" s="8" t="n">
        <v>176.95</v>
      </c>
      <c r="K780" s="9" t="n">
        <v>0.05</v>
      </c>
      <c r="L780" s="8" t="n">
        <v>19.89</v>
      </c>
      <c r="M780" s="8">
        <f>H780*I780*(1-K780)</f>
        <v/>
      </c>
      <c r="N780" s="8">
        <f>H780*J780</f>
        <v/>
      </c>
      <c r="O780" s="8">
        <f>M780-N780-L780</f>
        <v/>
      </c>
      <c r="P780" s="10">
        <f>IFERROR(O780/M780,0)</f>
        <v/>
      </c>
      <c r="Q780" s="3">
        <f>IF(H780&lt;=0,"Review: quantity &lt;= 0",IF(K780&gt;0.3,"Review: discount &gt; 30%",IF(G780="","Review: missing customer type","OK")))</f>
        <v/>
      </c>
    </row>
    <row r="781">
      <c r="A781" s="3" t="inlineStr">
        <is>
          <t>ORD-10780</t>
        </is>
      </c>
      <c r="B781" s="7" t="n">
        <v>45714</v>
      </c>
      <c r="C781" s="3" t="inlineStr">
        <is>
          <t>Accessories</t>
        </is>
      </c>
      <c r="D781" s="3" t="inlineStr">
        <is>
          <t>Bags</t>
        </is>
      </c>
      <c r="E781" s="3" t="inlineStr">
        <is>
          <t>Greater Accra</t>
        </is>
      </c>
      <c r="F781" s="3" t="inlineStr">
        <is>
          <t>Online</t>
        </is>
      </c>
      <c r="G781" s="3" t="inlineStr">
        <is>
          <t>New</t>
        </is>
      </c>
      <c r="H781" s="3" t="n">
        <v>2</v>
      </c>
      <c r="I781" s="8" t="n">
        <v>125</v>
      </c>
      <c r="J781" s="8" t="n">
        <v>57.26</v>
      </c>
      <c r="K781" s="9" t="n">
        <v>0</v>
      </c>
      <c r="L781" s="8" t="n">
        <v>16.55</v>
      </c>
      <c r="M781" s="8">
        <f>H781*I781*(1-K781)</f>
        <v/>
      </c>
      <c r="N781" s="8">
        <f>H781*J781</f>
        <v/>
      </c>
      <c r="O781" s="8">
        <f>M781-N781-L781</f>
        <v/>
      </c>
      <c r="P781" s="10">
        <f>IFERROR(O781/M781,0)</f>
        <v/>
      </c>
      <c r="Q781" s="3">
        <f>IF(H781&lt;=0,"Review: quantity &lt;= 0",IF(K781&gt;0.3,"Review: discount &gt; 30%",IF(G781="","Review: missing customer type","OK")))</f>
        <v/>
      </c>
    </row>
    <row r="782">
      <c r="A782" s="3" t="inlineStr">
        <is>
          <t>ORD-10781</t>
        </is>
      </c>
      <c r="B782" s="7" t="n">
        <v>45857</v>
      </c>
      <c r="C782" s="3" t="inlineStr">
        <is>
          <t>Clothing</t>
        </is>
      </c>
      <c r="D782" s="3" t="inlineStr">
        <is>
          <t>Jackets</t>
        </is>
      </c>
      <c r="E782" s="3" t="inlineStr">
        <is>
          <t>Central</t>
        </is>
      </c>
      <c r="F782" s="3" t="inlineStr">
        <is>
          <t>Online</t>
        </is>
      </c>
      <c r="G782" s="3" t="inlineStr">
        <is>
          <t>Returning</t>
        </is>
      </c>
      <c r="H782" s="3" t="n">
        <v>1</v>
      </c>
      <c r="I782" s="8" t="n">
        <v>110</v>
      </c>
      <c r="J782" s="8" t="n">
        <v>55.94</v>
      </c>
      <c r="K782" s="9" t="n">
        <v>0</v>
      </c>
      <c r="L782" s="8" t="n">
        <v>20.39</v>
      </c>
      <c r="M782" s="8">
        <f>H782*I782*(1-K782)</f>
        <v/>
      </c>
      <c r="N782" s="8">
        <f>H782*J782</f>
        <v/>
      </c>
      <c r="O782" s="8">
        <f>M782-N782-L782</f>
        <v/>
      </c>
      <c r="P782" s="10">
        <f>IFERROR(O782/M782,0)</f>
        <v/>
      </c>
      <c r="Q782" s="3">
        <f>IF(H782&lt;=0,"Review: quantity &lt;= 0",IF(K782&gt;0.3,"Review: discount &gt; 30%",IF(G782="","Review: missing customer type","OK")))</f>
        <v/>
      </c>
    </row>
    <row r="783">
      <c r="A783" s="3" t="inlineStr">
        <is>
          <t>ORD-10782</t>
        </is>
      </c>
      <c r="B783" s="7" t="n">
        <v>45760</v>
      </c>
      <c r="C783" s="3" t="inlineStr">
        <is>
          <t>Home &amp; Lifestyle</t>
        </is>
      </c>
      <c r="D783" s="3" t="inlineStr">
        <is>
          <t>Backpacks</t>
        </is>
      </c>
      <c r="E783" s="3" t="inlineStr">
        <is>
          <t>Greater Accra</t>
        </is>
      </c>
      <c r="F783" s="3" t="inlineStr">
        <is>
          <t>Retail Shop</t>
        </is>
      </c>
      <c r="G783" s="3" t="inlineStr">
        <is>
          <t>Returning</t>
        </is>
      </c>
      <c r="H783" s="3" t="n">
        <v>1</v>
      </c>
      <c r="I783" s="8" t="n">
        <v>120</v>
      </c>
      <c r="J783" s="8" t="n">
        <v>58.96</v>
      </c>
      <c r="K783" s="9" t="n">
        <v>0.05</v>
      </c>
      <c r="L783" s="8" t="n">
        <v>10.8</v>
      </c>
      <c r="M783" s="8">
        <f>H783*I783*(1-K783)</f>
        <v/>
      </c>
      <c r="N783" s="8">
        <f>H783*J783</f>
        <v/>
      </c>
      <c r="O783" s="8">
        <f>M783-N783-L783</f>
        <v/>
      </c>
      <c r="P783" s="10">
        <f>IFERROR(O783/M783,0)</f>
        <v/>
      </c>
      <c r="Q783" s="3">
        <f>IF(H783&lt;=0,"Review: quantity &lt;= 0",IF(K783&gt;0.3,"Review: discount &gt; 30%",IF(G783="","Review: missing customer type","OK")))</f>
        <v/>
      </c>
    </row>
    <row r="784">
      <c r="A784" s="3" t="inlineStr">
        <is>
          <t>ORD-10783</t>
        </is>
      </c>
      <c r="B784" s="7" t="n">
        <v>45796</v>
      </c>
      <c r="C784" s="3" t="inlineStr">
        <is>
          <t>Clothing</t>
        </is>
      </c>
      <c r="D784" s="3" t="inlineStr">
        <is>
          <t>Jackets</t>
        </is>
      </c>
      <c r="E784" s="3" t="inlineStr">
        <is>
          <t>Greater Accra</t>
        </is>
      </c>
      <c r="F784" s="3" t="inlineStr">
        <is>
          <t>Retail Shop</t>
        </is>
      </c>
      <c r="G784" s="3" t="inlineStr">
        <is>
          <t>Returning</t>
        </is>
      </c>
      <c r="H784" s="3" t="n">
        <v>1</v>
      </c>
      <c r="I784" s="8" t="n">
        <v>115</v>
      </c>
      <c r="J784" s="8" t="n">
        <v>57.07</v>
      </c>
      <c r="K784" s="9" t="n">
        <v>0.15</v>
      </c>
      <c r="L784" s="8" t="n">
        <v>7.86</v>
      </c>
      <c r="M784" s="8">
        <f>H784*I784*(1-K784)</f>
        <v/>
      </c>
      <c r="N784" s="8">
        <f>H784*J784</f>
        <v/>
      </c>
      <c r="O784" s="8">
        <f>M784-N784-L784</f>
        <v/>
      </c>
      <c r="P784" s="10">
        <f>IFERROR(O784/M784,0)</f>
        <v/>
      </c>
      <c r="Q784" s="3">
        <f>IF(H784&lt;=0,"Review: quantity &lt;= 0",IF(K784&gt;0.3,"Review: discount &gt; 30%",IF(G784="","Review: missing customer type","OK")))</f>
        <v/>
      </c>
    </row>
    <row r="785">
      <c r="A785" s="3" t="inlineStr">
        <is>
          <t>ORD-10784</t>
        </is>
      </c>
      <c r="B785" s="7" t="n">
        <v>45967</v>
      </c>
      <c r="C785" s="3" t="inlineStr">
        <is>
          <t>Home &amp; Lifestyle</t>
        </is>
      </c>
      <c r="D785" s="3" t="inlineStr">
        <is>
          <t>Travel Mugs</t>
        </is>
      </c>
      <c r="E785" s="3" t="inlineStr">
        <is>
          <t>Greater Accra</t>
        </is>
      </c>
      <c r="F785" s="3" t="inlineStr">
        <is>
          <t>Retail Shop</t>
        </is>
      </c>
      <c r="G785" s="3" t="inlineStr">
        <is>
          <t>Returning</t>
        </is>
      </c>
      <c r="H785" s="3" t="n">
        <v>6</v>
      </c>
      <c r="I785" s="8" t="n">
        <v>105</v>
      </c>
      <c r="J785" s="8" t="n">
        <v>61.81</v>
      </c>
      <c r="K785" s="9" t="n">
        <v>0</v>
      </c>
      <c r="L785" s="8" t="n">
        <v>1.27</v>
      </c>
      <c r="M785" s="8">
        <f>H785*I785*(1-K785)</f>
        <v/>
      </c>
      <c r="N785" s="8">
        <f>H785*J785</f>
        <v/>
      </c>
      <c r="O785" s="8">
        <f>M785-N785-L785</f>
        <v/>
      </c>
      <c r="P785" s="10">
        <f>IFERROR(O785/M785,0)</f>
        <v/>
      </c>
      <c r="Q785" s="3">
        <f>IF(H785&lt;=0,"Review: quantity &lt;= 0",IF(K785&gt;0.3,"Review: discount &gt; 30%",IF(G785="","Review: missing customer type","OK")))</f>
        <v/>
      </c>
    </row>
    <row r="786">
      <c r="A786" s="3" t="inlineStr">
        <is>
          <t>ORD-10785</t>
        </is>
      </c>
      <c r="B786" s="7" t="n">
        <v>45873</v>
      </c>
      <c r="C786" s="3" t="inlineStr">
        <is>
          <t>Footwear</t>
        </is>
      </c>
      <c r="D786" s="3" t="inlineStr">
        <is>
          <t>Sandals</t>
        </is>
      </c>
      <c r="E786" s="3" t="inlineStr">
        <is>
          <t>Ashanti</t>
        </is>
      </c>
      <c r="F786" s="3" t="inlineStr">
        <is>
          <t>Phone/WhatsApp</t>
        </is>
      </c>
      <c r="G786" s="3" t="inlineStr">
        <is>
          <t>Returning</t>
        </is>
      </c>
      <c r="H786" s="3" t="n">
        <v>2</v>
      </c>
      <c r="I786" s="8" t="n">
        <v>215</v>
      </c>
      <c r="J786" s="8" t="n">
        <v>132.08</v>
      </c>
      <c r="K786" s="9" t="n">
        <v>0</v>
      </c>
      <c r="L786" s="8" t="n">
        <v>36.77</v>
      </c>
      <c r="M786" s="8">
        <f>H786*I786*(1-K786)</f>
        <v/>
      </c>
      <c r="N786" s="8">
        <f>H786*J786</f>
        <v/>
      </c>
      <c r="O786" s="8">
        <f>M786-N786-L786</f>
        <v/>
      </c>
      <c r="P786" s="10">
        <f>IFERROR(O786/M786,0)</f>
        <v/>
      </c>
      <c r="Q786" s="3">
        <f>IF(H786&lt;=0,"Review: quantity &lt;= 0",IF(K786&gt;0.3,"Review: discount &gt; 30%",IF(G786="","Review: missing customer type","OK")))</f>
        <v/>
      </c>
    </row>
    <row r="787">
      <c r="A787" s="3" t="inlineStr">
        <is>
          <t>ORD-10786</t>
        </is>
      </c>
      <c r="B787" s="7" t="n">
        <v>45889</v>
      </c>
      <c r="C787" s="3" t="inlineStr">
        <is>
          <t>Clothing</t>
        </is>
      </c>
      <c r="D787" s="3" t="inlineStr">
        <is>
          <t>Trousers</t>
        </is>
      </c>
      <c r="E787" s="3" t="inlineStr">
        <is>
          <t>Ashanti</t>
        </is>
      </c>
      <c r="F787" s="3" t="inlineStr">
        <is>
          <t>Online</t>
        </is>
      </c>
      <c r="G787" s="3" t="inlineStr">
        <is>
          <t>New</t>
        </is>
      </c>
      <c r="H787" s="3" t="n">
        <v>1</v>
      </c>
      <c r="I787" s="8" t="n">
        <v>90</v>
      </c>
      <c r="J787" s="8" t="n">
        <v>48.83</v>
      </c>
      <c r="K787" s="9" t="n">
        <v>0.15</v>
      </c>
      <c r="L787" s="8" t="n">
        <v>14.08</v>
      </c>
      <c r="M787" s="8">
        <f>H787*I787*(1-K787)</f>
        <v/>
      </c>
      <c r="N787" s="8">
        <f>H787*J787</f>
        <v/>
      </c>
      <c r="O787" s="8">
        <f>M787-N787-L787</f>
        <v/>
      </c>
      <c r="P787" s="10">
        <f>IFERROR(O787/M787,0)</f>
        <v/>
      </c>
      <c r="Q787" s="3">
        <f>IF(H787&lt;=0,"Review: quantity &lt;= 0",IF(K787&gt;0.3,"Review: discount &gt; 30%",IF(G787="","Review: missing customer type","OK")))</f>
        <v/>
      </c>
    </row>
    <row r="788">
      <c r="A788" s="3" t="inlineStr">
        <is>
          <t>ORD-10787</t>
        </is>
      </c>
      <c r="B788" s="7" t="n">
        <v>45810</v>
      </c>
      <c r="C788" s="3" t="inlineStr">
        <is>
          <t>Footwear</t>
        </is>
      </c>
      <c r="D788" s="3" t="inlineStr">
        <is>
          <t>Boots</t>
        </is>
      </c>
      <c r="E788" s="3" t="inlineStr">
        <is>
          <t>Western</t>
        </is>
      </c>
      <c r="F788" s="3" t="inlineStr">
        <is>
          <t>Retail Shop</t>
        </is>
      </c>
      <c r="G788" s="3" t="inlineStr">
        <is>
          <t>Returning</t>
        </is>
      </c>
      <c r="H788" s="3" t="n">
        <v>1</v>
      </c>
      <c r="I788" s="8" t="n">
        <v>215</v>
      </c>
      <c r="J788" s="8" t="n">
        <v>120.3</v>
      </c>
      <c r="K788" s="9" t="n">
        <v>0</v>
      </c>
      <c r="L788" s="8" t="n">
        <v>6.79</v>
      </c>
      <c r="M788" s="8">
        <f>H788*I788*(1-K788)</f>
        <v/>
      </c>
      <c r="N788" s="8">
        <f>H788*J788</f>
        <v/>
      </c>
      <c r="O788" s="8">
        <f>M788-N788-L788</f>
        <v/>
      </c>
      <c r="P788" s="10">
        <f>IFERROR(O788/M788,0)</f>
        <v/>
      </c>
      <c r="Q788" s="3">
        <f>IF(H788&lt;=0,"Review: quantity &lt;= 0",IF(K788&gt;0.3,"Review: discount &gt; 30%",IF(G788="","Review: missing customer type","OK")))</f>
        <v/>
      </c>
    </row>
    <row r="789">
      <c r="A789" s="3" t="inlineStr">
        <is>
          <t>ORD-10788</t>
        </is>
      </c>
      <c r="B789" s="7" t="n">
        <v>45822</v>
      </c>
      <c r="C789" s="3" t="inlineStr">
        <is>
          <t>Clothing</t>
        </is>
      </c>
      <c r="D789" s="3" t="inlineStr">
        <is>
          <t>Trousers</t>
        </is>
      </c>
      <c r="E789" s="3" t="inlineStr">
        <is>
          <t>Western</t>
        </is>
      </c>
      <c r="F789" s="3" t="inlineStr">
        <is>
          <t>Online</t>
        </is>
      </c>
      <c r="G789" s="3" t="inlineStr">
        <is>
          <t>Returning</t>
        </is>
      </c>
      <c r="H789" s="3" t="n">
        <v>2</v>
      </c>
      <c r="I789" s="8" t="n">
        <v>80</v>
      </c>
      <c r="J789" s="8" t="n">
        <v>37.74</v>
      </c>
      <c r="K789" s="9" t="n">
        <v>0.05</v>
      </c>
      <c r="L789" s="8" t="n">
        <v>42.66</v>
      </c>
      <c r="M789" s="8">
        <f>H789*I789*(1-K789)</f>
        <v/>
      </c>
      <c r="N789" s="8">
        <f>H789*J789</f>
        <v/>
      </c>
      <c r="O789" s="8">
        <f>M789-N789-L789</f>
        <v/>
      </c>
      <c r="P789" s="10">
        <f>IFERROR(O789/M789,0)</f>
        <v/>
      </c>
      <c r="Q789" s="3">
        <f>IF(H789&lt;=0,"Review: quantity &lt;= 0",IF(K789&gt;0.3,"Review: discount &gt; 30%",IF(G789="","Review: missing customer type","OK")))</f>
        <v/>
      </c>
    </row>
    <row r="790">
      <c r="A790" s="3" t="inlineStr">
        <is>
          <t>ORD-10789</t>
        </is>
      </c>
      <c r="B790" s="7" t="n">
        <v>45723</v>
      </c>
      <c r="C790" s="3" t="inlineStr">
        <is>
          <t>Accessories</t>
        </is>
      </c>
      <c r="D790" s="3" t="inlineStr">
        <is>
          <t>Watches</t>
        </is>
      </c>
      <c r="E790" s="3" t="inlineStr">
        <is>
          <t>Greater Accra</t>
        </is>
      </c>
      <c r="F790" s="3" t="inlineStr">
        <is>
          <t>Phone/WhatsApp</t>
        </is>
      </c>
      <c r="G790" s="3" t="inlineStr">
        <is>
          <t>New</t>
        </is>
      </c>
      <c r="H790" s="3" t="n">
        <v>1</v>
      </c>
      <c r="I790" s="8" t="n">
        <v>60</v>
      </c>
      <c r="J790" s="8" t="n">
        <v>30.64</v>
      </c>
      <c r="K790" s="9" t="n">
        <v>0</v>
      </c>
      <c r="L790" s="8" t="n">
        <v>17.65</v>
      </c>
      <c r="M790" s="8">
        <f>H790*I790*(1-K790)</f>
        <v/>
      </c>
      <c r="N790" s="8">
        <f>H790*J790</f>
        <v/>
      </c>
      <c r="O790" s="8">
        <f>M790-N790-L790</f>
        <v/>
      </c>
      <c r="P790" s="10">
        <f>IFERROR(O790/M790,0)</f>
        <v/>
      </c>
      <c r="Q790" s="3">
        <f>IF(H790&lt;=0,"Review: quantity &lt;= 0",IF(K790&gt;0.3,"Review: discount &gt; 30%",IF(G790="","Review: missing customer type","OK")))</f>
        <v/>
      </c>
    </row>
    <row r="791">
      <c r="A791" s="3" t="inlineStr">
        <is>
          <t>ORD-10790</t>
        </is>
      </c>
      <c r="B791" s="7" t="n">
        <v>45823</v>
      </c>
      <c r="C791" s="3" t="inlineStr">
        <is>
          <t>Accessories</t>
        </is>
      </c>
      <c r="D791" s="3" t="inlineStr">
        <is>
          <t>Bags</t>
        </is>
      </c>
      <c r="E791" s="3" t="inlineStr">
        <is>
          <t>Greater Accra</t>
        </is>
      </c>
      <c r="F791" s="3" t="inlineStr">
        <is>
          <t>Retail Shop</t>
        </is>
      </c>
      <c r="G791" s="3" t="inlineStr">
        <is>
          <t>Returning</t>
        </is>
      </c>
      <c r="H791" s="3" t="n">
        <v>3</v>
      </c>
      <c r="I791" s="8" t="n">
        <v>70</v>
      </c>
      <c r="J791" s="8" t="n">
        <v>34.51</v>
      </c>
      <c r="K791" s="9" t="n">
        <v>0</v>
      </c>
      <c r="L791" s="8" t="n">
        <v>8.58</v>
      </c>
      <c r="M791" s="8">
        <f>H791*I791*(1-K791)</f>
        <v/>
      </c>
      <c r="N791" s="8">
        <f>H791*J791</f>
        <v/>
      </c>
      <c r="O791" s="8">
        <f>M791-N791-L791</f>
        <v/>
      </c>
      <c r="P791" s="10">
        <f>IFERROR(O791/M791,0)</f>
        <v/>
      </c>
      <c r="Q791" s="3">
        <f>IF(H791&lt;=0,"Review: quantity &lt;= 0",IF(K791&gt;0.3,"Review: discount &gt; 30%",IF(G791="","Review: missing customer type","OK")))</f>
        <v/>
      </c>
    </row>
    <row r="792">
      <c r="A792" s="3" t="inlineStr">
        <is>
          <t>ORD-10791</t>
        </is>
      </c>
      <c r="B792" s="7" t="n">
        <v>45881</v>
      </c>
      <c r="C792" s="3" t="inlineStr">
        <is>
          <t>Home &amp; Lifestyle</t>
        </is>
      </c>
      <c r="D792" s="3" t="inlineStr">
        <is>
          <t>Small Home Goods</t>
        </is>
      </c>
      <c r="E792" s="3" t="inlineStr">
        <is>
          <t>Greater Accra</t>
        </is>
      </c>
      <c r="F792" s="3" t="inlineStr">
        <is>
          <t>Phone/WhatsApp</t>
        </is>
      </c>
      <c r="G792" s="3" t="inlineStr">
        <is>
          <t>Returning</t>
        </is>
      </c>
      <c r="H792" s="3" t="n">
        <v>2</v>
      </c>
      <c r="I792" s="8" t="n">
        <v>170</v>
      </c>
      <c r="J792" s="8" t="n">
        <v>89.40000000000001</v>
      </c>
      <c r="K792" s="9" t="n">
        <v>0.1</v>
      </c>
      <c r="L792" s="8" t="n">
        <v>40.53</v>
      </c>
      <c r="M792" s="8">
        <f>H792*I792*(1-K792)</f>
        <v/>
      </c>
      <c r="N792" s="8">
        <f>H792*J792</f>
        <v/>
      </c>
      <c r="O792" s="8">
        <f>M792-N792-L792</f>
        <v/>
      </c>
      <c r="P792" s="10">
        <f>IFERROR(O792/M792,0)</f>
        <v/>
      </c>
      <c r="Q792" s="3">
        <f>IF(H792&lt;=0,"Review: quantity &lt;= 0",IF(K792&gt;0.3,"Review: discount &gt; 30%",IF(G792="","Review: missing customer type","OK")))</f>
        <v/>
      </c>
    </row>
    <row r="793">
      <c r="A793" s="3" t="inlineStr">
        <is>
          <t>ORD-10792</t>
        </is>
      </c>
      <c r="B793" s="7" t="n">
        <v>45907</v>
      </c>
      <c r="C793" s="3" t="inlineStr">
        <is>
          <t>Footwear</t>
        </is>
      </c>
      <c r="D793" s="3" t="inlineStr">
        <is>
          <t>Sandals</t>
        </is>
      </c>
      <c r="E793" s="3" t="inlineStr">
        <is>
          <t>Greater Accra</t>
        </is>
      </c>
      <c r="F793" s="3" t="inlineStr">
        <is>
          <t>Online</t>
        </is>
      </c>
      <c r="G793" s="3" t="inlineStr">
        <is>
          <t>Returning</t>
        </is>
      </c>
      <c r="H793" s="3" t="n">
        <v>4</v>
      </c>
      <c r="I793" s="8" t="n">
        <v>240</v>
      </c>
      <c r="J793" s="8" t="n">
        <v>142.74</v>
      </c>
      <c r="K793" s="9" t="n">
        <v>0.1</v>
      </c>
      <c r="L793" s="8" t="n">
        <v>41.25</v>
      </c>
      <c r="M793" s="8">
        <f>H793*I793*(1-K793)</f>
        <v/>
      </c>
      <c r="N793" s="8">
        <f>H793*J793</f>
        <v/>
      </c>
      <c r="O793" s="8">
        <f>M793-N793-L793</f>
        <v/>
      </c>
      <c r="P793" s="10">
        <f>IFERROR(O793/M793,0)</f>
        <v/>
      </c>
      <c r="Q793" s="3">
        <f>IF(H793&lt;=0,"Review: quantity &lt;= 0",IF(K793&gt;0.3,"Review: discount &gt; 30%",IF(G793="","Review: missing customer type","OK")))</f>
        <v/>
      </c>
    </row>
    <row r="794">
      <c r="A794" s="3" t="inlineStr">
        <is>
          <t>ORD-10793</t>
        </is>
      </c>
      <c r="B794" s="7" t="n">
        <v>45930</v>
      </c>
      <c r="C794" s="3" t="inlineStr">
        <is>
          <t>Footwear</t>
        </is>
      </c>
      <c r="D794" s="3" t="inlineStr">
        <is>
          <t>Formal Shoes</t>
        </is>
      </c>
      <c r="E794" s="3" t="inlineStr">
        <is>
          <t>Central</t>
        </is>
      </c>
      <c r="F794" s="3" t="inlineStr">
        <is>
          <t>Online</t>
        </is>
      </c>
      <c r="G794" s="3" t="inlineStr">
        <is>
          <t>New</t>
        </is>
      </c>
      <c r="H794" s="3" t="n">
        <v>1</v>
      </c>
      <c r="I794" s="8" t="n">
        <v>245</v>
      </c>
      <c r="J794" s="8" t="n">
        <v>133.05</v>
      </c>
      <c r="K794" s="9" t="n">
        <v>0.05</v>
      </c>
      <c r="L794" s="8" t="n">
        <v>33.34</v>
      </c>
      <c r="M794" s="8">
        <f>H794*I794*(1-K794)</f>
        <v/>
      </c>
      <c r="N794" s="8">
        <f>H794*J794</f>
        <v/>
      </c>
      <c r="O794" s="8">
        <f>M794-N794-L794</f>
        <v/>
      </c>
      <c r="P794" s="10">
        <f>IFERROR(O794/M794,0)</f>
        <v/>
      </c>
      <c r="Q794" s="3">
        <f>IF(H794&lt;=0,"Review: quantity &lt;= 0",IF(K794&gt;0.3,"Review: discount &gt; 30%",IF(G794="","Review: missing customer type","OK")))</f>
        <v/>
      </c>
    </row>
    <row r="795">
      <c r="A795" s="3" t="inlineStr">
        <is>
          <t>ORD-10794</t>
        </is>
      </c>
      <c r="B795" s="7" t="n">
        <v>45912</v>
      </c>
      <c r="C795" s="3" t="inlineStr">
        <is>
          <t>Footwear</t>
        </is>
      </c>
      <c r="D795" s="3" t="inlineStr">
        <is>
          <t>Sandals</t>
        </is>
      </c>
      <c r="E795" s="3" t="inlineStr">
        <is>
          <t>Ashanti</t>
        </is>
      </c>
      <c r="F795" s="3" t="inlineStr">
        <is>
          <t>Retail Shop</t>
        </is>
      </c>
      <c r="G795" s="3" t="inlineStr">
        <is>
          <t>Returning</t>
        </is>
      </c>
      <c r="H795" s="3" t="n">
        <v>3</v>
      </c>
      <c r="I795" s="8" t="n">
        <v>155</v>
      </c>
      <c r="J795" s="8" t="n">
        <v>92.91</v>
      </c>
      <c r="K795" s="9" t="n">
        <v>0</v>
      </c>
      <c r="L795" s="8" t="n">
        <v>1.44</v>
      </c>
      <c r="M795" s="8">
        <f>H795*I795*(1-K795)</f>
        <v/>
      </c>
      <c r="N795" s="8">
        <f>H795*J795</f>
        <v/>
      </c>
      <c r="O795" s="8">
        <f>M795-N795-L795</f>
        <v/>
      </c>
      <c r="P795" s="10">
        <f>IFERROR(O795/M795,0)</f>
        <v/>
      </c>
      <c r="Q795" s="3">
        <f>IF(H795&lt;=0,"Review: quantity &lt;= 0",IF(K795&gt;0.3,"Review: discount &gt; 30%",IF(G795="","Review: missing customer type","OK")))</f>
        <v/>
      </c>
    </row>
    <row r="796">
      <c r="A796" s="3" t="inlineStr">
        <is>
          <t>ORD-10795</t>
        </is>
      </c>
      <c r="B796" s="7" t="n">
        <v>45659</v>
      </c>
      <c r="C796" s="3" t="inlineStr">
        <is>
          <t>Clothing</t>
        </is>
      </c>
      <c r="D796" s="3" t="inlineStr">
        <is>
          <t>Trousers</t>
        </is>
      </c>
      <c r="E796" s="3" t="inlineStr">
        <is>
          <t>Greater Accra</t>
        </is>
      </c>
      <c r="F796" s="3" t="inlineStr">
        <is>
          <t>Retail Shop</t>
        </is>
      </c>
      <c r="G796" s="3" t="inlineStr">
        <is>
          <t>New</t>
        </is>
      </c>
      <c r="H796" s="3" t="n">
        <v>2</v>
      </c>
      <c r="I796" s="8" t="n">
        <v>135</v>
      </c>
      <c r="J796" s="8" t="n">
        <v>75.51000000000001</v>
      </c>
      <c r="K796" s="9" t="n">
        <v>0</v>
      </c>
      <c r="L796" s="8" t="n">
        <v>10.39</v>
      </c>
      <c r="M796" s="8">
        <f>H796*I796*(1-K796)</f>
        <v/>
      </c>
      <c r="N796" s="8">
        <f>H796*J796</f>
        <v/>
      </c>
      <c r="O796" s="8">
        <f>M796-N796-L796</f>
        <v/>
      </c>
      <c r="P796" s="10">
        <f>IFERROR(O796/M796,0)</f>
        <v/>
      </c>
      <c r="Q796" s="3">
        <f>IF(H796&lt;=0,"Review: quantity &lt;= 0",IF(K796&gt;0.3,"Review: discount &gt; 30%",IF(G796="","Review: missing customer type","OK")))</f>
        <v/>
      </c>
    </row>
    <row r="797">
      <c r="A797" s="3" t="inlineStr">
        <is>
          <t>ORD-10796</t>
        </is>
      </c>
      <c r="B797" s="7" t="n">
        <v>45846</v>
      </c>
      <c r="C797" s="3" t="inlineStr">
        <is>
          <t>Accessories</t>
        </is>
      </c>
      <c r="D797" s="3" t="inlineStr">
        <is>
          <t>Sunglasses</t>
        </is>
      </c>
      <c r="E797" s="3" t="inlineStr">
        <is>
          <t>Greater Accra</t>
        </is>
      </c>
      <c r="F797" s="3" t="inlineStr">
        <is>
          <t>Retail Shop</t>
        </is>
      </c>
      <c r="G797" s="3" t="inlineStr">
        <is>
          <t>New</t>
        </is>
      </c>
      <c r="H797" s="3" t="n">
        <v>2</v>
      </c>
      <c r="I797" s="8" t="n">
        <v>105</v>
      </c>
      <c r="J797" s="8" t="n">
        <v>53.96</v>
      </c>
      <c r="K797" s="9" t="n">
        <v>0</v>
      </c>
      <c r="L797" s="8" t="n">
        <v>10.19</v>
      </c>
      <c r="M797" s="8">
        <f>H797*I797*(1-K797)</f>
        <v/>
      </c>
      <c r="N797" s="8">
        <f>H797*J797</f>
        <v/>
      </c>
      <c r="O797" s="8">
        <f>M797-N797-L797</f>
        <v/>
      </c>
      <c r="P797" s="10">
        <f>IFERROR(O797/M797,0)</f>
        <v/>
      </c>
      <c r="Q797" s="3">
        <f>IF(H797&lt;=0,"Review: quantity &lt;= 0",IF(K797&gt;0.3,"Review: discount &gt; 30%",IF(G797="","Review: missing customer type","OK")))</f>
        <v/>
      </c>
    </row>
    <row r="798">
      <c r="A798" s="3" t="inlineStr">
        <is>
          <t>ORD-10797</t>
        </is>
      </c>
      <c r="B798" s="7" t="n">
        <v>45926</v>
      </c>
      <c r="C798" s="3" t="inlineStr">
        <is>
          <t>Home &amp; Lifestyle</t>
        </is>
      </c>
      <c r="D798" s="3" t="inlineStr">
        <is>
          <t>Wallets</t>
        </is>
      </c>
      <c r="E798" s="3" t="inlineStr">
        <is>
          <t>Ashanti</t>
        </is>
      </c>
      <c r="F798" s="3" t="inlineStr">
        <is>
          <t>Retail Shop</t>
        </is>
      </c>
      <c r="G798" s="3" t="inlineStr">
        <is>
          <t>New</t>
        </is>
      </c>
      <c r="H798" s="3" t="n">
        <v>5</v>
      </c>
      <c r="I798" s="8" t="n">
        <v>120</v>
      </c>
      <c r="J798" s="8" t="n">
        <v>73.56</v>
      </c>
      <c r="K798" s="9" t="n">
        <v>0.1</v>
      </c>
      <c r="L798" s="8" t="n">
        <v>3.7</v>
      </c>
      <c r="M798" s="8">
        <f>H798*I798*(1-K798)</f>
        <v/>
      </c>
      <c r="N798" s="8">
        <f>H798*J798</f>
        <v/>
      </c>
      <c r="O798" s="8">
        <f>M798-N798-L798</f>
        <v/>
      </c>
      <c r="P798" s="10">
        <f>IFERROR(O798/M798,0)</f>
        <v/>
      </c>
      <c r="Q798" s="3">
        <f>IF(H798&lt;=0,"Review: quantity &lt;= 0",IF(K798&gt;0.3,"Review: discount &gt; 30%",IF(G798="","Review: missing customer type","OK")))</f>
        <v/>
      </c>
    </row>
    <row r="799">
      <c r="A799" s="3" t="inlineStr">
        <is>
          <t>ORD-10798</t>
        </is>
      </c>
      <c r="B799" s="7" t="n">
        <v>45870</v>
      </c>
      <c r="C799" s="3" t="inlineStr">
        <is>
          <t>Footwear</t>
        </is>
      </c>
      <c r="D799" s="3" t="inlineStr">
        <is>
          <t>Boots</t>
        </is>
      </c>
      <c r="E799" s="3" t="inlineStr">
        <is>
          <t>Central</t>
        </is>
      </c>
      <c r="F799" s="3" t="inlineStr">
        <is>
          <t>Online</t>
        </is>
      </c>
      <c r="G799" s="3" t="inlineStr">
        <is>
          <t>New</t>
        </is>
      </c>
      <c r="H799" s="3" t="n">
        <v>1</v>
      </c>
      <c r="I799" s="8" t="n">
        <v>215</v>
      </c>
      <c r="J799" s="8" t="n">
        <v>118.4</v>
      </c>
      <c r="K799" s="9" t="n">
        <v>0</v>
      </c>
      <c r="L799" s="8" t="n">
        <v>11.75</v>
      </c>
      <c r="M799" s="8">
        <f>H799*I799*(1-K799)</f>
        <v/>
      </c>
      <c r="N799" s="8">
        <f>H799*J799</f>
        <v/>
      </c>
      <c r="O799" s="8">
        <f>M799-N799-L799</f>
        <v/>
      </c>
      <c r="P799" s="10">
        <f>IFERROR(O799/M799,0)</f>
        <v/>
      </c>
      <c r="Q799" s="3">
        <f>IF(H799&lt;=0,"Review: quantity &lt;= 0",IF(K799&gt;0.3,"Review: discount &gt; 30%",IF(G799="","Review: missing customer type","OK")))</f>
        <v/>
      </c>
    </row>
    <row r="800">
      <c r="A800" s="3" t="inlineStr">
        <is>
          <t>ORD-10799</t>
        </is>
      </c>
      <c r="B800" s="7" t="n">
        <v>46005</v>
      </c>
      <c r="C800" s="3" t="inlineStr">
        <is>
          <t>Accessories</t>
        </is>
      </c>
      <c r="D800" s="3" t="inlineStr">
        <is>
          <t>Sunglasses</t>
        </is>
      </c>
      <c r="E800" s="3" t="inlineStr">
        <is>
          <t>Greater Accra</t>
        </is>
      </c>
      <c r="F800" s="3" t="inlineStr">
        <is>
          <t>Online</t>
        </is>
      </c>
      <c r="G800" s="3" t="inlineStr">
        <is>
          <t>New</t>
        </is>
      </c>
      <c r="H800" s="3" t="n">
        <v>1</v>
      </c>
      <c r="I800" s="8" t="n">
        <v>90</v>
      </c>
      <c r="J800" s="8" t="n">
        <v>45.71</v>
      </c>
      <c r="K800" s="9" t="n">
        <v>0.05</v>
      </c>
      <c r="L800" s="8" t="n">
        <v>24.04</v>
      </c>
      <c r="M800" s="8">
        <f>H800*I800*(1-K800)</f>
        <v/>
      </c>
      <c r="N800" s="8">
        <f>H800*J800</f>
        <v/>
      </c>
      <c r="O800" s="8">
        <f>M800-N800-L800</f>
        <v/>
      </c>
      <c r="P800" s="10">
        <f>IFERROR(O800/M800,0)</f>
        <v/>
      </c>
      <c r="Q800" s="3">
        <f>IF(H800&lt;=0,"Review: quantity &lt;= 0",IF(K800&gt;0.3,"Review: discount &gt; 30%",IF(G800="","Review: missing customer type","OK")))</f>
        <v/>
      </c>
    </row>
    <row r="801">
      <c r="A801" s="3" t="inlineStr">
        <is>
          <t>ORD-10800</t>
        </is>
      </c>
      <c r="B801" s="7" t="n">
        <v>45943</v>
      </c>
      <c r="C801" s="3" t="inlineStr">
        <is>
          <t>Footwear</t>
        </is>
      </c>
      <c r="D801" s="3" t="inlineStr">
        <is>
          <t>Boots</t>
        </is>
      </c>
      <c r="E801" s="3" t="inlineStr">
        <is>
          <t>Ashanti</t>
        </is>
      </c>
      <c r="F801" s="3" t="inlineStr">
        <is>
          <t>Retail Shop</t>
        </is>
      </c>
      <c r="G801" s="3" t="inlineStr">
        <is>
          <t>Returning</t>
        </is>
      </c>
      <c r="H801" s="3" t="n">
        <v>3</v>
      </c>
      <c r="I801" s="8" t="n">
        <v>235</v>
      </c>
      <c r="J801" s="8" t="n">
        <v>144.09</v>
      </c>
      <c r="K801" s="9" t="n">
        <v>0</v>
      </c>
      <c r="L801" s="8" t="n">
        <v>0.75</v>
      </c>
      <c r="M801" s="8">
        <f>H801*I801*(1-K801)</f>
        <v/>
      </c>
      <c r="N801" s="8">
        <f>H801*J801</f>
        <v/>
      </c>
      <c r="O801" s="8">
        <f>M801-N801-L801</f>
        <v/>
      </c>
      <c r="P801" s="10">
        <f>IFERROR(O801/M801,0)</f>
        <v/>
      </c>
      <c r="Q801" s="3">
        <f>IF(H801&lt;=0,"Review: quantity &lt;= 0",IF(K801&gt;0.3,"Review: discount &gt; 30%",IF(G801="","Review: missing customer type","OK")))</f>
        <v/>
      </c>
    </row>
    <row r="802">
      <c r="A802" s="3" t="inlineStr">
        <is>
          <t>ORD-10801</t>
        </is>
      </c>
      <c r="B802" s="7" t="n">
        <v>45805</v>
      </c>
      <c r="C802" s="3" t="inlineStr">
        <is>
          <t>Footwear</t>
        </is>
      </c>
      <c r="D802" s="3" t="inlineStr">
        <is>
          <t>Boots</t>
        </is>
      </c>
      <c r="E802" s="3" t="inlineStr">
        <is>
          <t>Greater Accra</t>
        </is>
      </c>
      <c r="F802" s="3" t="inlineStr">
        <is>
          <t>Phone/WhatsApp</t>
        </is>
      </c>
      <c r="G802" s="3" t="inlineStr">
        <is>
          <t>Returning</t>
        </is>
      </c>
      <c r="H802" s="3" t="n">
        <v>4</v>
      </c>
      <c r="I802" s="8" t="n">
        <v>180</v>
      </c>
      <c r="J802" s="8" t="n">
        <v>95.09</v>
      </c>
      <c r="K802" s="9" t="n">
        <v>0</v>
      </c>
      <c r="L802" s="8" t="n">
        <v>24.37</v>
      </c>
      <c r="M802" s="8">
        <f>H802*I802*(1-K802)</f>
        <v/>
      </c>
      <c r="N802" s="8">
        <f>H802*J802</f>
        <v/>
      </c>
      <c r="O802" s="8">
        <f>M802-N802-L802</f>
        <v/>
      </c>
      <c r="P802" s="10">
        <f>IFERROR(O802/M802,0)</f>
        <v/>
      </c>
      <c r="Q802" s="3">
        <f>IF(H802&lt;=0,"Review: quantity &lt;= 0",IF(K802&gt;0.3,"Review: discount &gt; 30%",IF(G802="","Review: missing customer type","OK")))</f>
        <v/>
      </c>
    </row>
    <row r="803">
      <c r="A803" s="3" t="inlineStr">
        <is>
          <t>ORD-10802</t>
        </is>
      </c>
      <c r="B803" s="7" t="n">
        <v>45739</v>
      </c>
      <c r="C803" s="3" t="inlineStr">
        <is>
          <t>Clothing</t>
        </is>
      </c>
      <c r="D803" s="3" t="inlineStr">
        <is>
          <t>Shirts</t>
        </is>
      </c>
      <c r="E803" s="3" t="inlineStr">
        <is>
          <t>Greater Accra</t>
        </is>
      </c>
      <c r="F803" s="3" t="inlineStr">
        <is>
          <t>Retail Shop</t>
        </is>
      </c>
      <c r="G803" s="3" t="inlineStr">
        <is>
          <t>New</t>
        </is>
      </c>
      <c r="H803" s="3" t="n">
        <v>2</v>
      </c>
      <c r="I803" s="8" t="n">
        <v>90</v>
      </c>
      <c r="J803" s="8" t="n">
        <v>47.38</v>
      </c>
      <c r="K803" s="9" t="n">
        <v>0</v>
      </c>
      <c r="L803" s="8" t="n">
        <v>1.08</v>
      </c>
      <c r="M803" s="8">
        <f>H803*I803*(1-K803)</f>
        <v/>
      </c>
      <c r="N803" s="8">
        <f>H803*J803</f>
        <v/>
      </c>
      <c r="O803" s="8">
        <f>M803-N803-L803</f>
        <v/>
      </c>
      <c r="P803" s="10">
        <f>IFERROR(O803/M803,0)</f>
        <v/>
      </c>
      <c r="Q803" s="3">
        <f>IF(H803&lt;=0,"Review: quantity &lt;= 0",IF(K803&gt;0.3,"Review: discount &gt; 30%",IF(G803="","Review: missing customer type","OK")))</f>
        <v/>
      </c>
    </row>
    <row r="804">
      <c r="A804" s="3" t="inlineStr">
        <is>
          <t>ORD-10803</t>
        </is>
      </c>
      <c r="B804" s="7" t="n">
        <v>45979</v>
      </c>
      <c r="C804" s="3" t="inlineStr">
        <is>
          <t>Clothing</t>
        </is>
      </c>
      <c r="D804" s="3" t="inlineStr">
        <is>
          <t>Trousers</t>
        </is>
      </c>
      <c r="E804" s="3" t="inlineStr">
        <is>
          <t>Greater Accra</t>
        </is>
      </c>
      <c r="F804" s="3" t="inlineStr">
        <is>
          <t>Retail Shop</t>
        </is>
      </c>
      <c r="G804" s="3" t="inlineStr">
        <is>
          <t>Returning</t>
        </is>
      </c>
      <c r="H804" s="3" t="n">
        <v>2</v>
      </c>
      <c r="I804" s="8" t="n">
        <v>190</v>
      </c>
      <c r="J804" s="8" t="n">
        <v>92.31999999999999</v>
      </c>
      <c r="K804" s="9" t="n">
        <v>0</v>
      </c>
      <c r="L804" s="8" t="n">
        <v>1.93</v>
      </c>
      <c r="M804" s="8">
        <f>H804*I804*(1-K804)</f>
        <v/>
      </c>
      <c r="N804" s="8">
        <f>H804*J804</f>
        <v/>
      </c>
      <c r="O804" s="8">
        <f>M804-N804-L804</f>
        <v/>
      </c>
      <c r="P804" s="10">
        <f>IFERROR(O804/M804,0)</f>
        <v/>
      </c>
      <c r="Q804" s="3">
        <f>IF(H804&lt;=0,"Review: quantity &lt;= 0",IF(K804&gt;0.3,"Review: discount &gt; 30%",IF(G804="","Review: missing customer type","OK")))</f>
        <v/>
      </c>
    </row>
    <row r="805">
      <c r="A805" s="3" t="inlineStr">
        <is>
          <t>ORD-10804</t>
        </is>
      </c>
      <c r="B805" s="7" t="n">
        <v>45947</v>
      </c>
      <c r="C805" s="3" t="inlineStr">
        <is>
          <t>Clothing</t>
        </is>
      </c>
      <c r="D805" s="3" t="inlineStr">
        <is>
          <t>Jackets</t>
        </is>
      </c>
      <c r="E805" s="3" t="inlineStr">
        <is>
          <t>Greater Accra</t>
        </is>
      </c>
      <c r="F805" s="3" t="inlineStr">
        <is>
          <t>Phone/WhatsApp</t>
        </is>
      </c>
      <c r="G805" s="3" t="inlineStr">
        <is>
          <t>Returning</t>
        </is>
      </c>
      <c r="H805" s="3" t="n">
        <v>3</v>
      </c>
      <c r="I805" s="8" t="n">
        <v>130</v>
      </c>
      <c r="J805" s="8" t="n">
        <v>65.84999999999999</v>
      </c>
      <c r="K805" s="9" t="n">
        <v>0.15</v>
      </c>
      <c r="L805" s="8" t="n">
        <v>39.54</v>
      </c>
      <c r="M805" s="8">
        <f>H805*I805*(1-K805)</f>
        <v/>
      </c>
      <c r="N805" s="8">
        <f>H805*J805</f>
        <v/>
      </c>
      <c r="O805" s="8">
        <f>M805-N805-L805</f>
        <v/>
      </c>
      <c r="P805" s="10">
        <f>IFERROR(O805/M805,0)</f>
        <v/>
      </c>
      <c r="Q805" s="3">
        <f>IF(H805&lt;=0,"Review: quantity &lt;= 0",IF(K805&gt;0.3,"Review: discount &gt; 30%",IF(G805="","Review: missing customer type","OK")))</f>
        <v/>
      </c>
    </row>
    <row r="806">
      <c r="A806" s="3" t="inlineStr">
        <is>
          <t>ORD-10805</t>
        </is>
      </c>
      <c r="B806" s="7" t="n">
        <v>46004</v>
      </c>
      <c r="C806" s="3" t="inlineStr">
        <is>
          <t>Accessories</t>
        </is>
      </c>
      <c r="D806" s="3" t="inlineStr">
        <is>
          <t>Sunglasses</t>
        </is>
      </c>
      <c r="E806" s="3" t="inlineStr">
        <is>
          <t>Greater Accra</t>
        </is>
      </c>
      <c r="F806" s="3" t="inlineStr">
        <is>
          <t>Retail Shop</t>
        </is>
      </c>
      <c r="G806" s="3" t="inlineStr">
        <is>
          <t>Returning</t>
        </is>
      </c>
      <c r="H806" s="3" t="n">
        <v>2</v>
      </c>
      <c r="I806" s="8" t="n">
        <v>80</v>
      </c>
      <c r="J806" s="8" t="n">
        <v>42.6</v>
      </c>
      <c r="K806" s="9" t="n">
        <v>0.1</v>
      </c>
      <c r="L806" s="8" t="n">
        <v>8.800000000000001</v>
      </c>
      <c r="M806" s="8">
        <f>H806*I806*(1-K806)</f>
        <v/>
      </c>
      <c r="N806" s="8">
        <f>H806*J806</f>
        <v/>
      </c>
      <c r="O806" s="8">
        <f>M806-N806-L806</f>
        <v/>
      </c>
      <c r="P806" s="10">
        <f>IFERROR(O806/M806,0)</f>
        <v/>
      </c>
      <c r="Q806" s="3">
        <f>IF(H806&lt;=0,"Review: quantity &lt;= 0",IF(K806&gt;0.3,"Review: discount &gt; 30%",IF(G806="","Review: missing customer type","OK")))</f>
        <v/>
      </c>
    </row>
    <row r="807">
      <c r="A807" s="3" t="inlineStr">
        <is>
          <t>ORD-10806</t>
        </is>
      </c>
      <c r="B807" s="7" t="n">
        <v>45943</v>
      </c>
      <c r="C807" s="3" t="inlineStr">
        <is>
          <t>Footwear</t>
        </is>
      </c>
      <c r="D807" s="3" t="inlineStr">
        <is>
          <t>Sandals</t>
        </is>
      </c>
      <c r="E807" s="3" t="inlineStr">
        <is>
          <t>Ashanti</t>
        </is>
      </c>
      <c r="F807" s="3" t="inlineStr">
        <is>
          <t>Online</t>
        </is>
      </c>
      <c r="G807" s="3" t="inlineStr">
        <is>
          <t>Returning</t>
        </is>
      </c>
      <c r="H807" s="3" t="n">
        <v>4</v>
      </c>
      <c r="I807" s="8" t="n">
        <v>335</v>
      </c>
      <c r="J807" s="8" t="n">
        <v>194.2</v>
      </c>
      <c r="K807" s="9" t="n">
        <v>0.1</v>
      </c>
      <c r="L807" s="8" t="n">
        <v>9.039999999999999</v>
      </c>
      <c r="M807" s="8">
        <f>H807*I807*(1-K807)</f>
        <v/>
      </c>
      <c r="N807" s="8">
        <f>H807*J807</f>
        <v/>
      </c>
      <c r="O807" s="8">
        <f>M807-N807-L807</f>
        <v/>
      </c>
      <c r="P807" s="10">
        <f>IFERROR(O807/M807,0)</f>
        <v/>
      </c>
      <c r="Q807" s="3">
        <f>IF(H807&lt;=0,"Review: quantity &lt;= 0",IF(K807&gt;0.3,"Review: discount &gt; 30%",IF(G807="","Review: missing customer type","OK")))</f>
        <v/>
      </c>
    </row>
    <row r="808">
      <c r="A808" s="3" t="inlineStr">
        <is>
          <t>ORD-10807</t>
        </is>
      </c>
      <c r="B808" s="7" t="n">
        <v>45971</v>
      </c>
      <c r="C808" s="3" t="inlineStr">
        <is>
          <t>Home &amp; Lifestyle</t>
        </is>
      </c>
      <c r="D808" s="3" t="inlineStr">
        <is>
          <t>Backpacks</t>
        </is>
      </c>
      <c r="E808" s="3" t="inlineStr">
        <is>
          <t>Greater Accra</t>
        </is>
      </c>
      <c r="F808" s="3" t="inlineStr">
        <is>
          <t>Retail Shop</t>
        </is>
      </c>
      <c r="G808" s="3" t="inlineStr">
        <is>
          <t>Returning</t>
        </is>
      </c>
      <c r="H808" s="3" t="n">
        <v>1</v>
      </c>
      <c r="I808" s="8" t="n">
        <v>185</v>
      </c>
      <c r="J808" s="8" t="n">
        <v>100.82</v>
      </c>
      <c r="K808" s="9" t="n">
        <v>0.1</v>
      </c>
      <c r="L808" s="8" t="n">
        <v>0.44</v>
      </c>
      <c r="M808" s="8">
        <f>H808*I808*(1-K808)</f>
        <v/>
      </c>
      <c r="N808" s="8">
        <f>H808*J808</f>
        <v/>
      </c>
      <c r="O808" s="8">
        <f>M808-N808-L808</f>
        <v/>
      </c>
      <c r="P808" s="10">
        <f>IFERROR(O808/M808,0)</f>
        <v/>
      </c>
      <c r="Q808" s="3">
        <f>IF(H808&lt;=0,"Review: quantity &lt;= 0",IF(K808&gt;0.3,"Review: discount &gt; 30%",IF(G808="","Review: missing customer type","OK")))</f>
        <v/>
      </c>
    </row>
    <row r="809">
      <c r="A809" s="3" t="inlineStr">
        <is>
          <t>ORD-10808</t>
        </is>
      </c>
      <c r="B809" s="7" t="n">
        <v>45669</v>
      </c>
      <c r="C809" s="3" t="inlineStr">
        <is>
          <t>Footwear</t>
        </is>
      </c>
      <c r="D809" s="3" t="inlineStr">
        <is>
          <t>Boots</t>
        </is>
      </c>
      <c r="E809" s="3" t="inlineStr">
        <is>
          <t>Greater Accra</t>
        </is>
      </c>
      <c r="F809" s="3" t="inlineStr">
        <is>
          <t>Retail Shop</t>
        </is>
      </c>
      <c r="G809" s="3" t="inlineStr">
        <is>
          <t>Returning</t>
        </is>
      </c>
      <c r="H809" s="3" t="n">
        <v>2</v>
      </c>
      <c r="I809" s="8" t="n">
        <v>490</v>
      </c>
      <c r="J809" s="8" t="n">
        <v>265.46</v>
      </c>
      <c r="K809" s="9" t="n">
        <v>0.05</v>
      </c>
      <c r="L809" s="8" t="n">
        <v>9.199999999999999</v>
      </c>
      <c r="M809" s="8">
        <f>H809*I809*(1-K809)</f>
        <v/>
      </c>
      <c r="N809" s="8">
        <f>H809*J809</f>
        <v/>
      </c>
      <c r="O809" s="8">
        <f>M809-N809-L809</f>
        <v/>
      </c>
      <c r="P809" s="10">
        <f>IFERROR(O809/M809,0)</f>
        <v/>
      </c>
      <c r="Q809" s="3">
        <f>IF(H809&lt;=0,"Review: quantity &lt;= 0",IF(K809&gt;0.3,"Review: discount &gt; 30%",IF(G809="","Review: missing customer type","OK")))</f>
        <v/>
      </c>
    </row>
    <row r="810">
      <c r="A810" s="3" t="inlineStr">
        <is>
          <t>ORD-10809</t>
        </is>
      </c>
      <c r="B810" s="7" t="n">
        <v>45846</v>
      </c>
      <c r="C810" s="3" t="inlineStr">
        <is>
          <t>Clothing</t>
        </is>
      </c>
      <c r="D810" s="3" t="inlineStr">
        <is>
          <t>Trousers</t>
        </is>
      </c>
      <c r="E810" s="3" t="inlineStr">
        <is>
          <t>Greater Accra</t>
        </is>
      </c>
      <c r="F810" s="3" t="inlineStr">
        <is>
          <t>Retail Shop</t>
        </is>
      </c>
      <c r="G810" s="3" t="inlineStr">
        <is>
          <t>Returning</t>
        </is>
      </c>
      <c r="H810" s="3" t="n">
        <v>4</v>
      </c>
      <c r="I810" s="8" t="n">
        <v>145</v>
      </c>
      <c r="J810" s="8" t="n">
        <v>78.02</v>
      </c>
      <c r="K810" s="9" t="n">
        <v>0.05</v>
      </c>
      <c r="L810" s="8" t="n">
        <v>1.78</v>
      </c>
      <c r="M810" s="8">
        <f>H810*I810*(1-K810)</f>
        <v/>
      </c>
      <c r="N810" s="8">
        <f>H810*J810</f>
        <v/>
      </c>
      <c r="O810" s="8">
        <f>M810-N810-L810</f>
        <v/>
      </c>
      <c r="P810" s="10">
        <f>IFERROR(O810/M810,0)</f>
        <v/>
      </c>
      <c r="Q810" s="3">
        <f>IF(H810&lt;=0,"Review: quantity &lt;= 0",IF(K810&gt;0.3,"Review: discount &gt; 30%",IF(G810="","Review: missing customer type","OK")))</f>
        <v/>
      </c>
    </row>
    <row r="811">
      <c r="A811" s="3" t="inlineStr">
        <is>
          <t>ORD-10810</t>
        </is>
      </c>
      <c r="B811" s="7" t="n">
        <v>45748</v>
      </c>
      <c r="C811" s="3" t="inlineStr">
        <is>
          <t>Clothing</t>
        </is>
      </c>
      <c r="D811" s="3" t="inlineStr">
        <is>
          <t>Trousers</t>
        </is>
      </c>
      <c r="E811" s="3" t="inlineStr">
        <is>
          <t>Greater Accra</t>
        </is>
      </c>
      <c r="F811" s="3" t="inlineStr">
        <is>
          <t>Retail Shop</t>
        </is>
      </c>
      <c r="G811" s="3" t="inlineStr">
        <is>
          <t>Returning</t>
        </is>
      </c>
      <c r="H811" s="3" t="n">
        <v>6</v>
      </c>
      <c r="I811" s="8" t="n">
        <v>185</v>
      </c>
      <c r="J811" s="8" t="n">
        <v>85.09</v>
      </c>
      <c r="K811" s="9" t="n">
        <v>0.15</v>
      </c>
      <c r="L811" s="8" t="n">
        <v>4.18</v>
      </c>
      <c r="M811" s="8">
        <f>H811*I811*(1-K811)</f>
        <v/>
      </c>
      <c r="N811" s="8">
        <f>H811*J811</f>
        <v/>
      </c>
      <c r="O811" s="8">
        <f>M811-N811-L811</f>
        <v/>
      </c>
      <c r="P811" s="10">
        <f>IFERROR(O811/M811,0)</f>
        <v/>
      </c>
      <c r="Q811" s="3">
        <f>IF(H811&lt;=0,"Review: quantity &lt;= 0",IF(K811&gt;0.3,"Review: discount &gt; 30%",IF(G811="","Review: missing customer type","OK")))</f>
        <v/>
      </c>
    </row>
    <row r="812">
      <c r="A812" s="3" t="inlineStr">
        <is>
          <t>ORD-10811</t>
        </is>
      </c>
      <c r="B812" s="7" t="n">
        <v>45750</v>
      </c>
      <c r="C812" s="3" t="inlineStr">
        <is>
          <t>Home &amp; Lifestyle</t>
        </is>
      </c>
      <c r="D812" s="3" t="inlineStr">
        <is>
          <t>Backpacks</t>
        </is>
      </c>
      <c r="E812" s="3" t="inlineStr">
        <is>
          <t>Greater Accra</t>
        </is>
      </c>
      <c r="F812" s="3" t="inlineStr">
        <is>
          <t>Retail Shop</t>
        </is>
      </c>
      <c r="G812" s="3" t="inlineStr">
        <is>
          <t>Returning</t>
        </is>
      </c>
      <c r="H812" s="3" t="n">
        <v>1</v>
      </c>
      <c r="I812" s="8" t="n">
        <v>80</v>
      </c>
      <c r="J812" s="8" t="n">
        <v>43.68</v>
      </c>
      <c r="K812" s="9" t="n">
        <v>0.05</v>
      </c>
      <c r="L812" s="8" t="n">
        <v>1.29</v>
      </c>
      <c r="M812" s="8">
        <f>H812*I812*(1-K812)</f>
        <v/>
      </c>
      <c r="N812" s="8">
        <f>H812*J812</f>
        <v/>
      </c>
      <c r="O812" s="8">
        <f>M812-N812-L812</f>
        <v/>
      </c>
      <c r="P812" s="10">
        <f>IFERROR(O812/M812,0)</f>
        <v/>
      </c>
      <c r="Q812" s="3">
        <f>IF(H812&lt;=0,"Review: quantity &lt;= 0",IF(K812&gt;0.3,"Review: discount &gt; 30%",IF(G812="","Review: missing customer type","OK")))</f>
        <v/>
      </c>
    </row>
    <row r="813">
      <c r="A813" s="3" t="inlineStr">
        <is>
          <t>ORD-10812</t>
        </is>
      </c>
      <c r="B813" s="7" t="n">
        <v>45960</v>
      </c>
      <c r="C813" s="3" t="inlineStr">
        <is>
          <t>Footwear</t>
        </is>
      </c>
      <c r="D813" s="3" t="inlineStr">
        <is>
          <t>Formal Shoes</t>
        </is>
      </c>
      <c r="E813" s="3" t="inlineStr">
        <is>
          <t>Western</t>
        </is>
      </c>
      <c r="F813" s="3" t="inlineStr">
        <is>
          <t>Retail Shop</t>
        </is>
      </c>
      <c r="G813" s="3" t="inlineStr">
        <is>
          <t>New</t>
        </is>
      </c>
      <c r="H813" s="3" t="n">
        <v>4</v>
      </c>
      <c r="I813" s="8" t="n">
        <v>595</v>
      </c>
      <c r="J813" s="8" t="n">
        <v>357.39</v>
      </c>
      <c r="K813" s="9" t="n">
        <v>0.1</v>
      </c>
      <c r="L813" s="8" t="n">
        <v>2.68</v>
      </c>
      <c r="M813" s="8">
        <f>H813*I813*(1-K813)</f>
        <v/>
      </c>
      <c r="N813" s="8">
        <f>H813*J813</f>
        <v/>
      </c>
      <c r="O813" s="8">
        <f>M813-N813-L813</f>
        <v/>
      </c>
      <c r="P813" s="10">
        <f>IFERROR(O813/M813,0)</f>
        <v/>
      </c>
      <c r="Q813" s="3">
        <f>IF(H813&lt;=0,"Review: quantity &lt;= 0",IF(K813&gt;0.3,"Review: discount &gt; 30%",IF(G813="","Review: missing customer type","OK")))</f>
        <v/>
      </c>
    </row>
    <row r="814">
      <c r="A814" s="3" t="inlineStr">
        <is>
          <t>ORD-10813</t>
        </is>
      </c>
      <c r="B814" s="7" t="n">
        <v>45839</v>
      </c>
      <c r="C814" s="3" t="inlineStr">
        <is>
          <t>Accessories</t>
        </is>
      </c>
      <c r="D814" s="3" t="inlineStr">
        <is>
          <t>Belts</t>
        </is>
      </c>
      <c r="E814" s="3" t="inlineStr">
        <is>
          <t>Greater Accra</t>
        </is>
      </c>
      <c r="F814" s="3" t="inlineStr">
        <is>
          <t>Retail Shop</t>
        </is>
      </c>
      <c r="G814" s="3" t="inlineStr">
        <is>
          <t>Returning</t>
        </is>
      </c>
      <c r="H814" s="3" t="n">
        <v>2</v>
      </c>
      <c r="I814" s="8" t="n">
        <v>50</v>
      </c>
      <c r="J814" s="8" t="n">
        <v>26.44</v>
      </c>
      <c r="K814" s="9" t="n">
        <v>0.2</v>
      </c>
      <c r="L814" s="8" t="n">
        <v>4.21</v>
      </c>
      <c r="M814" s="8">
        <f>H814*I814*(1-K814)</f>
        <v/>
      </c>
      <c r="N814" s="8">
        <f>H814*J814</f>
        <v/>
      </c>
      <c r="O814" s="8">
        <f>M814-N814-L814</f>
        <v/>
      </c>
      <c r="P814" s="10">
        <f>IFERROR(O814/M814,0)</f>
        <v/>
      </c>
      <c r="Q814" s="3">
        <f>IF(H814&lt;=0,"Review: quantity &lt;= 0",IF(K814&gt;0.3,"Review: discount &gt; 30%",IF(G814="","Review: missing customer type","OK")))</f>
        <v/>
      </c>
    </row>
    <row r="815">
      <c r="A815" s="3" t="inlineStr">
        <is>
          <t>ORD-10814</t>
        </is>
      </c>
      <c r="B815" s="7" t="n">
        <v>46018</v>
      </c>
      <c r="C815" s="3" t="inlineStr">
        <is>
          <t>Accessories</t>
        </is>
      </c>
      <c r="D815" s="3" t="inlineStr">
        <is>
          <t>Bags</t>
        </is>
      </c>
      <c r="E815" s="3" t="inlineStr">
        <is>
          <t>Western</t>
        </is>
      </c>
      <c r="F815" s="3" t="inlineStr">
        <is>
          <t>Retail Shop</t>
        </is>
      </c>
      <c r="G815" s="3" t="inlineStr">
        <is>
          <t>New</t>
        </is>
      </c>
      <c r="H815" s="3" t="n">
        <v>8</v>
      </c>
      <c r="I815" s="8" t="n">
        <v>95</v>
      </c>
      <c r="J815" s="8" t="n">
        <v>41.6</v>
      </c>
      <c r="K815" s="9" t="n">
        <v>0</v>
      </c>
      <c r="L815" s="8" t="n">
        <v>0.52</v>
      </c>
      <c r="M815" s="8">
        <f>H815*I815*(1-K815)</f>
        <v/>
      </c>
      <c r="N815" s="8">
        <f>H815*J815</f>
        <v/>
      </c>
      <c r="O815" s="8">
        <f>M815-N815-L815</f>
        <v/>
      </c>
      <c r="P815" s="10">
        <f>IFERROR(O815/M815,0)</f>
        <v/>
      </c>
      <c r="Q815" s="3">
        <f>IF(H815&lt;=0,"Review: quantity &lt;= 0",IF(K815&gt;0.3,"Review: discount &gt; 30%",IF(G815="","Review: missing customer type","OK")))</f>
        <v/>
      </c>
    </row>
    <row r="816">
      <c r="A816" s="3" t="inlineStr">
        <is>
          <t>ORD-10815</t>
        </is>
      </c>
      <c r="B816" s="7" t="n">
        <v>45711</v>
      </c>
      <c r="C816" s="3" t="inlineStr">
        <is>
          <t>Footwear</t>
        </is>
      </c>
      <c r="D816" s="3" t="inlineStr">
        <is>
          <t>Boots</t>
        </is>
      </c>
      <c r="E816" s="3" t="inlineStr">
        <is>
          <t>Greater Accra</t>
        </is>
      </c>
      <c r="F816" s="3" t="inlineStr">
        <is>
          <t>Phone/WhatsApp</t>
        </is>
      </c>
      <c r="G816" s="3" t="inlineStr">
        <is>
          <t>New</t>
        </is>
      </c>
      <c r="H816" s="3" t="n">
        <v>2</v>
      </c>
      <c r="I816" s="8" t="n">
        <v>280</v>
      </c>
      <c r="J816" s="8" t="n">
        <v>161.56</v>
      </c>
      <c r="K816" s="9" t="n">
        <v>0.05</v>
      </c>
      <c r="L816" s="8" t="n">
        <v>10.34</v>
      </c>
      <c r="M816" s="8">
        <f>H816*I816*(1-K816)</f>
        <v/>
      </c>
      <c r="N816" s="8">
        <f>H816*J816</f>
        <v/>
      </c>
      <c r="O816" s="8">
        <f>M816-N816-L816</f>
        <v/>
      </c>
      <c r="P816" s="10">
        <f>IFERROR(O816/M816,0)</f>
        <v/>
      </c>
      <c r="Q816" s="3">
        <f>IF(H816&lt;=0,"Review: quantity &lt;= 0",IF(K816&gt;0.3,"Review: discount &gt; 30%",IF(G816="","Review: missing customer type","OK")))</f>
        <v/>
      </c>
    </row>
    <row r="817">
      <c r="A817" s="3" t="inlineStr">
        <is>
          <t>ORD-10816</t>
        </is>
      </c>
      <c r="B817" s="7" t="n">
        <v>45688</v>
      </c>
      <c r="C817" s="3" t="inlineStr">
        <is>
          <t>Home &amp; Lifestyle</t>
        </is>
      </c>
      <c r="D817" s="3" t="inlineStr">
        <is>
          <t>Wallets</t>
        </is>
      </c>
      <c r="E817" s="3" t="inlineStr">
        <is>
          <t>Central</t>
        </is>
      </c>
      <c r="F817" s="3" t="inlineStr">
        <is>
          <t>Retail Shop</t>
        </is>
      </c>
      <c r="G817" s="3" t="inlineStr">
        <is>
          <t>Returning</t>
        </is>
      </c>
      <c r="H817" s="3" t="n">
        <v>1</v>
      </c>
      <c r="I817" s="8" t="n">
        <v>85</v>
      </c>
      <c r="J817" s="8" t="n">
        <v>42.18</v>
      </c>
      <c r="K817" s="9" t="n">
        <v>0.1</v>
      </c>
      <c r="L817" s="8" t="n">
        <v>7.1</v>
      </c>
      <c r="M817" s="8">
        <f>H817*I817*(1-K817)</f>
        <v/>
      </c>
      <c r="N817" s="8">
        <f>H817*J817</f>
        <v/>
      </c>
      <c r="O817" s="8">
        <f>M817-N817-L817</f>
        <v/>
      </c>
      <c r="P817" s="10">
        <f>IFERROR(O817/M817,0)</f>
        <v/>
      </c>
      <c r="Q817" s="3">
        <f>IF(H817&lt;=0,"Review: quantity &lt;= 0",IF(K817&gt;0.3,"Review: discount &gt; 30%",IF(G817="","Review: missing customer type","OK")))</f>
        <v/>
      </c>
    </row>
    <row r="818">
      <c r="A818" s="3" t="inlineStr">
        <is>
          <t>ORD-10817</t>
        </is>
      </c>
      <c r="B818" s="7" t="n">
        <v>45750</v>
      </c>
      <c r="C818" s="3" t="inlineStr">
        <is>
          <t>Clothing</t>
        </is>
      </c>
      <c r="D818" s="3" t="inlineStr">
        <is>
          <t>Dresses</t>
        </is>
      </c>
      <c r="E818" s="3" t="inlineStr">
        <is>
          <t>Greater Accra</t>
        </is>
      </c>
      <c r="F818" s="3" t="inlineStr">
        <is>
          <t>Online</t>
        </is>
      </c>
      <c r="G818" s="3" t="inlineStr">
        <is>
          <t>Returning</t>
        </is>
      </c>
      <c r="H818" s="3" t="n">
        <v>4</v>
      </c>
      <c r="I818" s="8" t="n">
        <v>145</v>
      </c>
      <c r="J818" s="8" t="n">
        <v>66.62</v>
      </c>
      <c r="K818" s="9" t="n">
        <v>0.2</v>
      </c>
      <c r="L818" s="8" t="n">
        <v>12.93</v>
      </c>
      <c r="M818" s="8">
        <f>H818*I818*(1-K818)</f>
        <v/>
      </c>
      <c r="N818" s="8">
        <f>H818*J818</f>
        <v/>
      </c>
      <c r="O818" s="8">
        <f>M818-N818-L818</f>
        <v/>
      </c>
      <c r="P818" s="10">
        <f>IFERROR(O818/M818,0)</f>
        <v/>
      </c>
      <c r="Q818" s="3">
        <f>IF(H818&lt;=0,"Review: quantity &lt;= 0",IF(K818&gt;0.3,"Review: discount &gt; 30%",IF(G818="","Review: missing customer type","OK")))</f>
        <v/>
      </c>
    </row>
    <row r="819">
      <c r="A819" s="3" t="inlineStr">
        <is>
          <t>ORD-10818</t>
        </is>
      </c>
      <c r="B819" s="7" t="n">
        <v>45785</v>
      </c>
      <c r="C819" s="3" t="inlineStr">
        <is>
          <t>Accessories</t>
        </is>
      </c>
      <c r="D819" s="3" t="inlineStr">
        <is>
          <t>Bags</t>
        </is>
      </c>
      <c r="E819" s="3" t="inlineStr">
        <is>
          <t>Greater Accra</t>
        </is>
      </c>
      <c r="F819" s="3" t="inlineStr">
        <is>
          <t>Retail Shop</t>
        </is>
      </c>
      <c r="G819" s="3" t="inlineStr">
        <is>
          <t>New</t>
        </is>
      </c>
      <c r="H819" s="3" t="n">
        <v>2</v>
      </c>
      <c r="I819" s="8" t="n">
        <v>40</v>
      </c>
      <c r="J819" s="8" t="n">
        <v>20.81</v>
      </c>
      <c r="K819" s="9" t="n">
        <v>0.05</v>
      </c>
      <c r="L819" s="8" t="n">
        <v>4.58</v>
      </c>
      <c r="M819" s="8">
        <f>H819*I819*(1-K819)</f>
        <v/>
      </c>
      <c r="N819" s="8">
        <f>H819*J819</f>
        <v/>
      </c>
      <c r="O819" s="8">
        <f>M819-N819-L819</f>
        <v/>
      </c>
      <c r="P819" s="10">
        <f>IFERROR(O819/M819,0)</f>
        <v/>
      </c>
      <c r="Q819" s="3">
        <f>IF(H819&lt;=0,"Review: quantity &lt;= 0",IF(K819&gt;0.3,"Review: discount &gt; 30%",IF(G819="","Review: missing customer type","OK")))</f>
        <v/>
      </c>
    </row>
    <row r="820">
      <c r="A820" s="3" t="inlineStr">
        <is>
          <t>ORD-10819</t>
        </is>
      </c>
      <c r="B820" s="7" t="n">
        <v>45808</v>
      </c>
      <c r="C820" s="3" t="inlineStr">
        <is>
          <t>Footwear</t>
        </is>
      </c>
      <c r="D820" s="3" t="inlineStr">
        <is>
          <t>Sandals</t>
        </is>
      </c>
      <c r="E820" s="3" t="inlineStr">
        <is>
          <t>Greater Accra</t>
        </is>
      </c>
      <c r="F820" s="3" t="inlineStr">
        <is>
          <t>Online</t>
        </is>
      </c>
      <c r="G820" s="3" t="inlineStr">
        <is>
          <t>Returning</t>
        </is>
      </c>
      <c r="H820" s="3" t="n">
        <v>3</v>
      </c>
      <c r="I820" s="8" t="n">
        <v>320</v>
      </c>
      <c r="J820" s="8" t="n">
        <v>181.32</v>
      </c>
      <c r="K820" s="9" t="n">
        <v>0</v>
      </c>
      <c r="L820" s="8" t="n">
        <v>12.6</v>
      </c>
      <c r="M820" s="8">
        <f>H820*I820*(1-K820)</f>
        <v/>
      </c>
      <c r="N820" s="8">
        <f>H820*J820</f>
        <v/>
      </c>
      <c r="O820" s="8">
        <f>M820-N820-L820</f>
        <v/>
      </c>
      <c r="P820" s="10">
        <f>IFERROR(O820/M820,0)</f>
        <v/>
      </c>
      <c r="Q820" s="3">
        <f>IF(H820&lt;=0,"Review: quantity &lt;= 0",IF(K820&gt;0.3,"Review: discount &gt; 30%",IF(G820="","Review: missing customer type","OK")))</f>
        <v/>
      </c>
    </row>
    <row r="821">
      <c r="A821" s="3" t="inlineStr">
        <is>
          <t>ORD-10820</t>
        </is>
      </c>
      <c r="B821" s="7" t="n">
        <v>45782</v>
      </c>
      <c r="C821" s="3" t="inlineStr">
        <is>
          <t>Footwear</t>
        </is>
      </c>
      <c r="D821" s="3" t="inlineStr">
        <is>
          <t>Sandals</t>
        </is>
      </c>
      <c r="E821" s="3" t="inlineStr">
        <is>
          <t>Greater Accra</t>
        </is>
      </c>
      <c r="F821" s="3" t="inlineStr">
        <is>
          <t>Retail Shop</t>
        </is>
      </c>
      <c r="G821" s="3" t="inlineStr">
        <is>
          <t>Returning</t>
        </is>
      </c>
      <c r="H821" s="3" t="n">
        <v>1</v>
      </c>
      <c r="I821" s="8" t="n">
        <v>400</v>
      </c>
      <c r="J821" s="8" t="n">
        <v>229.8</v>
      </c>
      <c r="K821" s="9" t="n">
        <v>0.2</v>
      </c>
      <c r="L821" s="8" t="n">
        <v>0.66</v>
      </c>
      <c r="M821" s="8">
        <f>H821*I821*(1-K821)</f>
        <v/>
      </c>
      <c r="N821" s="8">
        <f>H821*J821</f>
        <v/>
      </c>
      <c r="O821" s="8">
        <f>M821-N821-L821</f>
        <v/>
      </c>
      <c r="P821" s="10">
        <f>IFERROR(O821/M821,0)</f>
        <v/>
      </c>
      <c r="Q821" s="3">
        <f>IF(H821&lt;=0,"Review: quantity &lt;= 0",IF(K821&gt;0.3,"Review: discount &gt; 30%",IF(G821="","Review: missing customer type","OK")))</f>
        <v/>
      </c>
    </row>
    <row r="822">
      <c r="A822" s="3" t="inlineStr">
        <is>
          <t>ORD-10821</t>
        </is>
      </c>
      <c r="B822" s="7" t="n">
        <v>45677</v>
      </c>
      <c r="C822" s="3" t="inlineStr">
        <is>
          <t>Footwear</t>
        </is>
      </c>
      <c r="D822" s="3" t="inlineStr">
        <is>
          <t>Boots</t>
        </is>
      </c>
      <c r="E822" s="3" t="inlineStr">
        <is>
          <t>Western</t>
        </is>
      </c>
      <c r="F822" s="3" t="inlineStr">
        <is>
          <t>Retail Shop</t>
        </is>
      </c>
      <c r="G822" s="3" t="inlineStr">
        <is>
          <t>New</t>
        </is>
      </c>
      <c r="H822" s="3" t="n">
        <v>4</v>
      </c>
      <c r="I822" s="8" t="n">
        <v>180</v>
      </c>
      <c r="J822" s="8" t="n">
        <v>91.3</v>
      </c>
      <c r="K822" s="9" t="n">
        <v>0</v>
      </c>
      <c r="L822" s="8" t="n">
        <v>11.85</v>
      </c>
      <c r="M822" s="8">
        <f>H822*I822*(1-K822)</f>
        <v/>
      </c>
      <c r="N822" s="8">
        <f>H822*J822</f>
        <v/>
      </c>
      <c r="O822" s="8">
        <f>M822-N822-L822</f>
        <v/>
      </c>
      <c r="P822" s="10">
        <f>IFERROR(O822/M822,0)</f>
        <v/>
      </c>
      <c r="Q822" s="3">
        <f>IF(H822&lt;=0,"Review: quantity &lt;= 0",IF(K822&gt;0.3,"Review: discount &gt; 30%",IF(G822="","Review: missing customer type","OK")))</f>
        <v/>
      </c>
    </row>
    <row r="823">
      <c r="A823" s="3" t="inlineStr">
        <is>
          <t>ORD-10822</t>
        </is>
      </c>
      <c r="B823" s="7" t="n">
        <v>45758</v>
      </c>
      <c r="C823" s="3" t="inlineStr">
        <is>
          <t>Footwear</t>
        </is>
      </c>
      <c r="D823" s="3" t="inlineStr">
        <is>
          <t>Formal Shoes</t>
        </is>
      </c>
      <c r="E823" s="3" t="inlineStr">
        <is>
          <t>Northern</t>
        </is>
      </c>
      <c r="F823" s="3" t="inlineStr">
        <is>
          <t>Online</t>
        </is>
      </c>
      <c r="G823" s="3" t="inlineStr">
        <is>
          <t>Returning</t>
        </is>
      </c>
      <c r="H823" s="3" t="n">
        <v>2</v>
      </c>
      <c r="I823" s="8" t="n">
        <v>260</v>
      </c>
      <c r="J823" s="8" t="n">
        <v>140.93</v>
      </c>
      <c r="K823" s="9" t="n">
        <v>0</v>
      </c>
      <c r="L823" s="8" t="n">
        <v>13.06</v>
      </c>
      <c r="M823" s="8">
        <f>H823*I823*(1-K823)</f>
        <v/>
      </c>
      <c r="N823" s="8">
        <f>H823*J823</f>
        <v/>
      </c>
      <c r="O823" s="8">
        <f>M823-N823-L823</f>
        <v/>
      </c>
      <c r="P823" s="10">
        <f>IFERROR(O823/M823,0)</f>
        <v/>
      </c>
      <c r="Q823" s="3">
        <f>IF(H823&lt;=0,"Review: quantity &lt;= 0",IF(K823&gt;0.3,"Review: discount &gt; 30%",IF(G823="","Review: missing customer type","OK")))</f>
        <v/>
      </c>
    </row>
    <row r="824">
      <c r="A824" s="3" t="inlineStr">
        <is>
          <t>ORD-10823</t>
        </is>
      </c>
      <c r="B824" s="7" t="n">
        <v>45745</v>
      </c>
      <c r="C824" s="3" t="inlineStr">
        <is>
          <t>Home &amp; Lifestyle</t>
        </is>
      </c>
      <c r="D824" s="3" t="inlineStr">
        <is>
          <t>Travel Mugs</t>
        </is>
      </c>
      <c r="E824" s="3" t="inlineStr">
        <is>
          <t>Greater Accra</t>
        </is>
      </c>
      <c r="F824" s="3" t="inlineStr">
        <is>
          <t>Retail Shop</t>
        </is>
      </c>
      <c r="G824" s="3" t="inlineStr">
        <is>
          <t>Returning</t>
        </is>
      </c>
      <c r="H824" s="3" t="n">
        <v>1</v>
      </c>
      <c r="I824" s="8" t="n">
        <v>120</v>
      </c>
      <c r="J824" s="8" t="n">
        <v>60.65</v>
      </c>
      <c r="K824" s="9" t="n">
        <v>0.05</v>
      </c>
      <c r="L824" s="8" t="n">
        <v>0.66</v>
      </c>
      <c r="M824" s="8">
        <f>H824*I824*(1-K824)</f>
        <v/>
      </c>
      <c r="N824" s="8">
        <f>H824*J824</f>
        <v/>
      </c>
      <c r="O824" s="8">
        <f>M824-N824-L824</f>
        <v/>
      </c>
      <c r="P824" s="10">
        <f>IFERROR(O824/M824,0)</f>
        <v/>
      </c>
      <c r="Q824" s="3">
        <f>IF(H824&lt;=0,"Review: quantity &lt;= 0",IF(K824&gt;0.3,"Review: discount &gt; 30%",IF(G824="","Review: missing customer type","OK")))</f>
        <v/>
      </c>
    </row>
    <row r="825">
      <c r="A825" s="3" t="inlineStr">
        <is>
          <t>ORD-10824</t>
        </is>
      </c>
      <c r="B825" s="7" t="n">
        <v>45945</v>
      </c>
      <c r="C825" s="3" t="inlineStr">
        <is>
          <t>Footwear</t>
        </is>
      </c>
      <c r="D825" s="3" t="inlineStr">
        <is>
          <t>Sneakers</t>
        </is>
      </c>
      <c r="E825" s="3" t="inlineStr">
        <is>
          <t>Greater Accra</t>
        </is>
      </c>
      <c r="F825" s="3" t="inlineStr">
        <is>
          <t>Retail Shop</t>
        </is>
      </c>
      <c r="G825" s="3" t="inlineStr">
        <is>
          <t>Returning</t>
        </is>
      </c>
      <c r="H825" s="3" t="n">
        <v>2</v>
      </c>
      <c r="I825" s="8" t="n">
        <v>220</v>
      </c>
      <c r="J825" s="8" t="n">
        <v>125.52</v>
      </c>
      <c r="K825" s="9" t="n">
        <v>0.1</v>
      </c>
      <c r="L825" s="8" t="n">
        <v>8.07</v>
      </c>
      <c r="M825" s="8">
        <f>H825*I825*(1-K825)</f>
        <v/>
      </c>
      <c r="N825" s="8">
        <f>H825*J825</f>
        <v/>
      </c>
      <c r="O825" s="8">
        <f>M825-N825-L825</f>
        <v/>
      </c>
      <c r="P825" s="10">
        <f>IFERROR(O825/M825,0)</f>
        <v/>
      </c>
      <c r="Q825" s="3">
        <f>IF(H825&lt;=0,"Review: quantity &lt;= 0",IF(K825&gt;0.3,"Review: discount &gt; 30%",IF(G825="","Review: missing customer type","OK")))</f>
        <v/>
      </c>
    </row>
    <row r="826">
      <c r="A826" s="3" t="inlineStr">
        <is>
          <t>ORD-10825</t>
        </is>
      </c>
      <c r="B826" s="7" t="n">
        <v>45873</v>
      </c>
      <c r="C826" s="3" t="inlineStr">
        <is>
          <t>Clothing</t>
        </is>
      </c>
      <c r="D826" s="3" t="inlineStr">
        <is>
          <t>Shirts</t>
        </is>
      </c>
      <c r="E826" s="3" t="inlineStr">
        <is>
          <t>Northern</t>
        </is>
      </c>
      <c r="F826" s="3" t="inlineStr">
        <is>
          <t>Retail Shop</t>
        </is>
      </c>
      <c r="G826" s="3" t="inlineStr">
        <is>
          <t>New</t>
        </is>
      </c>
      <c r="H826" s="3" t="n">
        <v>1</v>
      </c>
      <c r="I826" s="8" t="n">
        <v>160</v>
      </c>
      <c r="J826" s="8" t="n">
        <v>79.95999999999999</v>
      </c>
      <c r="K826" s="9" t="n">
        <v>0.05</v>
      </c>
      <c r="L826" s="8" t="n">
        <v>9.949999999999999</v>
      </c>
      <c r="M826" s="8">
        <f>H826*I826*(1-K826)</f>
        <v/>
      </c>
      <c r="N826" s="8">
        <f>H826*J826</f>
        <v/>
      </c>
      <c r="O826" s="8">
        <f>M826-N826-L826</f>
        <v/>
      </c>
      <c r="P826" s="10">
        <f>IFERROR(O826/M826,0)</f>
        <v/>
      </c>
      <c r="Q826" s="3">
        <f>IF(H826&lt;=0,"Review: quantity &lt;= 0",IF(K826&gt;0.3,"Review: discount &gt; 30%",IF(G826="","Review: missing customer type","OK")))</f>
        <v/>
      </c>
    </row>
    <row r="827">
      <c r="A827" s="3" t="inlineStr">
        <is>
          <t>ORD-10826</t>
        </is>
      </c>
      <c r="B827" s="7" t="n">
        <v>45994</v>
      </c>
      <c r="C827" s="3" t="inlineStr">
        <is>
          <t>Footwear</t>
        </is>
      </c>
      <c r="D827" s="3" t="inlineStr">
        <is>
          <t>Sandals</t>
        </is>
      </c>
      <c r="E827" s="3" t="inlineStr">
        <is>
          <t>Western</t>
        </is>
      </c>
      <c r="F827" s="3" t="inlineStr">
        <is>
          <t>Phone/WhatsApp</t>
        </is>
      </c>
      <c r="G827" s="3" t="inlineStr">
        <is>
          <t>Returning</t>
        </is>
      </c>
      <c r="H827" s="3" t="n">
        <v>8</v>
      </c>
      <c r="I827" s="8" t="n">
        <v>395</v>
      </c>
      <c r="J827" s="8" t="n">
        <v>228.38</v>
      </c>
      <c r="K827" s="9" t="n">
        <v>0</v>
      </c>
      <c r="L827" s="8" t="n">
        <v>19.57</v>
      </c>
      <c r="M827" s="8">
        <f>H827*I827*(1-K827)</f>
        <v/>
      </c>
      <c r="N827" s="8">
        <f>H827*J827</f>
        <v/>
      </c>
      <c r="O827" s="8">
        <f>M827-N827-L827</f>
        <v/>
      </c>
      <c r="P827" s="10">
        <f>IFERROR(O827/M827,0)</f>
        <v/>
      </c>
      <c r="Q827" s="3">
        <f>IF(H827&lt;=0,"Review: quantity &lt;= 0",IF(K827&gt;0.3,"Review: discount &gt; 30%",IF(G827="","Review: missing customer type","OK")))</f>
        <v/>
      </c>
    </row>
    <row r="828">
      <c r="A828" s="3" t="inlineStr">
        <is>
          <t>ORD-10827</t>
        </is>
      </c>
      <c r="B828" s="7" t="n">
        <v>45913</v>
      </c>
      <c r="C828" s="3" t="inlineStr">
        <is>
          <t>Clothing</t>
        </is>
      </c>
      <c r="D828" s="3" t="inlineStr">
        <is>
          <t>Dresses</t>
        </is>
      </c>
      <c r="E828" s="3" t="inlineStr">
        <is>
          <t>Greater Accra</t>
        </is>
      </c>
      <c r="F828" s="3" t="inlineStr">
        <is>
          <t>Retail Shop</t>
        </is>
      </c>
      <c r="G828" s="3" t="inlineStr">
        <is>
          <t>Returning</t>
        </is>
      </c>
      <c r="H828" s="3" t="n">
        <v>1</v>
      </c>
      <c r="I828" s="8" t="n">
        <v>115</v>
      </c>
      <c r="J828" s="8" t="n">
        <v>64.3</v>
      </c>
      <c r="K828" s="9" t="n">
        <v>0.15</v>
      </c>
      <c r="L828" s="8" t="n">
        <v>11.24</v>
      </c>
      <c r="M828" s="8">
        <f>H828*I828*(1-K828)</f>
        <v/>
      </c>
      <c r="N828" s="8">
        <f>H828*J828</f>
        <v/>
      </c>
      <c r="O828" s="8">
        <f>M828-N828-L828</f>
        <v/>
      </c>
      <c r="P828" s="10">
        <f>IFERROR(O828/M828,0)</f>
        <v/>
      </c>
      <c r="Q828" s="3">
        <f>IF(H828&lt;=0,"Review: quantity &lt;= 0",IF(K828&gt;0.3,"Review: discount &gt; 30%",IF(G828="","Review: missing customer type","OK")))</f>
        <v/>
      </c>
    </row>
    <row r="829">
      <c r="A829" s="3" t="inlineStr">
        <is>
          <t>ORD-10828</t>
        </is>
      </c>
      <c r="B829" s="7" t="n">
        <v>45740</v>
      </c>
      <c r="C829" s="3" t="inlineStr">
        <is>
          <t>Clothing</t>
        </is>
      </c>
      <c r="D829" s="3" t="inlineStr">
        <is>
          <t>Dresses</t>
        </is>
      </c>
      <c r="E829" s="3" t="inlineStr">
        <is>
          <t>Ashanti</t>
        </is>
      </c>
      <c r="F829" s="3" t="inlineStr">
        <is>
          <t>Retail Shop</t>
        </is>
      </c>
      <c r="G829" s="3" t="inlineStr">
        <is>
          <t>New</t>
        </is>
      </c>
      <c r="H829" s="3" t="n">
        <v>2</v>
      </c>
      <c r="I829" s="8" t="n">
        <v>105</v>
      </c>
      <c r="J829" s="8" t="n">
        <v>48.28</v>
      </c>
      <c r="K829" s="9" t="n">
        <v>0</v>
      </c>
      <c r="L829" s="8" t="n">
        <v>3.54</v>
      </c>
      <c r="M829" s="8">
        <f>H829*I829*(1-K829)</f>
        <v/>
      </c>
      <c r="N829" s="8">
        <f>H829*J829</f>
        <v/>
      </c>
      <c r="O829" s="8">
        <f>M829-N829-L829</f>
        <v/>
      </c>
      <c r="P829" s="10">
        <f>IFERROR(O829/M829,0)</f>
        <v/>
      </c>
      <c r="Q829" s="3">
        <f>IF(H829&lt;=0,"Review: quantity &lt;= 0",IF(K829&gt;0.3,"Review: discount &gt; 30%",IF(G829="","Review: missing customer type","OK")))</f>
        <v/>
      </c>
    </row>
    <row r="830">
      <c r="A830" s="3" t="inlineStr">
        <is>
          <t>ORD-10829</t>
        </is>
      </c>
      <c r="B830" s="7" t="n">
        <v>45912</v>
      </c>
      <c r="C830" s="3" t="inlineStr">
        <is>
          <t>Accessories</t>
        </is>
      </c>
      <c r="D830" s="3" t="inlineStr">
        <is>
          <t>Bags</t>
        </is>
      </c>
      <c r="E830" s="3" t="inlineStr">
        <is>
          <t>Western</t>
        </is>
      </c>
      <c r="F830" s="3" t="inlineStr">
        <is>
          <t>Phone/WhatsApp</t>
        </is>
      </c>
      <c r="G830" s="3" t="inlineStr">
        <is>
          <t>New</t>
        </is>
      </c>
      <c r="H830" s="3" t="n">
        <v>1</v>
      </c>
      <c r="I830" s="8" t="n">
        <v>120</v>
      </c>
      <c r="J830" s="8" t="n">
        <v>54.17</v>
      </c>
      <c r="K830" s="9" t="n">
        <v>0</v>
      </c>
      <c r="L830" s="8" t="n">
        <v>32.41</v>
      </c>
      <c r="M830" s="8">
        <f>H830*I830*(1-K830)</f>
        <v/>
      </c>
      <c r="N830" s="8">
        <f>H830*J830</f>
        <v/>
      </c>
      <c r="O830" s="8">
        <f>M830-N830-L830</f>
        <v/>
      </c>
      <c r="P830" s="10">
        <f>IFERROR(O830/M830,0)</f>
        <v/>
      </c>
      <c r="Q830" s="3">
        <f>IF(H830&lt;=0,"Review: quantity &lt;= 0",IF(K830&gt;0.3,"Review: discount &gt; 30%",IF(G830="","Review: missing customer type","OK")))</f>
        <v/>
      </c>
    </row>
    <row r="831">
      <c r="A831" s="3" t="inlineStr">
        <is>
          <t>ORD-10830</t>
        </is>
      </c>
      <c r="B831" s="7" t="n">
        <v>45939</v>
      </c>
      <c r="C831" s="3" t="inlineStr">
        <is>
          <t>Accessories</t>
        </is>
      </c>
      <c r="D831" s="3" t="inlineStr">
        <is>
          <t>Watches</t>
        </is>
      </c>
      <c r="E831" s="3" t="inlineStr">
        <is>
          <t>Northern</t>
        </is>
      </c>
      <c r="F831" s="3" t="inlineStr">
        <is>
          <t>Phone/WhatsApp</t>
        </is>
      </c>
      <c r="G831" s="3" t="inlineStr">
        <is>
          <t>New</t>
        </is>
      </c>
      <c r="H831" s="3" t="n">
        <v>3</v>
      </c>
      <c r="I831" s="8" t="n">
        <v>105</v>
      </c>
      <c r="J831" s="8" t="n">
        <v>51.84</v>
      </c>
      <c r="K831" s="9" t="n">
        <v>0.1</v>
      </c>
      <c r="L831" s="8" t="n">
        <v>41.15</v>
      </c>
      <c r="M831" s="8">
        <f>H831*I831*(1-K831)</f>
        <v/>
      </c>
      <c r="N831" s="8">
        <f>H831*J831</f>
        <v/>
      </c>
      <c r="O831" s="8">
        <f>M831-N831-L831</f>
        <v/>
      </c>
      <c r="P831" s="10">
        <f>IFERROR(O831/M831,0)</f>
        <v/>
      </c>
      <c r="Q831" s="3">
        <f>IF(H831&lt;=0,"Review: quantity &lt;= 0",IF(K831&gt;0.3,"Review: discount &gt; 30%",IF(G831="","Review: missing customer type","OK")))</f>
        <v/>
      </c>
    </row>
    <row r="832">
      <c r="A832" s="3" t="inlineStr">
        <is>
          <t>ORD-10831</t>
        </is>
      </c>
      <c r="B832" s="7" t="n">
        <v>45733</v>
      </c>
      <c r="C832" s="3" t="inlineStr">
        <is>
          <t>Home &amp; Lifestyle</t>
        </is>
      </c>
      <c r="D832" s="3" t="inlineStr">
        <is>
          <t>Small Home Goods</t>
        </is>
      </c>
      <c r="E832" s="3" t="inlineStr">
        <is>
          <t>Northern</t>
        </is>
      </c>
      <c r="F832" s="3" t="inlineStr">
        <is>
          <t>Online</t>
        </is>
      </c>
      <c r="G832" s="3" t="inlineStr">
        <is>
          <t>Returning</t>
        </is>
      </c>
      <c r="H832" s="3" t="n">
        <v>1</v>
      </c>
      <c r="I832" s="8" t="n">
        <v>145</v>
      </c>
      <c r="J832" s="8" t="n">
        <v>78.38</v>
      </c>
      <c r="K832" s="9" t="n">
        <v>0</v>
      </c>
      <c r="L832" s="8" t="n">
        <v>15.28</v>
      </c>
      <c r="M832" s="8">
        <f>H832*I832*(1-K832)</f>
        <v/>
      </c>
      <c r="N832" s="8">
        <f>H832*J832</f>
        <v/>
      </c>
      <c r="O832" s="8">
        <f>M832-N832-L832</f>
        <v/>
      </c>
      <c r="P832" s="10">
        <f>IFERROR(O832/M832,0)</f>
        <v/>
      </c>
      <c r="Q832" s="3">
        <f>IF(H832&lt;=0,"Review: quantity &lt;= 0",IF(K832&gt;0.3,"Review: discount &gt; 30%",IF(G832="","Review: missing customer type","OK")))</f>
        <v/>
      </c>
    </row>
    <row r="833">
      <c r="A833" s="3" t="inlineStr">
        <is>
          <t>ORD-10832</t>
        </is>
      </c>
      <c r="B833" s="7" t="n">
        <v>45982</v>
      </c>
      <c r="C833" s="3" t="inlineStr">
        <is>
          <t>Home &amp; Lifestyle</t>
        </is>
      </c>
      <c r="D833" s="3" t="inlineStr">
        <is>
          <t>Small Home Goods</t>
        </is>
      </c>
      <c r="E833" s="3" t="inlineStr">
        <is>
          <t>Ashanti</t>
        </is>
      </c>
      <c r="F833" s="3" t="inlineStr">
        <is>
          <t>Retail Shop</t>
        </is>
      </c>
      <c r="G833" s="3" t="inlineStr">
        <is>
          <t>Returning</t>
        </is>
      </c>
      <c r="H833" s="3" t="n">
        <v>2</v>
      </c>
      <c r="I833" s="8" t="n">
        <v>125</v>
      </c>
      <c r="J833" s="8" t="n">
        <v>63.99</v>
      </c>
      <c r="K833" s="9" t="n">
        <v>0.2</v>
      </c>
      <c r="L833" s="8" t="n">
        <v>0.99</v>
      </c>
      <c r="M833" s="8">
        <f>H833*I833*(1-K833)</f>
        <v/>
      </c>
      <c r="N833" s="8">
        <f>H833*J833</f>
        <v/>
      </c>
      <c r="O833" s="8">
        <f>M833-N833-L833</f>
        <v/>
      </c>
      <c r="P833" s="10">
        <f>IFERROR(O833/M833,0)</f>
        <v/>
      </c>
      <c r="Q833" s="3">
        <f>IF(H833&lt;=0,"Review: quantity &lt;= 0",IF(K833&gt;0.3,"Review: discount &gt; 30%",IF(G833="","Review: missing customer type","OK")))</f>
        <v/>
      </c>
    </row>
    <row r="834">
      <c r="A834" s="3" t="inlineStr">
        <is>
          <t>ORD-10833</t>
        </is>
      </c>
      <c r="B834" s="7" t="n">
        <v>45750</v>
      </c>
      <c r="C834" s="3" t="inlineStr">
        <is>
          <t>Accessories</t>
        </is>
      </c>
      <c r="D834" s="3" t="inlineStr">
        <is>
          <t>Belts</t>
        </is>
      </c>
      <c r="E834" s="3" t="inlineStr">
        <is>
          <t>Western</t>
        </is>
      </c>
      <c r="F834" s="3" t="inlineStr">
        <is>
          <t>Online</t>
        </is>
      </c>
      <c r="G834" s="3" t="inlineStr">
        <is>
          <t>New</t>
        </is>
      </c>
      <c r="H834" s="3" t="n">
        <v>1</v>
      </c>
      <c r="I834" s="8" t="n">
        <v>95</v>
      </c>
      <c r="J834" s="8" t="n">
        <v>45.45</v>
      </c>
      <c r="K834" s="9" t="n">
        <v>0</v>
      </c>
      <c r="L834" s="8" t="n">
        <v>25.13</v>
      </c>
      <c r="M834" s="8">
        <f>H834*I834*(1-K834)</f>
        <v/>
      </c>
      <c r="N834" s="8">
        <f>H834*J834</f>
        <v/>
      </c>
      <c r="O834" s="8">
        <f>M834-N834-L834</f>
        <v/>
      </c>
      <c r="P834" s="10">
        <f>IFERROR(O834/M834,0)</f>
        <v/>
      </c>
      <c r="Q834" s="3">
        <f>IF(H834&lt;=0,"Review: quantity &lt;= 0",IF(K834&gt;0.3,"Review: discount &gt; 30%",IF(G834="","Review: missing customer type","OK")))</f>
        <v/>
      </c>
    </row>
    <row r="835">
      <c r="A835" s="3" t="inlineStr">
        <is>
          <t>ORD-10834</t>
        </is>
      </c>
      <c r="B835" s="7" t="n">
        <v>45694</v>
      </c>
      <c r="C835" s="3" t="inlineStr">
        <is>
          <t>Footwear</t>
        </is>
      </c>
      <c r="D835" s="3" t="inlineStr">
        <is>
          <t>Sneakers</t>
        </is>
      </c>
      <c r="E835" s="3" t="inlineStr">
        <is>
          <t>Ashanti</t>
        </is>
      </c>
      <c r="F835" s="3" t="inlineStr">
        <is>
          <t>Retail Shop</t>
        </is>
      </c>
      <c r="G835" s="3" t="inlineStr">
        <is>
          <t>New</t>
        </is>
      </c>
      <c r="H835" s="3" t="n">
        <v>3</v>
      </c>
      <c r="I835" s="8" t="n">
        <v>435</v>
      </c>
      <c r="J835" s="8" t="n">
        <v>238.65</v>
      </c>
      <c r="K835" s="9" t="n">
        <v>0.2</v>
      </c>
      <c r="L835" s="8" t="n">
        <v>6.94</v>
      </c>
      <c r="M835" s="8">
        <f>H835*I835*(1-K835)</f>
        <v/>
      </c>
      <c r="N835" s="8">
        <f>H835*J835</f>
        <v/>
      </c>
      <c r="O835" s="8">
        <f>M835-N835-L835</f>
        <v/>
      </c>
      <c r="P835" s="10">
        <f>IFERROR(O835/M835,0)</f>
        <v/>
      </c>
      <c r="Q835" s="3">
        <f>IF(H835&lt;=0,"Review: quantity &lt;= 0",IF(K835&gt;0.3,"Review: discount &gt; 30%",IF(G835="","Review: missing customer type","OK")))</f>
        <v/>
      </c>
    </row>
    <row r="836">
      <c r="A836" s="3" t="inlineStr">
        <is>
          <t>ORD-10835</t>
        </is>
      </c>
      <c r="B836" s="7" t="n">
        <v>45700</v>
      </c>
      <c r="C836" s="3" t="inlineStr">
        <is>
          <t>Footwear</t>
        </is>
      </c>
      <c r="D836" s="3" t="inlineStr">
        <is>
          <t>Boots</t>
        </is>
      </c>
      <c r="E836" s="3" t="inlineStr">
        <is>
          <t>Greater Accra</t>
        </is>
      </c>
      <c r="F836" s="3" t="inlineStr">
        <is>
          <t>Retail Shop</t>
        </is>
      </c>
      <c r="G836" s="3" t="inlineStr">
        <is>
          <t>Returning</t>
        </is>
      </c>
      <c r="H836" s="3" t="n">
        <v>3</v>
      </c>
      <c r="I836" s="8" t="n">
        <v>160</v>
      </c>
      <c r="J836" s="8" t="n">
        <v>96.33</v>
      </c>
      <c r="K836" s="9" t="n">
        <v>0.1</v>
      </c>
      <c r="L836" s="8" t="n">
        <v>2.79</v>
      </c>
      <c r="M836" s="8">
        <f>H836*I836*(1-K836)</f>
        <v/>
      </c>
      <c r="N836" s="8">
        <f>H836*J836</f>
        <v/>
      </c>
      <c r="O836" s="8">
        <f>M836-N836-L836</f>
        <v/>
      </c>
      <c r="P836" s="10">
        <f>IFERROR(O836/M836,0)</f>
        <v/>
      </c>
      <c r="Q836" s="3">
        <f>IF(H836&lt;=0,"Review: quantity &lt;= 0",IF(K836&gt;0.3,"Review: discount &gt; 30%",IF(G836="","Review: missing customer type","OK")))</f>
        <v/>
      </c>
    </row>
    <row r="837">
      <c r="A837" s="3" t="inlineStr">
        <is>
          <t>ORD-10836</t>
        </is>
      </c>
      <c r="B837" s="7" t="n">
        <v>45930</v>
      </c>
      <c r="C837" s="3" t="inlineStr">
        <is>
          <t>Clothing</t>
        </is>
      </c>
      <c r="D837" s="3" t="inlineStr">
        <is>
          <t>Dresses</t>
        </is>
      </c>
      <c r="E837" s="3" t="inlineStr">
        <is>
          <t>Greater Accra</t>
        </is>
      </c>
      <c r="F837" s="3" t="inlineStr">
        <is>
          <t>Online</t>
        </is>
      </c>
      <c r="G837" s="3" t="inlineStr">
        <is>
          <t>New</t>
        </is>
      </c>
      <c r="H837" s="3" t="n">
        <v>2</v>
      </c>
      <c r="I837" s="8" t="n">
        <v>120</v>
      </c>
      <c r="J837" s="8" t="n">
        <v>63.78</v>
      </c>
      <c r="K837" s="9" t="n">
        <v>0</v>
      </c>
      <c r="L837" s="8" t="n">
        <v>33.94</v>
      </c>
      <c r="M837" s="8">
        <f>H837*I837*(1-K837)</f>
        <v/>
      </c>
      <c r="N837" s="8">
        <f>H837*J837</f>
        <v/>
      </c>
      <c r="O837" s="8">
        <f>M837-N837-L837</f>
        <v/>
      </c>
      <c r="P837" s="10">
        <f>IFERROR(O837/M837,0)</f>
        <v/>
      </c>
      <c r="Q837" s="3">
        <f>IF(H837&lt;=0,"Review: quantity &lt;= 0",IF(K837&gt;0.3,"Review: discount &gt; 30%",IF(G837="","Review: missing customer type","OK")))</f>
        <v/>
      </c>
    </row>
    <row r="838">
      <c r="A838" s="3" t="inlineStr">
        <is>
          <t>ORD-10837</t>
        </is>
      </c>
      <c r="B838" s="7" t="n">
        <v>45875</v>
      </c>
      <c r="C838" s="3" t="inlineStr">
        <is>
          <t>Footwear</t>
        </is>
      </c>
      <c r="D838" s="3" t="inlineStr">
        <is>
          <t>Sneakers</t>
        </is>
      </c>
      <c r="E838" s="3" t="inlineStr">
        <is>
          <t>Northern</t>
        </is>
      </c>
      <c r="F838" s="3" t="inlineStr">
        <is>
          <t>Retail Shop</t>
        </is>
      </c>
      <c r="G838" s="3" t="inlineStr">
        <is>
          <t>New</t>
        </is>
      </c>
      <c r="H838" s="3" t="n">
        <v>2</v>
      </c>
      <c r="I838" s="8" t="n">
        <v>315</v>
      </c>
      <c r="J838" s="8" t="n">
        <v>169.55</v>
      </c>
      <c r="K838" s="9" t="n">
        <v>0</v>
      </c>
      <c r="L838" s="8" t="n">
        <v>2.28</v>
      </c>
      <c r="M838" s="8">
        <f>H838*I838*(1-K838)</f>
        <v/>
      </c>
      <c r="N838" s="8">
        <f>H838*J838</f>
        <v/>
      </c>
      <c r="O838" s="8">
        <f>M838-N838-L838</f>
        <v/>
      </c>
      <c r="P838" s="10">
        <f>IFERROR(O838/M838,0)</f>
        <v/>
      </c>
      <c r="Q838" s="3">
        <f>IF(H838&lt;=0,"Review: quantity &lt;= 0",IF(K838&gt;0.3,"Review: discount &gt; 30%",IF(G838="","Review: missing customer type","OK")))</f>
        <v/>
      </c>
    </row>
    <row r="839">
      <c r="A839" s="3" t="inlineStr">
        <is>
          <t>ORD-10838</t>
        </is>
      </c>
      <c r="B839" s="7" t="n">
        <v>45965</v>
      </c>
      <c r="C839" s="3" t="inlineStr">
        <is>
          <t>Clothing</t>
        </is>
      </c>
      <c r="D839" s="3" t="inlineStr">
        <is>
          <t>Shirts</t>
        </is>
      </c>
      <c r="E839" s="3" t="inlineStr">
        <is>
          <t>Greater Accra</t>
        </is>
      </c>
      <c r="F839" s="3" t="inlineStr">
        <is>
          <t>Online</t>
        </is>
      </c>
      <c r="G839" s="3" t="inlineStr">
        <is>
          <t>Returning</t>
        </is>
      </c>
      <c r="H839" s="3" t="n">
        <v>1</v>
      </c>
      <c r="I839" s="8" t="n">
        <v>140</v>
      </c>
      <c r="J839" s="8" t="n">
        <v>74.84999999999999</v>
      </c>
      <c r="K839" s="9" t="n">
        <v>0.15</v>
      </c>
      <c r="L839" s="8" t="n">
        <v>22.75</v>
      </c>
      <c r="M839" s="8">
        <f>H839*I839*(1-K839)</f>
        <v/>
      </c>
      <c r="N839" s="8">
        <f>H839*J839</f>
        <v/>
      </c>
      <c r="O839" s="8">
        <f>M839-N839-L839</f>
        <v/>
      </c>
      <c r="P839" s="10">
        <f>IFERROR(O839/M839,0)</f>
        <v/>
      </c>
      <c r="Q839" s="3">
        <f>IF(H839&lt;=0,"Review: quantity &lt;= 0",IF(K839&gt;0.3,"Review: discount &gt; 30%",IF(G839="","Review: missing customer type","OK")))</f>
        <v/>
      </c>
    </row>
    <row r="840">
      <c r="A840" s="3" t="inlineStr">
        <is>
          <t>ORD-10839</t>
        </is>
      </c>
      <c r="B840" s="7" t="n">
        <v>45697</v>
      </c>
      <c r="C840" s="3" t="inlineStr">
        <is>
          <t>Clothing</t>
        </is>
      </c>
      <c r="D840" s="3" t="inlineStr">
        <is>
          <t>Jackets</t>
        </is>
      </c>
      <c r="E840" s="3" t="inlineStr">
        <is>
          <t>Northern</t>
        </is>
      </c>
      <c r="F840" s="3" t="inlineStr">
        <is>
          <t>Phone/WhatsApp</t>
        </is>
      </c>
      <c r="G840" s="3" t="inlineStr">
        <is>
          <t>New</t>
        </is>
      </c>
      <c r="H840" s="3" t="n">
        <v>1</v>
      </c>
      <c r="I840" s="8" t="n">
        <v>115</v>
      </c>
      <c r="J840" s="8" t="n">
        <v>55.31</v>
      </c>
      <c r="K840" s="9" t="n">
        <v>0</v>
      </c>
      <c r="L840" s="8" t="n">
        <v>40.7</v>
      </c>
      <c r="M840" s="8">
        <f>H840*I840*(1-K840)</f>
        <v/>
      </c>
      <c r="N840" s="8">
        <f>H840*J840</f>
        <v/>
      </c>
      <c r="O840" s="8">
        <f>M840-N840-L840</f>
        <v/>
      </c>
      <c r="P840" s="10">
        <f>IFERROR(O840/M840,0)</f>
        <v/>
      </c>
      <c r="Q840" s="3">
        <f>IF(H840&lt;=0,"Review: quantity &lt;= 0",IF(K840&gt;0.3,"Review: discount &gt; 30%",IF(G840="","Review: missing customer type","OK")))</f>
        <v/>
      </c>
    </row>
    <row r="841">
      <c r="A841" s="3" t="inlineStr">
        <is>
          <t>ORD-10840</t>
        </is>
      </c>
      <c r="B841" s="7" t="n">
        <v>46004</v>
      </c>
      <c r="C841" s="3" t="inlineStr">
        <is>
          <t>Footwear</t>
        </is>
      </c>
      <c r="D841" s="3" t="inlineStr">
        <is>
          <t>Sandals</t>
        </is>
      </c>
      <c r="E841" s="3" t="inlineStr">
        <is>
          <t>Greater Accra</t>
        </is>
      </c>
      <c r="F841" s="3" t="inlineStr">
        <is>
          <t>Retail Shop</t>
        </is>
      </c>
      <c r="G841" s="3" t="inlineStr">
        <is>
          <t>Returning</t>
        </is>
      </c>
      <c r="H841" s="3" t="n">
        <v>2</v>
      </c>
      <c r="I841" s="8" t="n">
        <v>280</v>
      </c>
      <c r="J841" s="8" t="n">
        <v>164.06</v>
      </c>
      <c r="K841" s="9" t="n">
        <v>0.1</v>
      </c>
      <c r="L841" s="8" t="n">
        <v>3.02</v>
      </c>
      <c r="M841" s="8">
        <f>H841*I841*(1-K841)</f>
        <v/>
      </c>
      <c r="N841" s="8">
        <f>H841*J841</f>
        <v/>
      </c>
      <c r="O841" s="8">
        <f>M841-N841-L841</f>
        <v/>
      </c>
      <c r="P841" s="10">
        <f>IFERROR(O841/M841,0)</f>
        <v/>
      </c>
      <c r="Q841" s="3">
        <f>IF(H841&lt;=0,"Review: quantity &lt;= 0",IF(K841&gt;0.3,"Review: discount &gt; 30%",IF(G841="","Review: missing customer type","OK")))</f>
        <v/>
      </c>
    </row>
    <row r="842">
      <c r="A842" s="3" t="inlineStr">
        <is>
          <t>ORD-10841</t>
        </is>
      </c>
      <c r="B842" s="7" t="n">
        <v>45693</v>
      </c>
      <c r="C842" s="3" t="inlineStr">
        <is>
          <t>Accessories</t>
        </is>
      </c>
      <c r="D842" s="3" t="inlineStr">
        <is>
          <t>Bags</t>
        </is>
      </c>
      <c r="E842" s="3" t="inlineStr">
        <is>
          <t>Greater Accra</t>
        </is>
      </c>
      <c r="F842" s="3" t="inlineStr">
        <is>
          <t>Retail Shop</t>
        </is>
      </c>
      <c r="G842" s="3" t="inlineStr">
        <is>
          <t>Returning</t>
        </is>
      </c>
      <c r="H842" s="3" t="n">
        <v>2</v>
      </c>
      <c r="I842" s="8" t="n">
        <v>90</v>
      </c>
      <c r="J842" s="8" t="n">
        <v>42.33</v>
      </c>
      <c r="K842" s="9" t="n">
        <v>0</v>
      </c>
      <c r="L842" s="8" t="n">
        <v>1.75</v>
      </c>
      <c r="M842" s="8">
        <f>H842*I842*(1-K842)</f>
        <v/>
      </c>
      <c r="N842" s="8">
        <f>H842*J842</f>
        <v/>
      </c>
      <c r="O842" s="8">
        <f>M842-N842-L842</f>
        <v/>
      </c>
      <c r="P842" s="10">
        <f>IFERROR(O842/M842,0)</f>
        <v/>
      </c>
      <c r="Q842" s="3">
        <f>IF(H842&lt;=0,"Review: quantity &lt;= 0",IF(K842&gt;0.3,"Review: discount &gt; 30%",IF(G842="","Review: missing customer type","OK")))</f>
        <v/>
      </c>
    </row>
    <row r="843">
      <c r="A843" s="3" t="inlineStr">
        <is>
          <t>ORD-10842</t>
        </is>
      </c>
      <c r="B843" s="7" t="n">
        <v>45794</v>
      </c>
      <c r="C843" s="3" t="inlineStr">
        <is>
          <t>Footwear</t>
        </is>
      </c>
      <c r="D843" s="3" t="inlineStr">
        <is>
          <t>Formal Shoes</t>
        </is>
      </c>
      <c r="E843" s="3" t="inlineStr">
        <is>
          <t>Greater Accra</t>
        </is>
      </c>
      <c r="F843" s="3" t="inlineStr">
        <is>
          <t>Retail Shop</t>
        </is>
      </c>
      <c r="G843" s="3" t="inlineStr">
        <is>
          <t>New</t>
        </is>
      </c>
      <c r="H843" s="3" t="n">
        <v>4</v>
      </c>
      <c r="I843" s="8" t="n">
        <v>325</v>
      </c>
      <c r="J843" s="8" t="n">
        <v>196.22</v>
      </c>
      <c r="K843" s="9" t="n">
        <v>0.2</v>
      </c>
      <c r="L843" s="8" t="n">
        <v>3.22</v>
      </c>
      <c r="M843" s="8">
        <f>H843*I843*(1-K843)</f>
        <v/>
      </c>
      <c r="N843" s="8">
        <f>H843*J843</f>
        <v/>
      </c>
      <c r="O843" s="8">
        <f>M843-N843-L843</f>
        <v/>
      </c>
      <c r="P843" s="10">
        <f>IFERROR(O843/M843,0)</f>
        <v/>
      </c>
      <c r="Q843" s="3">
        <f>IF(H843&lt;=0,"Review: quantity &lt;= 0",IF(K843&gt;0.3,"Review: discount &gt; 30%",IF(G843="","Review: missing customer type","OK")))</f>
        <v/>
      </c>
    </row>
    <row r="844">
      <c r="A844" s="3" t="inlineStr">
        <is>
          <t>ORD-10843</t>
        </is>
      </c>
      <c r="B844" s="7" t="n">
        <v>45688</v>
      </c>
      <c r="C844" s="3" t="inlineStr">
        <is>
          <t>Accessories</t>
        </is>
      </c>
      <c r="D844" s="3" t="inlineStr">
        <is>
          <t>Bags</t>
        </is>
      </c>
      <c r="E844" s="3" t="inlineStr">
        <is>
          <t>Greater Accra</t>
        </is>
      </c>
      <c r="F844" s="3" t="inlineStr">
        <is>
          <t>Retail Shop</t>
        </is>
      </c>
      <c r="G844" s="3" t="inlineStr">
        <is>
          <t>Returning</t>
        </is>
      </c>
      <c r="H844" s="3" t="n">
        <v>1</v>
      </c>
      <c r="I844" s="8" t="n">
        <v>110</v>
      </c>
      <c r="J844" s="8" t="n">
        <v>56.86</v>
      </c>
      <c r="K844" s="9" t="n">
        <v>0</v>
      </c>
      <c r="L844" s="8" t="n">
        <v>3.79</v>
      </c>
      <c r="M844" s="8">
        <f>H844*I844*(1-K844)</f>
        <v/>
      </c>
      <c r="N844" s="8">
        <f>H844*J844</f>
        <v/>
      </c>
      <c r="O844" s="8">
        <f>M844-N844-L844</f>
        <v/>
      </c>
      <c r="P844" s="10">
        <f>IFERROR(O844/M844,0)</f>
        <v/>
      </c>
      <c r="Q844" s="3">
        <f>IF(H844&lt;=0,"Review: quantity &lt;= 0",IF(K844&gt;0.3,"Review: discount &gt; 30%",IF(G844="","Review: missing customer type","OK")))</f>
        <v/>
      </c>
    </row>
    <row r="845">
      <c r="A845" s="3" t="inlineStr">
        <is>
          <t>ORD-10844</t>
        </is>
      </c>
      <c r="B845" s="7" t="n">
        <v>45900</v>
      </c>
      <c r="C845" s="3" t="inlineStr">
        <is>
          <t>Accessories</t>
        </is>
      </c>
      <c r="D845" s="3" t="inlineStr">
        <is>
          <t>Watches</t>
        </is>
      </c>
      <c r="E845" s="3" t="inlineStr">
        <is>
          <t>Greater Accra</t>
        </is>
      </c>
      <c r="F845" s="3" t="inlineStr">
        <is>
          <t>Online</t>
        </is>
      </c>
      <c r="G845" s="3" t="inlineStr">
        <is>
          <t>Returning</t>
        </is>
      </c>
      <c r="H845" s="3" t="n">
        <v>4</v>
      </c>
      <c r="I845" s="8" t="n">
        <v>75</v>
      </c>
      <c r="J845" s="8" t="n">
        <v>32.92</v>
      </c>
      <c r="K845" s="9" t="n">
        <v>0</v>
      </c>
      <c r="L845" s="8" t="n">
        <v>35.95</v>
      </c>
      <c r="M845" s="8">
        <f>H845*I845*(1-K845)</f>
        <v/>
      </c>
      <c r="N845" s="8">
        <f>H845*J845</f>
        <v/>
      </c>
      <c r="O845" s="8">
        <f>M845-N845-L845</f>
        <v/>
      </c>
      <c r="P845" s="10">
        <f>IFERROR(O845/M845,0)</f>
        <v/>
      </c>
      <c r="Q845" s="3">
        <f>IF(H845&lt;=0,"Review: quantity &lt;= 0",IF(K845&gt;0.3,"Review: discount &gt; 30%",IF(G845="","Review: missing customer type","OK")))</f>
        <v/>
      </c>
    </row>
    <row r="846">
      <c r="A846" s="3" t="inlineStr">
        <is>
          <t>ORD-10845</t>
        </is>
      </c>
      <c r="B846" s="7" t="n">
        <v>45738</v>
      </c>
      <c r="C846" s="3" t="inlineStr">
        <is>
          <t>Accessories</t>
        </is>
      </c>
      <c r="D846" s="3" t="inlineStr">
        <is>
          <t>Sunglasses</t>
        </is>
      </c>
      <c r="E846" s="3" t="inlineStr">
        <is>
          <t>Greater Accra</t>
        </is>
      </c>
      <c r="F846" s="3" t="inlineStr">
        <is>
          <t>Retail Shop</t>
        </is>
      </c>
      <c r="G846" s="3" t="inlineStr">
        <is>
          <t>New</t>
        </is>
      </c>
      <c r="H846" s="3" t="n">
        <v>4</v>
      </c>
      <c r="I846" s="8" t="n">
        <v>85</v>
      </c>
      <c r="J846" s="8" t="n">
        <v>40.6</v>
      </c>
      <c r="K846" s="9" t="n">
        <v>0</v>
      </c>
      <c r="L846" s="8" t="n">
        <v>2.32</v>
      </c>
      <c r="M846" s="8">
        <f>H846*I846*(1-K846)</f>
        <v/>
      </c>
      <c r="N846" s="8">
        <f>H846*J846</f>
        <v/>
      </c>
      <c r="O846" s="8">
        <f>M846-N846-L846</f>
        <v/>
      </c>
      <c r="P846" s="10">
        <f>IFERROR(O846/M846,0)</f>
        <v/>
      </c>
      <c r="Q846" s="3">
        <f>IF(H846&lt;=0,"Review: quantity &lt;= 0",IF(K846&gt;0.3,"Review: discount &gt; 30%",IF(G846="","Review: missing customer type","OK")))</f>
        <v/>
      </c>
    </row>
    <row r="847">
      <c r="A847" s="3" t="inlineStr">
        <is>
          <t>ORD-10846</t>
        </is>
      </c>
      <c r="B847" s="7" t="n">
        <v>45679</v>
      </c>
      <c r="C847" s="3" t="inlineStr">
        <is>
          <t>Footwear</t>
        </is>
      </c>
      <c r="D847" s="3" t="inlineStr">
        <is>
          <t>Sneakers</t>
        </is>
      </c>
      <c r="E847" s="3" t="inlineStr">
        <is>
          <t>Central</t>
        </is>
      </c>
      <c r="F847" s="3" t="inlineStr">
        <is>
          <t>Retail Shop</t>
        </is>
      </c>
      <c r="G847" s="3" t="inlineStr">
        <is>
          <t>Returning</t>
        </is>
      </c>
      <c r="H847" s="3" t="n">
        <v>5</v>
      </c>
      <c r="I847" s="8" t="n">
        <v>205</v>
      </c>
      <c r="J847" s="8" t="n">
        <v>122.26</v>
      </c>
      <c r="K847" s="9" t="n">
        <v>0</v>
      </c>
      <c r="L847" s="8" t="n">
        <v>1.93</v>
      </c>
      <c r="M847" s="8">
        <f>H847*I847*(1-K847)</f>
        <v/>
      </c>
      <c r="N847" s="8">
        <f>H847*J847</f>
        <v/>
      </c>
      <c r="O847" s="8">
        <f>M847-N847-L847</f>
        <v/>
      </c>
      <c r="P847" s="10">
        <f>IFERROR(O847/M847,0)</f>
        <v/>
      </c>
      <c r="Q847" s="3">
        <f>IF(H847&lt;=0,"Review: quantity &lt;= 0",IF(K847&gt;0.3,"Review: discount &gt; 30%",IF(G847="","Review: missing customer type","OK")))</f>
        <v/>
      </c>
    </row>
    <row r="848">
      <c r="A848" s="3" t="inlineStr">
        <is>
          <t>ORD-10847</t>
        </is>
      </c>
      <c r="B848" s="7" t="n">
        <v>45991</v>
      </c>
      <c r="C848" s="3" t="inlineStr">
        <is>
          <t>Home &amp; Lifestyle</t>
        </is>
      </c>
      <c r="D848" s="3" t="inlineStr">
        <is>
          <t>Travel Mugs</t>
        </is>
      </c>
      <c r="E848" s="3" t="inlineStr">
        <is>
          <t>Ashanti</t>
        </is>
      </c>
      <c r="F848" s="3" t="inlineStr">
        <is>
          <t>Online</t>
        </is>
      </c>
      <c r="G848" s="3" t="inlineStr">
        <is>
          <t>Returning</t>
        </is>
      </c>
      <c r="H848" s="3" t="n">
        <v>2</v>
      </c>
      <c r="I848" s="8" t="n">
        <v>85</v>
      </c>
      <c r="J848" s="8" t="n">
        <v>46.53</v>
      </c>
      <c r="K848" s="9" t="n">
        <v>0.15</v>
      </c>
      <c r="L848" s="8" t="n">
        <v>14.83</v>
      </c>
      <c r="M848" s="8">
        <f>H848*I848*(1-K848)</f>
        <v/>
      </c>
      <c r="N848" s="8">
        <f>H848*J848</f>
        <v/>
      </c>
      <c r="O848" s="8">
        <f>M848-N848-L848</f>
        <v/>
      </c>
      <c r="P848" s="10">
        <f>IFERROR(O848/M848,0)</f>
        <v/>
      </c>
      <c r="Q848" s="3">
        <f>IF(H848&lt;=0,"Review: quantity &lt;= 0",IF(K848&gt;0.3,"Review: discount &gt; 30%",IF(G848="","Review: missing customer type","OK")))</f>
        <v/>
      </c>
    </row>
    <row r="849">
      <c r="A849" s="3" t="inlineStr">
        <is>
          <t>ORD-10848</t>
        </is>
      </c>
      <c r="B849" s="7" t="n">
        <v>45663</v>
      </c>
      <c r="C849" s="3" t="inlineStr">
        <is>
          <t>Accessories</t>
        </is>
      </c>
      <c r="D849" s="3" t="inlineStr">
        <is>
          <t>Watches</t>
        </is>
      </c>
      <c r="E849" s="3" t="inlineStr">
        <is>
          <t>Greater Accra</t>
        </is>
      </c>
      <c r="F849" s="3" t="inlineStr">
        <is>
          <t>Phone/WhatsApp</t>
        </is>
      </c>
      <c r="G849" s="3" t="inlineStr">
        <is>
          <t>New</t>
        </is>
      </c>
      <c r="H849" s="3" t="n">
        <v>6</v>
      </c>
      <c r="I849" s="8" t="n">
        <v>105</v>
      </c>
      <c r="J849" s="8" t="n">
        <v>50.57</v>
      </c>
      <c r="K849" s="9" t="n">
        <v>0.05</v>
      </c>
      <c r="L849" s="8" t="n">
        <v>34.18</v>
      </c>
      <c r="M849" s="8">
        <f>H849*I849*(1-K849)</f>
        <v/>
      </c>
      <c r="N849" s="8">
        <f>H849*J849</f>
        <v/>
      </c>
      <c r="O849" s="8">
        <f>M849-N849-L849</f>
        <v/>
      </c>
      <c r="P849" s="10">
        <f>IFERROR(O849/M849,0)</f>
        <v/>
      </c>
      <c r="Q849" s="3">
        <f>IF(H849&lt;=0,"Review: quantity &lt;= 0",IF(K849&gt;0.3,"Review: discount &gt; 30%",IF(G849="","Review: missing customer type","OK")))</f>
        <v/>
      </c>
    </row>
    <row r="850">
      <c r="A850" s="3" t="inlineStr">
        <is>
          <t>ORD-10849</t>
        </is>
      </c>
      <c r="B850" s="7" t="n">
        <v>45904</v>
      </c>
      <c r="C850" s="3" t="inlineStr">
        <is>
          <t>Footwear</t>
        </is>
      </c>
      <c r="D850" s="3" t="inlineStr">
        <is>
          <t>Boots</t>
        </is>
      </c>
      <c r="E850" s="3" t="inlineStr">
        <is>
          <t>Greater Accra</t>
        </is>
      </c>
      <c r="F850" s="3" t="inlineStr">
        <is>
          <t>Retail Shop</t>
        </is>
      </c>
      <c r="G850" s="3" t="inlineStr">
        <is>
          <t>New</t>
        </is>
      </c>
      <c r="H850" s="3" t="n">
        <v>5</v>
      </c>
      <c r="I850" s="8" t="n">
        <v>285</v>
      </c>
      <c r="J850" s="8" t="n">
        <v>158.28</v>
      </c>
      <c r="K850" s="9" t="n">
        <v>0</v>
      </c>
      <c r="L850" s="8" t="n">
        <v>0.06</v>
      </c>
      <c r="M850" s="8">
        <f>H850*I850*(1-K850)</f>
        <v/>
      </c>
      <c r="N850" s="8">
        <f>H850*J850</f>
        <v/>
      </c>
      <c r="O850" s="8">
        <f>M850-N850-L850</f>
        <v/>
      </c>
      <c r="P850" s="10">
        <f>IFERROR(O850/M850,0)</f>
        <v/>
      </c>
      <c r="Q850" s="3">
        <f>IF(H850&lt;=0,"Review: quantity &lt;= 0",IF(K850&gt;0.3,"Review: discount &gt; 30%",IF(G850="","Review: missing customer type","OK")))</f>
        <v/>
      </c>
    </row>
    <row r="851">
      <c r="A851" s="3" t="inlineStr">
        <is>
          <t>ORD-10850</t>
        </is>
      </c>
      <c r="B851" s="7" t="n">
        <v>46014</v>
      </c>
      <c r="C851" s="3" t="inlineStr">
        <is>
          <t>Home &amp; Lifestyle</t>
        </is>
      </c>
      <c r="D851" s="3" t="inlineStr">
        <is>
          <t>Travel Mugs</t>
        </is>
      </c>
      <c r="E851" s="3" t="inlineStr">
        <is>
          <t>Greater Accra</t>
        </is>
      </c>
      <c r="F851" s="3" t="inlineStr">
        <is>
          <t>Retail Shop</t>
        </is>
      </c>
      <c r="G851" s="3" t="inlineStr">
        <is>
          <t>New</t>
        </is>
      </c>
      <c r="H851" s="3" t="n">
        <v>2</v>
      </c>
      <c r="I851" s="8" t="n">
        <v>125</v>
      </c>
      <c r="J851" s="8" t="n">
        <v>60.75</v>
      </c>
      <c r="K851" s="9" t="n">
        <v>0.2</v>
      </c>
      <c r="L851" s="8" t="n">
        <v>8.630000000000001</v>
      </c>
      <c r="M851" s="8">
        <f>H851*I851*(1-K851)</f>
        <v/>
      </c>
      <c r="N851" s="8">
        <f>H851*J851</f>
        <v/>
      </c>
      <c r="O851" s="8">
        <f>M851-N851-L851</f>
        <v/>
      </c>
      <c r="P851" s="10">
        <f>IFERROR(O851/M851,0)</f>
        <v/>
      </c>
      <c r="Q851" s="3">
        <f>IF(H851&lt;=0,"Review: quantity &lt;= 0",IF(K851&gt;0.3,"Review: discount &gt; 30%",IF(G851="","Review: missing customer type","OK")))</f>
        <v/>
      </c>
    </row>
    <row r="852">
      <c r="A852" s="3" t="inlineStr">
        <is>
          <t>ORD-10851</t>
        </is>
      </c>
      <c r="B852" s="7" t="n">
        <v>45767</v>
      </c>
      <c r="C852" s="3" t="inlineStr">
        <is>
          <t>Accessories</t>
        </is>
      </c>
      <c r="D852" s="3" t="inlineStr">
        <is>
          <t>Watches</t>
        </is>
      </c>
      <c r="E852" s="3" t="inlineStr">
        <is>
          <t>Greater Accra</t>
        </is>
      </c>
      <c r="F852" s="3" t="inlineStr">
        <is>
          <t>Phone/WhatsApp</t>
        </is>
      </c>
      <c r="G852" s="3" t="inlineStr">
        <is>
          <t>Returning</t>
        </is>
      </c>
      <c r="H852" s="3" t="n">
        <v>4</v>
      </c>
      <c r="I852" s="8" t="n">
        <v>160</v>
      </c>
      <c r="J852" s="8" t="n">
        <v>69.64</v>
      </c>
      <c r="K852" s="9" t="n">
        <v>0.1</v>
      </c>
      <c r="L852" s="8" t="n">
        <v>43.82</v>
      </c>
      <c r="M852" s="8">
        <f>H852*I852*(1-K852)</f>
        <v/>
      </c>
      <c r="N852" s="8">
        <f>H852*J852</f>
        <v/>
      </c>
      <c r="O852" s="8">
        <f>M852-N852-L852</f>
        <v/>
      </c>
      <c r="P852" s="10">
        <f>IFERROR(O852/M852,0)</f>
        <v/>
      </c>
      <c r="Q852" s="3">
        <f>IF(H852&lt;=0,"Review: quantity &lt;= 0",IF(K852&gt;0.3,"Review: discount &gt; 30%",IF(G852="","Review: missing customer type","OK")))</f>
        <v/>
      </c>
    </row>
    <row r="853">
      <c r="A853" s="3" t="inlineStr">
        <is>
          <t>ORD-10852</t>
        </is>
      </c>
      <c r="B853" s="7" t="n">
        <v>45814</v>
      </c>
      <c r="C853" s="3" t="inlineStr">
        <is>
          <t>Footwear</t>
        </is>
      </c>
      <c r="D853" s="3" t="inlineStr">
        <is>
          <t>Boots</t>
        </is>
      </c>
      <c r="E853" s="3" t="inlineStr">
        <is>
          <t>Greater Accra</t>
        </is>
      </c>
      <c r="F853" s="3" t="inlineStr">
        <is>
          <t>Online</t>
        </is>
      </c>
      <c r="G853" s="3" t="inlineStr">
        <is>
          <t>Returning</t>
        </is>
      </c>
      <c r="H853" s="3" t="n">
        <v>1</v>
      </c>
      <c r="I853" s="8" t="n">
        <v>290</v>
      </c>
      <c r="J853" s="8" t="n">
        <v>151.4</v>
      </c>
      <c r="K853" s="9" t="n">
        <v>0.2</v>
      </c>
      <c r="L853" s="8" t="n">
        <v>27.54</v>
      </c>
      <c r="M853" s="8">
        <f>H853*I853*(1-K853)</f>
        <v/>
      </c>
      <c r="N853" s="8">
        <f>H853*J853</f>
        <v/>
      </c>
      <c r="O853" s="8">
        <f>M853-N853-L853</f>
        <v/>
      </c>
      <c r="P853" s="10">
        <f>IFERROR(O853/M853,0)</f>
        <v/>
      </c>
      <c r="Q853" s="3">
        <f>IF(H853&lt;=0,"Review: quantity &lt;= 0",IF(K853&gt;0.3,"Review: discount &gt; 30%",IF(G853="","Review: missing customer type","OK")))</f>
        <v/>
      </c>
    </row>
    <row r="854">
      <c r="A854" s="3" t="inlineStr">
        <is>
          <t>ORD-10853</t>
        </is>
      </c>
      <c r="B854" s="7" t="n">
        <v>45910</v>
      </c>
      <c r="C854" s="3" t="inlineStr">
        <is>
          <t>Home &amp; Lifestyle</t>
        </is>
      </c>
      <c r="D854" s="3" t="inlineStr">
        <is>
          <t>Travel Mugs</t>
        </is>
      </c>
      <c r="E854" s="3" t="inlineStr">
        <is>
          <t>Greater Accra</t>
        </is>
      </c>
      <c r="F854" s="3" t="inlineStr">
        <is>
          <t>Retail Shop</t>
        </is>
      </c>
      <c r="G854" s="3" t="inlineStr">
        <is>
          <t>New</t>
        </is>
      </c>
      <c r="H854" s="3" t="n">
        <v>1</v>
      </c>
      <c r="I854" s="8" t="n">
        <v>130</v>
      </c>
      <c r="J854" s="8" t="n">
        <v>74.31999999999999</v>
      </c>
      <c r="K854" s="9" t="n">
        <v>0.05</v>
      </c>
      <c r="L854" s="8" t="n">
        <v>2.16</v>
      </c>
      <c r="M854" s="8">
        <f>H854*I854*(1-K854)</f>
        <v/>
      </c>
      <c r="N854" s="8">
        <f>H854*J854</f>
        <v/>
      </c>
      <c r="O854" s="8">
        <f>M854-N854-L854</f>
        <v/>
      </c>
      <c r="P854" s="10">
        <f>IFERROR(O854/M854,0)</f>
        <v/>
      </c>
      <c r="Q854" s="3">
        <f>IF(H854&lt;=0,"Review: quantity &lt;= 0",IF(K854&gt;0.3,"Review: discount &gt; 30%",IF(G854="","Review: missing customer type","OK")))</f>
        <v/>
      </c>
    </row>
    <row r="855">
      <c r="A855" s="3" t="inlineStr">
        <is>
          <t>ORD-10854</t>
        </is>
      </c>
      <c r="B855" s="7" t="n">
        <v>45716</v>
      </c>
      <c r="C855" s="3" t="inlineStr">
        <is>
          <t>Home &amp; Lifestyle</t>
        </is>
      </c>
      <c r="D855" s="3" t="inlineStr">
        <is>
          <t>Backpacks</t>
        </is>
      </c>
      <c r="E855" s="3" t="inlineStr">
        <is>
          <t>Central</t>
        </is>
      </c>
      <c r="F855" s="3" t="inlineStr">
        <is>
          <t>Retail Shop</t>
        </is>
      </c>
      <c r="G855" s="3" t="inlineStr">
        <is>
          <t>Returning</t>
        </is>
      </c>
      <c r="H855" s="3" t="n">
        <v>1</v>
      </c>
      <c r="I855" s="8" t="n">
        <v>135</v>
      </c>
      <c r="J855" s="8" t="n">
        <v>78.68000000000001</v>
      </c>
      <c r="K855" s="9" t="n">
        <v>0.05</v>
      </c>
      <c r="L855" s="8" t="n">
        <v>0.99</v>
      </c>
      <c r="M855" s="8">
        <f>H855*I855*(1-K855)</f>
        <v/>
      </c>
      <c r="N855" s="8">
        <f>H855*J855</f>
        <v/>
      </c>
      <c r="O855" s="8">
        <f>M855-N855-L855</f>
        <v/>
      </c>
      <c r="P855" s="10">
        <f>IFERROR(O855/M855,0)</f>
        <v/>
      </c>
      <c r="Q855" s="3">
        <f>IF(H855&lt;=0,"Review: quantity &lt;= 0",IF(K855&gt;0.3,"Review: discount &gt; 30%",IF(G855="","Review: missing customer type","OK")))</f>
        <v/>
      </c>
    </row>
    <row r="856">
      <c r="A856" s="3" t="inlineStr">
        <is>
          <t>ORD-10855</t>
        </is>
      </c>
      <c r="B856" s="7" t="n">
        <v>45692</v>
      </c>
      <c r="C856" s="3" t="inlineStr">
        <is>
          <t>Home &amp; Lifestyle</t>
        </is>
      </c>
      <c r="D856" s="3" t="inlineStr">
        <is>
          <t>Backpacks</t>
        </is>
      </c>
      <c r="E856" s="3" t="inlineStr">
        <is>
          <t>Greater Accra</t>
        </is>
      </c>
      <c r="F856" s="3" t="inlineStr">
        <is>
          <t>Retail Shop</t>
        </is>
      </c>
      <c r="G856" s="3" t="inlineStr">
        <is>
          <t>Returning</t>
        </is>
      </c>
      <c r="H856" s="3" t="n">
        <v>1</v>
      </c>
      <c r="I856" s="8" t="n">
        <v>250</v>
      </c>
      <c r="J856" s="8" t="n">
        <v>135.02</v>
      </c>
      <c r="K856" s="9" t="n">
        <v>0</v>
      </c>
      <c r="L856" s="8" t="n">
        <v>6.79</v>
      </c>
      <c r="M856" s="8">
        <f>H856*I856*(1-K856)</f>
        <v/>
      </c>
      <c r="N856" s="8">
        <f>H856*J856</f>
        <v/>
      </c>
      <c r="O856" s="8">
        <f>M856-N856-L856</f>
        <v/>
      </c>
      <c r="P856" s="10">
        <f>IFERROR(O856/M856,0)</f>
        <v/>
      </c>
      <c r="Q856" s="3">
        <f>IF(H856&lt;=0,"Review: quantity &lt;= 0",IF(K856&gt;0.3,"Review: discount &gt; 30%",IF(G856="","Review: missing customer type","OK")))</f>
        <v/>
      </c>
    </row>
    <row r="857">
      <c r="A857" s="3" t="inlineStr">
        <is>
          <t>ORD-10856</t>
        </is>
      </c>
      <c r="B857" s="7" t="n">
        <v>45778</v>
      </c>
      <c r="C857" s="3" t="inlineStr">
        <is>
          <t>Clothing</t>
        </is>
      </c>
      <c r="D857" s="3" t="inlineStr">
        <is>
          <t>Jackets</t>
        </is>
      </c>
      <c r="E857" s="3" t="inlineStr">
        <is>
          <t>Western</t>
        </is>
      </c>
      <c r="F857" s="3" t="inlineStr">
        <is>
          <t>Online</t>
        </is>
      </c>
      <c r="G857" s="3" t="inlineStr">
        <is>
          <t>New</t>
        </is>
      </c>
      <c r="H857" s="3" t="n">
        <v>1</v>
      </c>
      <c r="I857" s="8" t="n">
        <v>110</v>
      </c>
      <c r="J857" s="8" t="n">
        <v>55.26</v>
      </c>
      <c r="K857" s="9" t="n">
        <v>0</v>
      </c>
      <c r="L857" s="8" t="n">
        <v>18.49</v>
      </c>
      <c r="M857" s="8">
        <f>H857*I857*(1-K857)</f>
        <v/>
      </c>
      <c r="N857" s="8">
        <f>H857*J857</f>
        <v/>
      </c>
      <c r="O857" s="8">
        <f>M857-N857-L857</f>
        <v/>
      </c>
      <c r="P857" s="10">
        <f>IFERROR(O857/M857,0)</f>
        <v/>
      </c>
      <c r="Q857" s="3">
        <f>IF(H857&lt;=0,"Review: quantity &lt;= 0",IF(K857&gt;0.3,"Review: discount &gt; 30%",IF(G857="","Review: missing customer type","OK")))</f>
        <v/>
      </c>
    </row>
    <row r="858">
      <c r="A858" s="3" t="inlineStr">
        <is>
          <t>ORD-10857</t>
        </is>
      </c>
      <c r="B858" s="7" t="n">
        <v>45813</v>
      </c>
      <c r="C858" s="3" t="inlineStr">
        <is>
          <t>Footwear</t>
        </is>
      </c>
      <c r="D858" s="3" t="inlineStr">
        <is>
          <t>Sneakers</t>
        </is>
      </c>
      <c r="E858" s="3" t="inlineStr">
        <is>
          <t>Ashanti</t>
        </is>
      </c>
      <c r="F858" s="3" t="inlineStr">
        <is>
          <t>Phone/WhatsApp</t>
        </is>
      </c>
      <c r="G858" s="3" t="inlineStr">
        <is>
          <t>New</t>
        </is>
      </c>
      <c r="H858" s="3" t="n">
        <v>5</v>
      </c>
      <c r="I858" s="8" t="n">
        <v>275</v>
      </c>
      <c r="J858" s="8" t="n">
        <v>147.54</v>
      </c>
      <c r="K858" s="9" t="n">
        <v>0.05</v>
      </c>
      <c r="L858" s="8" t="n">
        <v>40.31</v>
      </c>
      <c r="M858" s="8">
        <f>H858*I858*(1-K858)</f>
        <v/>
      </c>
      <c r="N858" s="8">
        <f>H858*J858</f>
        <v/>
      </c>
      <c r="O858" s="8">
        <f>M858-N858-L858</f>
        <v/>
      </c>
      <c r="P858" s="10">
        <f>IFERROR(O858/M858,0)</f>
        <v/>
      </c>
      <c r="Q858" s="3">
        <f>IF(H858&lt;=0,"Review: quantity &lt;= 0",IF(K858&gt;0.3,"Review: discount &gt; 30%",IF(G858="","Review: missing customer type","OK")))</f>
        <v/>
      </c>
    </row>
    <row r="859">
      <c r="A859" s="3" t="inlineStr">
        <is>
          <t>ORD-10858</t>
        </is>
      </c>
      <c r="B859" s="7" t="n">
        <v>45724</v>
      </c>
      <c r="C859" s="3" t="inlineStr">
        <is>
          <t>Clothing</t>
        </is>
      </c>
      <c r="D859" s="3" t="inlineStr">
        <is>
          <t>Jackets</t>
        </is>
      </c>
      <c r="E859" s="3" t="inlineStr">
        <is>
          <t>Ashanti</t>
        </is>
      </c>
      <c r="F859" s="3" t="inlineStr">
        <is>
          <t>Online</t>
        </is>
      </c>
      <c r="G859" s="3" t="inlineStr">
        <is>
          <t>Returning</t>
        </is>
      </c>
      <c r="H859" s="3" t="n">
        <v>2</v>
      </c>
      <c r="I859" s="8" t="n">
        <v>165</v>
      </c>
      <c r="J859" s="8" t="n">
        <v>92.70999999999999</v>
      </c>
      <c r="K859" s="9" t="n">
        <v>0</v>
      </c>
      <c r="L859" s="8" t="n">
        <v>18.55</v>
      </c>
      <c r="M859" s="8">
        <f>H859*I859*(1-K859)</f>
        <v/>
      </c>
      <c r="N859" s="8">
        <f>H859*J859</f>
        <v/>
      </c>
      <c r="O859" s="8">
        <f>M859-N859-L859</f>
        <v/>
      </c>
      <c r="P859" s="10">
        <f>IFERROR(O859/M859,0)</f>
        <v/>
      </c>
      <c r="Q859" s="3">
        <f>IF(H859&lt;=0,"Review: quantity &lt;= 0",IF(K859&gt;0.3,"Review: discount &gt; 30%",IF(G859="","Review: missing customer type","OK")))</f>
        <v/>
      </c>
    </row>
    <row r="860">
      <c r="A860" s="3" t="inlineStr">
        <is>
          <t>ORD-10859</t>
        </is>
      </c>
      <c r="B860" s="7" t="n">
        <v>45788</v>
      </c>
      <c r="C860" s="3" t="inlineStr">
        <is>
          <t>Clothing</t>
        </is>
      </c>
      <c r="D860" s="3" t="inlineStr">
        <is>
          <t>Shirts</t>
        </is>
      </c>
      <c r="E860" s="3" t="inlineStr">
        <is>
          <t>Ashanti</t>
        </is>
      </c>
      <c r="F860" s="3" t="inlineStr">
        <is>
          <t>Online</t>
        </is>
      </c>
      <c r="G860" s="3" t="inlineStr">
        <is>
          <t>New</t>
        </is>
      </c>
      <c r="H860" s="3" t="n">
        <v>3</v>
      </c>
      <c r="I860" s="8" t="n">
        <v>120</v>
      </c>
      <c r="J860" s="8" t="n">
        <v>61.69</v>
      </c>
      <c r="K860" s="9" t="n">
        <v>0.05</v>
      </c>
      <c r="L860" s="8" t="n">
        <v>33.25</v>
      </c>
      <c r="M860" s="8">
        <f>H860*I860*(1-K860)</f>
        <v/>
      </c>
      <c r="N860" s="8">
        <f>H860*J860</f>
        <v/>
      </c>
      <c r="O860" s="8">
        <f>M860-N860-L860</f>
        <v/>
      </c>
      <c r="P860" s="10">
        <f>IFERROR(O860/M860,0)</f>
        <v/>
      </c>
      <c r="Q860" s="3">
        <f>IF(H860&lt;=0,"Review: quantity &lt;= 0",IF(K860&gt;0.3,"Review: discount &gt; 30%",IF(G860="","Review: missing customer type","OK")))</f>
        <v/>
      </c>
    </row>
    <row r="861">
      <c r="A861" s="3" t="inlineStr">
        <is>
          <t>ORD-10860</t>
        </is>
      </c>
      <c r="B861" s="7" t="n">
        <v>45922</v>
      </c>
      <c r="C861" s="3" t="inlineStr">
        <is>
          <t>Home &amp; Lifestyle</t>
        </is>
      </c>
      <c r="D861" s="3" t="inlineStr">
        <is>
          <t>Backpacks</t>
        </is>
      </c>
      <c r="E861" s="3" t="inlineStr">
        <is>
          <t>Western</t>
        </is>
      </c>
      <c r="F861" s="3" t="inlineStr">
        <is>
          <t>Online</t>
        </is>
      </c>
      <c r="G861" s="3" t="inlineStr">
        <is>
          <t>Returning</t>
        </is>
      </c>
      <c r="H861" s="3" t="n">
        <v>2</v>
      </c>
      <c r="I861" s="8" t="n">
        <v>120</v>
      </c>
      <c r="J861" s="8" t="n">
        <v>72.55</v>
      </c>
      <c r="K861" s="9" t="n">
        <v>0</v>
      </c>
      <c r="L861" s="8" t="n">
        <v>12.44</v>
      </c>
      <c r="M861" s="8">
        <f>H861*I861*(1-K861)</f>
        <v/>
      </c>
      <c r="N861" s="8">
        <f>H861*J861</f>
        <v/>
      </c>
      <c r="O861" s="8">
        <f>M861-N861-L861</f>
        <v/>
      </c>
      <c r="P861" s="10">
        <f>IFERROR(O861/M861,0)</f>
        <v/>
      </c>
      <c r="Q861" s="3">
        <f>IF(H861&lt;=0,"Review: quantity &lt;= 0",IF(K861&gt;0.3,"Review: discount &gt; 30%",IF(G861="","Review: missing customer type","OK")))</f>
        <v/>
      </c>
    </row>
    <row r="862">
      <c r="A862" s="3" t="inlineStr">
        <is>
          <t>ORD-10861</t>
        </is>
      </c>
      <c r="B862" s="7" t="n">
        <v>45869</v>
      </c>
      <c r="C862" s="3" t="inlineStr">
        <is>
          <t>Home &amp; Lifestyle</t>
        </is>
      </c>
      <c r="D862" s="3" t="inlineStr">
        <is>
          <t>Small Home Goods</t>
        </is>
      </c>
      <c r="E862" s="3" t="inlineStr">
        <is>
          <t>Greater Accra</t>
        </is>
      </c>
      <c r="F862" s="3" t="inlineStr">
        <is>
          <t>Phone/WhatsApp</t>
        </is>
      </c>
      <c r="G862" s="3" t="inlineStr">
        <is>
          <t>Returning</t>
        </is>
      </c>
      <c r="H862" s="3" t="n">
        <v>2</v>
      </c>
      <c r="I862" s="8" t="n">
        <v>130</v>
      </c>
      <c r="J862" s="8" t="n">
        <v>68.48</v>
      </c>
      <c r="K862" s="9" t="n">
        <v>0.15</v>
      </c>
      <c r="L862" s="8" t="n">
        <v>28.74</v>
      </c>
      <c r="M862" s="8">
        <f>H862*I862*(1-K862)</f>
        <v/>
      </c>
      <c r="N862" s="8">
        <f>H862*J862</f>
        <v/>
      </c>
      <c r="O862" s="8">
        <f>M862-N862-L862</f>
        <v/>
      </c>
      <c r="P862" s="10">
        <f>IFERROR(O862/M862,0)</f>
        <v/>
      </c>
      <c r="Q862" s="3">
        <f>IF(H862&lt;=0,"Review: quantity &lt;= 0",IF(K862&gt;0.3,"Review: discount &gt; 30%",IF(G862="","Review: missing customer type","OK")))</f>
        <v/>
      </c>
    </row>
    <row r="863">
      <c r="A863" s="3" t="inlineStr">
        <is>
          <t>ORD-10862</t>
        </is>
      </c>
      <c r="B863" s="7" t="n">
        <v>45986</v>
      </c>
      <c r="C863" s="3" t="inlineStr">
        <is>
          <t>Clothing</t>
        </is>
      </c>
      <c r="D863" s="3" t="inlineStr">
        <is>
          <t>Trousers</t>
        </is>
      </c>
      <c r="E863" s="3" t="inlineStr">
        <is>
          <t>Greater Accra</t>
        </is>
      </c>
      <c r="F863" s="3" t="inlineStr">
        <is>
          <t>Retail Shop</t>
        </is>
      </c>
      <c r="G863" s="3" t="inlineStr">
        <is>
          <t>New</t>
        </is>
      </c>
      <c r="H863" s="3" t="n">
        <v>8</v>
      </c>
      <c r="I863" s="8" t="n">
        <v>240</v>
      </c>
      <c r="J863" s="8" t="n">
        <v>132.93</v>
      </c>
      <c r="K863" s="9" t="n">
        <v>0</v>
      </c>
      <c r="L863" s="8" t="n">
        <v>9.19</v>
      </c>
      <c r="M863" s="8">
        <f>H863*I863*(1-K863)</f>
        <v/>
      </c>
      <c r="N863" s="8">
        <f>H863*J863</f>
        <v/>
      </c>
      <c r="O863" s="8">
        <f>M863-N863-L863</f>
        <v/>
      </c>
      <c r="P863" s="10">
        <f>IFERROR(O863/M863,0)</f>
        <v/>
      </c>
      <c r="Q863" s="3">
        <f>IF(H863&lt;=0,"Review: quantity &lt;= 0",IF(K863&gt;0.3,"Review: discount &gt; 30%",IF(G863="","Review: missing customer type","OK")))</f>
        <v/>
      </c>
    </row>
    <row r="864">
      <c r="A864" s="3" t="inlineStr">
        <is>
          <t>ORD-10863</t>
        </is>
      </c>
      <c r="B864" s="7" t="n">
        <v>45918</v>
      </c>
      <c r="C864" s="3" t="inlineStr">
        <is>
          <t>Footwear</t>
        </is>
      </c>
      <c r="D864" s="3" t="inlineStr">
        <is>
          <t>Boots</t>
        </is>
      </c>
      <c r="E864" s="3" t="inlineStr">
        <is>
          <t>Greater Accra</t>
        </is>
      </c>
      <c r="F864" s="3" t="inlineStr">
        <is>
          <t>Phone/WhatsApp</t>
        </is>
      </c>
      <c r="G864" s="3" t="inlineStr">
        <is>
          <t>Returning</t>
        </is>
      </c>
      <c r="H864" s="3" t="n">
        <v>2</v>
      </c>
      <c r="I864" s="8" t="n">
        <v>285</v>
      </c>
      <c r="J864" s="8" t="n">
        <v>156.92</v>
      </c>
      <c r="K864" s="9" t="n">
        <v>0</v>
      </c>
      <c r="L864" s="8" t="n">
        <v>10.49</v>
      </c>
      <c r="M864" s="8">
        <f>H864*I864*(1-K864)</f>
        <v/>
      </c>
      <c r="N864" s="8">
        <f>H864*J864</f>
        <v/>
      </c>
      <c r="O864" s="8">
        <f>M864-N864-L864</f>
        <v/>
      </c>
      <c r="P864" s="10">
        <f>IFERROR(O864/M864,0)</f>
        <v/>
      </c>
      <c r="Q864" s="3">
        <f>IF(H864&lt;=0,"Review: quantity &lt;= 0",IF(K864&gt;0.3,"Review: discount &gt; 30%",IF(G864="","Review: missing customer type","OK")))</f>
        <v/>
      </c>
    </row>
    <row r="865">
      <c r="A865" s="3" t="inlineStr">
        <is>
          <t>ORD-10864</t>
        </is>
      </c>
      <c r="B865" s="7" t="n">
        <v>46016</v>
      </c>
      <c r="C865" s="3" t="inlineStr">
        <is>
          <t>Accessories</t>
        </is>
      </c>
      <c r="D865" s="3" t="inlineStr">
        <is>
          <t>Sunglasses</t>
        </is>
      </c>
      <c r="E865" s="3" t="inlineStr">
        <is>
          <t>Greater Accra</t>
        </is>
      </c>
      <c r="F865" s="3" t="inlineStr">
        <is>
          <t>Online</t>
        </is>
      </c>
      <c r="G865" s="3" t="inlineStr">
        <is>
          <t>New</t>
        </is>
      </c>
      <c r="H865" s="3" t="n">
        <v>1</v>
      </c>
      <c r="I865" s="8" t="n">
        <v>75</v>
      </c>
      <c r="J865" s="8" t="n">
        <v>38.24</v>
      </c>
      <c r="K865" s="9" t="n">
        <v>0</v>
      </c>
      <c r="L865" s="8" t="n">
        <v>16.34</v>
      </c>
      <c r="M865" s="8">
        <f>H865*I865*(1-K865)</f>
        <v/>
      </c>
      <c r="N865" s="8">
        <f>H865*J865</f>
        <v/>
      </c>
      <c r="O865" s="8">
        <f>M865-N865-L865</f>
        <v/>
      </c>
      <c r="P865" s="10">
        <f>IFERROR(O865/M865,0)</f>
        <v/>
      </c>
      <c r="Q865" s="3">
        <f>IF(H865&lt;=0,"Review: quantity &lt;= 0",IF(K865&gt;0.3,"Review: discount &gt; 30%",IF(G865="","Review: missing customer type","OK")))</f>
        <v/>
      </c>
    </row>
    <row r="866">
      <c r="A866" s="3" t="inlineStr">
        <is>
          <t>ORD-10865</t>
        </is>
      </c>
      <c r="B866" s="7" t="n">
        <v>45674</v>
      </c>
      <c r="C866" s="3" t="inlineStr">
        <is>
          <t>Footwear</t>
        </is>
      </c>
      <c r="D866" s="3" t="inlineStr">
        <is>
          <t>Sneakers</t>
        </is>
      </c>
      <c r="E866" s="3" t="inlineStr">
        <is>
          <t>Western</t>
        </is>
      </c>
      <c r="F866" s="3" t="inlineStr">
        <is>
          <t>Retail Shop</t>
        </is>
      </c>
      <c r="G866" s="3" t="inlineStr">
        <is>
          <t>New</t>
        </is>
      </c>
      <c r="H866" s="3" t="n">
        <v>3</v>
      </c>
      <c r="I866" s="8" t="n">
        <v>275</v>
      </c>
      <c r="J866" s="8" t="n">
        <v>142.21</v>
      </c>
      <c r="K866" s="9" t="n">
        <v>0</v>
      </c>
      <c r="L866" s="8" t="n">
        <v>10.43</v>
      </c>
      <c r="M866" s="8">
        <f>H866*I866*(1-K866)</f>
        <v/>
      </c>
      <c r="N866" s="8">
        <f>H866*J866</f>
        <v/>
      </c>
      <c r="O866" s="8">
        <f>M866-N866-L866</f>
        <v/>
      </c>
      <c r="P866" s="10">
        <f>IFERROR(O866/M866,0)</f>
        <v/>
      </c>
      <c r="Q866" s="3">
        <f>IF(H866&lt;=0,"Review: quantity &lt;= 0",IF(K866&gt;0.3,"Review: discount &gt; 30%",IF(G866="","Review: missing customer type","OK")))</f>
        <v/>
      </c>
    </row>
    <row r="867">
      <c r="A867" s="3" t="inlineStr">
        <is>
          <t>ORD-10866</t>
        </is>
      </c>
      <c r="B867" s="7" t="n">
        <v>45812</v>
      </c>
      <c r="C867" s="3" t="inlineStr">
        <is>
          <t>Home &amp; Lifestyle</t>
        </is>
      </c>
      <c r="D867" s="3" t="inlineStr">
        <is>
          <t>Travel Mugs</t>
        </is>
      </c>
      <c r="E867" s="3" t="inlineStr">
        <is>
          <t>Greater Accra</t>
        </is>
      </c>
      <c r="F867" s="3" t="inlineStr">
        <is>
          <t>Online</t>
        </is>
      </c>
      <c r="G867" s="3" t="inlineStr">
        <is>
          <t>Returning</t>
        </is>
      </c>
      <c r="H867" s="3" t="n">
        <v>3</v>
      </c>
      <c r="I867" s="8" t="n">
        <v>110</v>
      </c>
      <c r="J867" s="8" t="n">
        <v>56.3</v>
      </c>
      <c r="K867" s="9" t="n">
        <v>0.05</v>
      </c>
      <c r="L867" s="8" t="n">
        <v>37.09</v>
      </c>
      <c r="M867" s="8">
        <f>H867*I867*(1-K867)</f>
        <v/>
      </c>
      <c r="N867" s="8">
        <f>H867*J867</f>
        <v/>
      </c>
      <c r="O867" s="8">
        <f>M867-N867-L867</f>
        <v/>
      </c>
      <c r="P867" s="10">
        <f>IFERROR(O867/M867,0)</f>
        <v/>
      </c>
      <c r="Q867" s="3">
        <f>IF(H867&lt;=0,"Review: quantity &lt;= 0",IF(K867&gt;0.3,"Review: discount &gt; 30%",IF(G867="","Review: missing customer type","OK")))</f>
        <v/>
      </c>
    </row>
    <row r="868">
      <c r="A868" s="3" t="inlineStr">
        <is>
          <t>ORD-10867</t>
        </is>
      </c>
      <c r="B868" s="7" t="n">
        <v>45665</v>
      </c>
      <c r="C868" s="3" t="inlineStr">
        <is>
          <t>Footwear</t>
        </is>
      </c>
      <c r="D868" s="3" t="inlineStr">
        <is>
          <t>Boots</t>
        </is>
      </c>
      <c r="E868" s="3" t="inlineStr">
        <is>
          <t>Western</t>
        </is>
      </c>
      <c r="F868" s="3" t="inlineStr">
        <is>
          <t>Retail Shop</t>
        </is>
      </c>
      <c r="G868" s="3" t="inlineStr">
        <is>
          <t>Returning</t>
        </is>
      </c>
      <c r="H868" s="3" t="n">
        <v>1</v>
      </c>
      <c r="I868" s="8" t="n">
        <v>430</v>
      </c>
      <c r="J868" s="8" t="n">
        <v>228.88</v>
      </c>
      <c r="K868" s="9" t="n">
        <v>0.05</v>
      </c>
      <c r="L868" s="8" t="n">
        <v>11.24</v>
      </c>
      <c r="M868" s="8">
        <f>H868*I868*(1-K868)</f>
        <v/>
      </c>
      <c r="N868" s="8">
        <f>H868*J868</f>
        <v/>
      </c>
      <c r="O868" s="8">
        <f>M868-N868-L868</f>
        <v/>
      </c>
      <c r="P868" s="10">
        <f>IFERROR(O868/M868,0)</f>
        <v/>
      </c>
      <c r="Q868" s="3">
        <f>IF(H868&lt;=0,"Review: quantity &lt;= 0",IF(K868&gt;0.3,"Review: discount &gt; 30%",IF(G868="","Review: missing customer type","OK")))</f>
        <v/>
      </c>
    </row>
    <row r="869">
      <c r="A869" s="3" t="inlineStr">
        <is>
          <t>ORD-10868</t>
        </is>
      </c>
      <c r="B869" s="7" t="n">
        <v>45948</v>
      </c>
      <c r="C869" s="3" t="inlineStr">
        <is>
          <t>Footwear</t>
        </is>
      </c>
      <c r="D869" s="3" t="inlineStr">
        <is>
          <t>Sneakers</t>
        </is>
      </c>
      <c r="E869" s="3" t="inlineStr">
        <is>
          <t>Greater Accra</t>
        </is>
      </c>
      <c r="F869" s="3" t="inlineStr">
        <is>
          <t>Online</t>
        </is>
      </c>
      <c r="G869" s="3" t="inlineStr">
        <is>
          <t>Returning</t>
        </is>
      </c>
      <c r="H869" s="3" t="n">
        <v>5</v>
      </c>
      <c r="I869" s="8" t="n">
        <v>235</v>
      </c>
      <c r="J869" s="8" t="n">
        <v>141.57</v>
      </c>
      <c r="K869" s="9" t="n">
        <v>0</v>
      </c>
      <c r="L869" s="8" t="n">
        <v>9.75</v>
      </c>
      <c r="M869" s="8">
        <f>H869*I869*(1-K869)</f>
        <v/>
      </c>
      <c r="N869" s="8">
        <f>H869*J869</f>
        <v/>
      </c>
      <c r="O869" s="8">
        <f>M869-N869-L869</f>
        <v/>
      </c>
      <c r="P869" s="10">
        <f>IFERROR(O869/M869,0)</f>
        <v/>
      </c>
      <c r="Q869" s="3">
        <f>IF(H869&lt;=0,"Review: quantity &lt;= 0",IF(K869&gt;0.3,"Review: discount &gt; 30%",IF(G869="","Review: missing customer type","OK")))</f>
        <v/>
      </c>
    </row>
    <row r="870">
      <c r="A870" s="3" t="inlineStr">
        <is>
          <t>ORD-10869</t>
        </is>
      </c>
      <c r="B870" s="7" t="n">
        <v>45747</v>
      </c>
      <c r="C870" s="3" t="inlineStr">
        <is>
          <t>Clothing</t>
        </is>
      </c>
      <c r="D870" s="3" t="inlineStr">
        <is>
          <t>Dresses</t>
        </is>
      </c>
      <c r="E870" s="3" t="inlineStr">
        <is>
          <t>Western</t>
        </is>
      </c>
      <c r="F870" s="3" t="inlineStr">
        <is>
          <t>Retail Shop</t>
        </is>
      </c>
      <c r="G870" s="3" t="inlineStr">
        <is>
          <t>Returning</t>
        </is>
      </c>
      <c r="H870" s="3" t="n">
        <v>1</v>
      </c>
      <c r="I870" s="8" t="n">
        <v>245</v>
      </c>
      <c r="J870" s="8" t="n">
        <v>114.39</v>
      </c>
      <c r="K870" s="9" t="n">
        <v>0.05</v>
      </c>
      <c r="L870" s="8" t="n">
        <v>10.13</v>
      </c>
      <c r="M870" s="8">
        <f>H870*I870*(1-K870)</f>
        <v/>
      </c>
      <c r="N870" s="8">
        <f>H870*J870</f>
        <v/>
      </c>
      <c r="O870" s="8">
        <f>M870-N870-L870</f>
        <v/>
      </c>
      <c r="P870" s="10">
        <f>IFERROR(O870/M870,0)</f>
        <v/>
      </c>
      <c r="Q870" s="3">
        <f>IF(H870&lt;=0,"Review: quantity &lt;= 0",IF(K870&gt;0.3,"Review: discount &gt; 30%",IF(G870="","Review: missing customer type","OK")))</f>
        <v/>
      </c>
    </row>
    <row r="871">
      <c r="A871" s="3" t="inlineStr">
        <is>
          <t>ORD-10870</t>
        </is>
      </c>
      <c r="B871" s="7" t="n">
        <v>45866</v>
      </c>
      <c r="C871" s="3" t="inlineStr">
        <is>
          <t>Footwear</t>
        </is>
      </c>
      <c r="D871" s="3" t="inlineStr">
        <is>
          <t>Sneakers</t>
        </is>
      </c>
      <c r="E871" s="3" t="inlineStr">
        <is>
          <t>Western</t>
        </is>
      </c>
      <c r="F871" s="3" t="inlineStr">
        <is>
          <t>Phone/WhatsApp</t>
        </is>
      </c>
      <c r="G871" s="3" t="inlineStr">
        <is>
          <t>Returning</t>
        </is>
      </c>
      <c r="H871" s="3" t="n">
        <v>3</v>
      </c>
      <c r="I871" s="8" t="n">
        <v>260</v>
      </c>
      <c r="J871" s="8" t="n">
        <v>144.65</v>
      </c>
      <c r="K871" s="9" t="n">
        <v>0</v>
      </c>
      <c r="L871" s="8" t="n">
        <v>8.4</v>
      </c>
      <c r="M871" s="8">
        <f>H871*I871*(1-K871)</f>
        <v/>
      </c>
      <c r="N871" s="8">
        <f>H871*J871</f>
        <v/>
      </c>
      <c r="O871" s="8">
        <f>M871-N871-L871</f>
        <v/>
      </c>
      <c r="P871" s="10">
        <f>IFERROR(O871/M871,0)</f>
        <v/>
      </c>
      <c r="Q871" s="3">
        <f>IF(H871&lt;=0,"Review: quantity &lt;= 0",IF(K871&gt;0.3,"Review: discount &gt; 30%",IF(G871="","Review: missing customer type","OK")))</f>
        <v/>
      </c>
    </row>
    <row r="872">
      <c r="A872" s="3" t="inlineStr">
        <is>
          <t>ORD-10871</t>
        </is>
      </c>
      <c r="B872" s="7" t="n">
        <v>45843</v>
      </c>
      <c r="C872" s="3" t="inlineStr">
        <is>
          <t>Accessories</t>
        </is>
      </c>
      <c r="D872" s="3" t="inlineStr">
        <is>
          <t>Sunglasses</t>
        </is>
      </c>
      <c r="E872" s="3" t="inlineStr">
        <is>
          <t>Greater Accra</t>
        </is>
      </c>
      <c r="F872" s="3" t="inlineStr">
        <is>
          <t>Online</t>
        </is>
      </c>
      <c r="G872" s="3" t="inlineStr">
        <is>
          <t>New</t>
        </is>
      </c>
      <c r="H872" s="3" t="n">
        <v>2</v>
      </c>
      <c r="I872" s="8" t="n">
        <v>135</v>
      </c>
      <c r="J872" s="8" t="n">
        <v>65.12</v>
      </c>
      <c r="K872" s="9" t="n">
        <v>0</v>
      </c>
      <c r="L872" s="8" t="n">
        <v>38.93</v>
      </c>
      <c r="M872" s="8">
        <f>H872*I872*(1-K872)</f>
        <v/>
      </c>
      <c r="N872" s="8">
        <f>H872*J872</f>
        <v/>
      </c>
      <c r="O872" s="8">
        <f>M872-N872-L872</f>
        <v/>
      </c>
      <c r="P872" s="10">
        <f>IFERROR(O872/M872,0)</f>
        <v/>
      </c>
      <c r="Q872" s="3">
        <f>IF(H872&lt;=0,"Review: quantity &lt;= 0",IF(K872&gt;0.3,"Review: discount &gt; 30%",IF(G872="","Review: missing customer type","OK")))</f>
        <v/>
      </c>
    </row>
    <row r="873">
      <c r="A873" s="3" t="inlineStr">
        <is>
          <t>ORD-10872</t>
        </is>
      </c>
      <c r="B873" s="7" t="n">
        <v>45792</v>
      </c>
      <c r="C873" s="3" t="inlineStr">
        <is>
          <t>Accessories</t>
        </is>
      </c>
      <c r="D873" s="3" t="inlineStr">
        <is>
          <t>Belts</t>
        </is>
      </c>
      <c r="E873" s="3" t="inlineStr">
        <is>
          <t>Ashanti</t>
        </is>
      </c>
      <c r="F873" s="3" t="inlineStr">
        <is>
          <t>Retail Shop</t>
        </is>
      </c>
      <c r="G873" s="3" t="inlineStr">
        <is>
          <t>Returning</t>
        </is>
      </c>
      <c r="H873" s="3" t="n">
        <v>4</v>
      </c>
      <c r="I873" s="8" t="n">
        <v>100</v>
      </c>
      <c r="J873" s="8" t="n">
        <v>43.91</v>
      </c>
      <c r="K873" s="9" t="n">
        <v>0.05</v>
      </c>
      <c r="L873" s="8" t="n">
        <v>4.21</v>
      </c>
      <c r="M873" s="8">
        <f>H873*I873*(1-K873)</f>
        <v/>
      </c>
      <c r="N873" s="8">
        <f>H873*J873</f>
        <v/>
      </c>
      <c r="O873" s="8">
        <f>M873-N873-L873</f>
        <v/>
      </c>
      <c r="P873" s="10">
        <f>IFERROR(O873/M873,0)</f>
        <v/>
      </c>
      <c r="Q873" s="3">
        <f>IF(H873&lt;=0,"Review: quantity &lt;= 0",IF(K873&gt;0.3,"Review: discount &gt; 30%",IF(G873="","Review: missing customer type","OK")))</f>
        <v/>
      </c>
    </row>
    <row r="874">
      <c r="A874" s="3" t="inlineStr">
        <is>
          <t>ORD-10873</t>
        </is>
      </c>
      <c r="B874" s="7" t="n">
        <v>46003</v>
      </c>
      <c r="C874" s="3" t="inlineStr">
        <is>
          <t>Footwear</t>
        </is>
      </c>
      <c r="D874" s="3" t="inlineStr">
        <is>
          <t>Formal Shoes</t>
        </is>
      </c>
      <c r="E874" s="3" t="inlineStr">
        <is>
          <t>Greater Accra</t>
        </is>
      </c>
      <c r="F874" s="3" t="inlineStr">
        <is>
          <t>Retail Shop</t>
        </is>
      </c>
      <c r="G874" s="3" t="inlineStr">
        <is>
          <t>Returning</t>
        </is>
      </c>
      <c r="H874" s="3" t="n">
        <v>4</v>
      </c>
      <c r="I874" s="8" t="n">
        <v>505</v>
      </c>
      <c r="J874" s="8" t="n">
        <v>257.07</v>
      </c>
      <c r="K874" s="9" t="n">
        <v>0</v>
      </c>
      <c r="L874" s="8" t="n">
        <v>0.75</v>
      </c>
      <c r="M874" s="8">
        <f>H874*I874*(1-K874)</f>
        <v/>
      </c>
      <c r="N874" s="8">
        <f>H874*J874</f>
        <v/>
      </c>
      <c r="O874" s="8">
        <f>M874-N874-L874</f>
        <v/>
      </c>
      <c r="P874" s="10">
        <f>IFERROR(O874/M874,0)</f>
        <v/>
      </c>
      <c r="Q874" s="3">
        <f>IF(H874&lt;=0,"Review: quantity &lt;= 0",IF(K874&gt;0.3,"Review: discount &gt; 30%",IF(G874="","Review: missing customer type","OK")))</f>
        <v/>
      </c>
    </row>
    <row r="875">
      <c r="A875" s="3" t="inlineStr">
        <is>
          <t>ORD-10874</t>
        </is>
      </c>
      <c r="B875" s="7" t="n">
        <v>45926</v>
      </c>
      <c r="C875" s="3" t="inlineStr">
        <is>
          <t>Footwear</t>
        </is>
      </c>
      <c r="D875" s="3" t="inlineStr">
        <is>
          <t>Formal Shoes</t>
        </is>
      </c>
      <c r="E875" s="3" t="inlineStr">
        <is>
          <t>Western</t>
        </is>
      </c>
      <c r="F875" s="3" t="inlineStr">
        <is>
          <t>Retail Shop</t>
        </is>
      </c>
      <c r="G875" s="3" t="inlineStr">
        <is>
          <t>Returning</t>
        </is>
      </c>
      <c r="H875" s="3" t="n">
        <v>1</v>
      </c>
      <c r="I875" s="8" t="n">
        <v>300</v>
      </c>
      <c r="J875" s="8" t="n">
        <v>189.27</v>
      </c>
      <c r="K875" s="9" t="n">
        <v>0</v>
      </c>
      <c r="L875" s="8" t="n">
        <v>2.64</v>
      </c>
      <c r="M875" s="8">
        <f>H875*I875*(1-K875)</f>
        <v/>
      </c>
      <c r="N875" s="8">
        <f>H875*J875</f>
        <v/>
      </c>
      <c r="O875" s="8">
        <f>M875-N875-L875</f>
        <v/>
      </c>
      <c r="P875" s="10">
        <f>IFERROR(O875/M875,0)</f>
        <v/>
      </c>
      <c r="Q875" s="3">
        <f>IF(H875&lt;=0,"Review: quantity &lt;= 0",IF(K875&gt;0.3,"Review: discount &gt; 30%",IF(G875="","Review: missing customer type","OK")))</f>
        <v/>
      </c>
    </row>
    <row r="876">
      <c r="A876" s="3" t="inlineStr">
        <is>
          <t>ORD-10875</t>
        </is>
      </c>
      <c r="B876" s="7" t="n">
        <v>45934</v>
      </c>
      <c r="C876" s="3" t="inlineStr">
        <is>
          <t>Footwear</t>
        </is>
      </c>
      <c r="D876" s="3" t="inlineStr">
        <is>
          <t>Sandals</t>
        </is>
      </c>
      <c r="E876" s="3" t="inlineStr">
        <is>
          <t>Greater Accra</t>
        </is>
      </c>
      <c r="F876" s="3" t="inlineStr">
        <is>
          <t>Retail Shop</t>
        </is>
      </c>
      <c r="G876" s="3" t="inlineStr">
        <is>
          <t>New</t>
        </is>
      </c>
      <c r="H876" s="3" t="n">
        <v>6</v>
      </c>
      <c r="I876" s="8" t="n">
        <v>170</v>
      </c>
      <c r="J876" s="8" t="n">
        <v>99.56</v>
      </c>
      <c r="K876" s="9" t="n">
        <v>0</v>
      </c>
      <c r="L876" s="8" t="n">
        <v>8.75</v>
      </c>
      <c r="M876" s="8">
        <f>H876*I876*(1-K876)</f>
        <v/>
      </c>
      <c r="N876" s="8">
        <f>H876*J876</f>
        <v/>
      </c>
      <c r="O876" s="8">
        <f>M876-N876-L876</f>
        <v/>
      </c>
      <c r="P876" s="10">
        <f>IFERROR(O876/M876,0)</f>
        <v/>
      </c>
      <c r="Q876" s="3">
        <f>IF(H876&lt;=0,"Review: quantity &lt;= 0",IF(K876&gt;0.3,"Review: discount &gt; 30%",IF(G876="","Review: missing customer type","OK")))</f>
        <v/>
      </c>
    </row>
    <row r="877">
      <c r="A877" s="3" t="inlineStr">
        <is>
          <t>ORD-10876</t>
        </is>
      </c>
      <c r="B877" s="7" t="n">
        <v>45958</v>
      </c>
      <c r="C877" s="3" t="inlineStr">
        <is>
          <t>Footwear</t>
        </is>
      </c>
      <c r="D877" s="3" t="inlineStr">
        <is>
          <t>Boots</t>
        </is>
      </c>
      <c r="E877" s="3" t="inlineStr">
        <is>
          <t>Ashanti</t>
        </is>
      </c>
      <c r="F877" s="3" t="inlineStr">
        <is>
          <t>Phone/WhatsApp</t>
        </is>
      </c>
      <c r="G877" s="3" t="inlineStr">
        <is>
          <t>Returning</t>
        </is>
      </c>
      <c r="H877" s="3" t="n">
        <v>3</v>
      </c>
      <c r="I877" s="8" t="n">
        <v>240</v>
      </c>
      <c r="J877" s="8" t="n">
        <v>124.16</v>
      </c>
      <c r="K877" s="9" t="n">
        <v>0.05</v>
      </c>
      <c r="L877" s="8" t="n">
        <v>12.41</v>
      </c>
      <c r="M877" s="8">
        <f>H877*I877*(1-K877)</f>
        <v/>
      </c>
      <c r="N877" s="8">
        <f>H877*J877</f>
        <v/>
      </c>
      <c r="O877" s="8">
        <f>M877-N877-L877</f>
        <v/>
      </c>
      <c r="P877" s="10">
        <f>IFERROR(O877/M877,0)</f>
        <v/>
      </c>
      <c r="Q877" s="3">
        <f>IF(H877&lt;=0,"Review: quantity &lt;= 0",IF(K877&gt;0.3,"Review: discount &gt; 30%",IF(G877="","Review: missing customer type","OK")))</f>
        <v/>
      </c>
    </row>
    <row r="878">
      <c r="A878" s="3" t="inlineStr">
        <is>
          <t>ORD-10877</t>
        </is>
      </c>
      <c r="B878" s="7" t="n">
        <v>45704</v>
      </c>
      <c r="C878" s="3" t="inlineStr">
        <is>
          <t>Home &amp; Lifestyle</t>
        </is>
      </c>
      <c r="D878" s="3" t="inlineStr">
        <is>
          <t>Travel Mugs</t>
        </is>
      </c>
      <c r="E878" s="3" t="inlineStr">
        <is>
          <t>Western</t>
        </is>
      </c>
      <c r="F878" s="3" t="inlineStr">
        <is>
          <t>Online</t>
        </is>
      </c>
      <c r="G878" s="3" t="inlineStr">
        <is>
          <t>Returning</t>
        </is>
      </c>
      <c r="H878" s="3" t="n">
        <v>1</v>
      </c>
      <c r="I878" s="8" t="n">
        <v>130</v>
      </c>
      <c r="J878" s="8" t="n">
        <v>73.58</v>
      </c>
      <c r="K878" s="9" t="n">
        <v>0.2</v>
      </c>
      <c r="L878" s="8" t="n">
        <v>23.66</v>
      </c>
      <c r="M878" s="8">
        <f>H878*I878*(1-K878)</f>
        <v/>
      </c>
      <c r="N878" s="8">
        <f>H878*J878</f>
        <v/>
      </c>
      <c r="O878" s="8">
        <f>M878-N878-L878</f>
        <v/>
      </c>
      <c r="P878" s="10">
        <f>IFERROR(O878/M878,0)</f>
        <v/>
      </c>
      <c r="Q878" s="3">
        <f>IF(H878&lt;=0,"Review: quantity &lt;= 0",IF(K878&gt;0.3,"Review: discount &gt; 30%",IF(G878="","Review: missing customer type","OK")))</f>
        <v/>
      </c>
    </row>
    <row r="879">
      <c r="A879" s="3" t="inlineStr">
        <is>
          <t>ORD-10878</t>
        </is>
      </c>
      <c r="B879" s="7" t="n">
        <v>46014</v>
      </c>
      <c r="C879" s="3" t="inlineStr">
        <is>
          <t>Footwear</t>
        </is>
      </c>
      <c r="D879" s="3" t="inlineStr">
        <is>
          <t>Sandals</t>
        </is>
      </c>
      <c r="E879" s="3" t="inlineStr">
        <is>
          <t>Greater Accra</t>
        </is>
      </c>
      <c r="F879" s="3" t="inlineStr">
        <is>
          <t>Phone/WhatsApp</t>
        </is>
      </c>
      <c r="G879" s="3" t="inlineStr">
        <is>
          <t>New</t>
        </is>
      </c>
      <c r="H879" s="3" t="n">
        <v>1</v>
      </c>
      <c r="I879" s="8" t="n">
        <v>155</v>
      </c>
      <c r="J879" s="8" t="n">
        <v>90.3</v>
      </c>
      <c r="K879" s="9" t="n">
        <v>0.2</v>
      </c>
      <c r="L879" s="8" t="n">
        <v>27.97</v>
      </c>
      <c r="M879" s="8">
        <f>H879*I879*(1-K879)</f>
        <v/>
      </c>
      <c r="N879" s="8">
        <f>H879*J879</f>
        <v/>
      </c>
      <c r="O879" s="8">
        <f>M879-N879-L879</f>
        <v/>
      </c>
      <c r="P879" s="10">
        <f>IFERROR(O879/M879,0)</f>
        <v/>
      </c>
      <c r="Q879" s="3">
        <f>IF(H879&lt;=0,"Review: quantity &lt;= 0",IF(K879&gt;0.3,"Review: discount &gt; 30%",IF(G879="","Review: missing customer type","OK")))</f>
        <v/>
      </c>
    </row>
    <row r="880">
      <c r="A880" s="3" t="inlineStr">
        <is>
          <t>ORD-10879</t>
        </is>
      </c>
      <c r="B880" s="7" t="n">
        <v>45760</v>
      </c>
      <c r="C880" s="3" t="inlineStr">
        <is>
          <t>Clothing</t>
        </is>
      </c>
      <c r="D880" s="3" t="inlineStr">
        <is>
          <t>Trousers</t>
        </is>
      </c>
      <c r="E880" s="3" t="inlineStr">
        <is>
          <t>Ashanti</t>
        </is>
      </c>
      <c r="F880" s="3" t="inlineStr">
        <is>
          <t>Online</t>
        </is>
      </c>
      <c r="G880" s="3" t="inlineStr">
        <is>
          <t>Returning</t>
        </is>
      </c>
      <c r="H880" s="3" t="n">
        <v>2</v>
      </c>
      <c r="I880" s="8" t="n">
        <v>145</v>
      </c>
      <c r="J880" s="8" t="n">
        <v>70.62</v>
      </c>
      <c r="K880" s="9" t="n">
        <v>0</v>
      </c>
      <c r="L880" s="8" t="n">
        <v>9.039999999999999</v>
      </c>
      <c r="M880" s="8">
        <f>H880*I880*(1-K880)</f>
        <v/>
      </c>
      <c r="N880" s="8">
        <f>H880*J880</f>
        <v/>
      </c>
      <c r="O880" s="8">
        <f>M880-N880-L880</f>
        <v/>
      </c>
      <c r="P880" s="10">
        <f>IFERROR(O880/M880,0)</f>
        <v/>
      </c>
      <c r="Q880" s="3">
        <f>IF(H880&lt;=0,"Review: quantity &lt;= 0",IF(K880&gt;0.3,"Review: discount &gt; 30%",IF(G880="","Review: missing customer type","OK")))</f>
        <v/>
      </c>
    </row>
    <row r="881">
      <c r="A881" s="3" t="inlineStr">
        <is>
          <t>ORD-10880</t>
        </is>
      </c>
      <c r="B881" s="7" t="n">
        <v>45907</v>
      </c>
      <c r="C881" s="3" t="inlineStr">
        <is>
          <t>Home &amp; Lifestyle</t>
        </is>
      </c>
      <c r="D881" s="3" t="inlineStr">
        <is>
          <t>Small Home Goods</t>
        </is>
      </c>
      <c r="E881" s="3" t="inlineStr">
        <is>
          <t>Greater Accra</t>
        </is>
      </c>
      <c r="F881" s="3" t="inlineStr">
        <is>
          <t>Retail Shop</t>
        </is>
      </c>
      <c r="G881" s="3" t="inlineStr">
        <is>
          <t>New</t>
        </is>
      </c>
      <c r="H881" s="3" t="n">
        <v>1</v>
      </c>
      <c r="I881" s="8" t="n">
        <v>125</v>
      </c>
      <c r="J881" s="8" t="n">
        <v>75.34999999999999</v>
      </c>
      <c r="K881" s="9" t="n">
        <v>0.1</v>
      </c>
      <c r="L881" s="8" t="n">
        <v>2.85</v>
      </c>
      <c r="M881" s="8">
        <f>H881*I881*(1-K881)</f>
        <v/>
      </c>
      <c r="N881" s="8">
        <f>H881*J881</f>
        <v/>
      </c>
      <c r="O881" s="8">
        <f>M881-N881-L881</f>
        <v/>
      </c>
      <c r="P881" s="10">
        <f>IFERROR(O881/M881,0)</f>
        <v/>
      </c>
      <c r="Q881" s="3">
        <f>IF(H881&lt;=0,"Review: quantity &lt;= 0",IF(K881&gt;0.3,"Review: discount &gt; 30%",IF(G881="","Review: missing customer type","OK")))</f>
        <v/>
      </c>
    </row>
    <row r="882">
      <c r="A882" s="3" t="inlineStr">
        <is>
          <t>ORD-10881</t>
        </is>
      </c>
      <c r="B882" s="7" t="n">
        <v>45980</v>
      </c>
      <c r="C882" s="3" t="inlineStr">
        <is>
          <t>Clothing</t>
        </is>
      </c>
      <c r="D882" s="3" t="inlineStr">
        <is>
          <t>Trousers</t>
        </is>
      </c>
      <c r="E882" s="3" t="inlineStr">
        <is>
          <t>Greater Accra</t>
        </is>
      </c>
      <c r="F882" s="3" t="inlineStr">
        <is>
          <t>Retail Shop</t>
        </is>
      </c>
      <c r="G882" s="3" t="inlineStr">
        <is>
          <t>Returning</t>
        </is>
      </c>
      <c r="H882" s="3" t="n">
        <v>1</v>
      </c>
      <c r="I882" s="8" t="n">
        <v>120</v>
      </c>
      <c r="J882" s="8" t="n">
        <v>59.45</v>
      </c>
      <c r="K882" s="9" t="n">
        <v>0.15</v>
      </c>
      <c r="L882" s="8" t="n">
        <v>10.33</v>
      </c>
      <c r="M882" s="8">
        <f>H882*I882*(1-K882)</f>
        <v/>
      </c>
      <c r="N882" s="8">
        <f>H882*J882</f>
        <v/>
      </c>
      <c r="O882" s="8">
        <f>M882-N882-L882</f>
        <v/>
      </c>
      <c r="P882" s="10">
        <f>IFERROR(O882/M882,0)</f>
        <v/>
      </c>
      <c r="Q882" s="3">
        <f>IF(H882&lt;=0,"Review: quantity &lt;= 0",IF(K882&gt;0.3,"Review: discount &gt; 30%",IF(G882="","Review: missing customer type","OK")))</f>
        <v/>
      </c>
    </row>
    <row r="883">
      <c r="A883" s="3" t="inlineStr">
        <is>
          <t>ORD-10882</t>
        </is>
      </c>
      <c r="B883" s="7" t="n">
        <v>45893</v>
      </c>
      <c r="C883" s="3" t="inlineStr">
        <is>
          <t>Home &amp; Lifestyle</t>
        </is>
      </c>
      <c r="D883" s="3" t="inlineStr">
        <is>
          <t>Wallets</t>
        </is>
      </c>
      <c r="E883" s="3" t="inlineStr">
        <is>
          <t>Greater Accra</t>
        </is>
      </c>
      <c r="F883" s="3" t="inlineStr">
        <is>
          <t>Retail Shop</t>
        </is>
      </c>
      <c r="G883" s="3" t="inlineStr">
        <is>
          <t>New</t>
        </is>
      </c>
      <c r="H883" s="3" t="n">
        <v>2</v>
      </c>
      <c r="I883" s="8" t="n">
        <v>235</v>
      </c>
      <c r="J883" s="8" t="n">
        <v>131.02</v>
      </c>
      <c r="K883" s="9" t="n">
        <v>0</v>
      </c>
      <c r="L883" s="8" t="n">
        <v>10.19</v>
      </c>
      <c r="M883" s="8">
        <f>H883*I883*(1-K883)</f>
        <v/>
      </c>
      <c r="N883" s="8">
        <f>H883*J883</f>
        <v/>
      </c>
      <c r="O883" s="8">
        <f>M883-N883-L883</f>
        <v/>
      </c>
      <c r="P883" s="10">
        <f>IFERROR(O883/M883,0)</f>
        <v/>
      </c>
      <c r="Q883" s="3">
        <f>IF(H883&lt;=0,"Review: quantity &lt;= 0",IF(K883&gt;0.3,"Review: discount &gt; 30%",IF(G883="","Review: missing customer type","OK")))</f>
        <v/>
      </c>
    </row>
    <row r="884">
      <c r="A884" s="3" t="inlineStr">
        <is>
          <t>ORD-10883</t>
        </is>
      </c>
      <c r="B884" s="7" t="n">
        <v>46008</v>
      </c>
      <c r="C884" s="3" t="inlineStr">
        <is>
          <t>Clothing</t>
        </is>
      </c>
      <c r="D884" s="3" t="inlineStr">
        <is>
          <t>Trousers</t>
        </is>
      </c>
      <c r="E884" s="3" t="inlineStr">
        <is>
          <t>Greater Accra</t>
        </is>
      </c>
      <c r="F884" s="3" t="inlineStr">
        <is>
          <t>Phone/WhatsApp</t>
        </is>
      </c>
      <c r="G884" s="3" t="inlineStr">
        <is>
          <t>New</t>
        </is>
      </c>
      <c r="H884" s="3" t="n">
        <v>6</v>
      </c>
      <c r="I884" s="8" t="n">
        <v>110</v>
      </c>
      <c r="J884" s="8" t="n">
        <v>56.6</v>
      </c>
      <c r="K884" s="9" t="n">
        <v>0.1</v>
      </c>
      <c r="L884" s="8" t="n">
        <v>25.01</v>
      </c>
      <c r="M884" s="8">
        <f>H884*I884*(1-K884)</f>
        <v/>
      </c>
      <c r="N884" s="8">
        <f>H884*J884</f>
        <v/>
      </c>
      <c r="O884" s="8">
        <f>M884-N884-L884</f>
        <v/>
      </c>
      <c r="P884" s="10">
        <f>IFERROR(O884/M884,0)</f>
        <v/>
      </c>
      <c r="Q884" s="3">
        <f>IF(H884&lt;=0,"Review: quantity &lt;= 0",IF(K884&gt;0.3,"Review: discount &gt; 30%",IF(G884="","Review: missing customer type","OK")))</f>
        <v/>
      </c>
    </row>
    <row r="885">
      <c r="A885" s="3" t="inlineStr">
        <is>
          <t>ORD-10884</t>
        </is>
      </c>
      <c r="B885" s="7" t="n">
        <v>45826</v>
      </c>
      <c r="C885" s="3" t="inlineStr">
        <is>
          <t>Accessories</t>
        </is>
      </c>
      <c r="D885" s="3" t="inlineStr">
        <is>
          <t>Sunglasses</t>
        </is>
      </c>
      <c r="E885" s="3" t="inlineStr">
        <is>
          <t>Greater Accra</t>
        </is>
      </c>
      <c r="F885" s="3" t="inlineStr">
        <is>
          <t>Phone/WhatsApp</t>
        </is>
      </c>
      <c r="G885" s="3" t="inlineStr">
        <is>
          <t>New</t>
        </is>
      </c>
      <c r="H885" s="3" t="n">
        <v>1</v>
      </c>
      <c r="I885" s="8" t="n">
        <v>70</v>
      </c>
      <c r="J885" s="8" t="n">
        <v>29.95</v>
      </c>
      <c r="K885" s="9" t="n">
        <v>0.15</v>
      </c>
      <c r="L885" s="8" t="n">
        <v>43.58</v>
      </c>
      <c r="M885" s="8">
        <f>H885*I885*(1-K885)</f>
        <v/>
      </c>
      <c r="N885" s="8">
        <f>H885*J885</f>
        <v/>
      </c>
      <c r="O885" s="8">
        <f>M885-N885-L885</f>
        <v/>
      </c>
      <c r="P885" s="10">
        <f>IFERROR(O885/M885,0)</f>
        <v/>
      </c>
      <c r="Q885" s="3">
        <f>IF(H885&lt;=0,"Review: quantity &lt;= 0",IF(K885&gt;0.3,"Review: discount &gt; 30%",IF(G885="","Review: missing customer type","OK")))</f>
        <v/>
      </c>
    </row>
    <row r="886">
      <c r="A886" s="3" t="inlineStr">
        <is>
          <t>ORD-10885</t>
        </is>
      </c>
      <c r="B886" s="7" t="n">
        <v>45697</v>
      </c>
      <c r="C886" s="3" t="inlineStr">
        <is>
          <t>Clothing</t>
        </is>
      </c>
      <c r="D886" s="3" t="inlineStr">
        <is>
          <t>Jackets</t>
        </is>
      </c>
      <c r="E886" s="3" t="inlineStr">
        <is>
          <t>Greater Accra</t>
        </is>
      </c>
      <c r="F886" s="3" t="inlineStr">
        <is>
          <t>Online</t>
        </is>
      </c>
      <c r="G886" s="3" t="inlineStr">
        <is>
          <t>Returning</t>
        </is>
      </c>
      <c r="H886" s="3" t="n">
        <v>1</v>
      </c>
      <c r="I886" s="8" t="n">
        <v>205</v>
      </c>
      <c r="J886" s="8" t="n">
        <v>104.73</v>
      </c>
      <c r="K886" s="9" t="n">
        <v>0.05</v>
      </c>
      <c r="L886" s="8" t="n">
        <v>22.97</v>
      </c>
      <c r="M886" s="8">
        <f>H886*I886*(1-K886)</f>
        <v/>
      </c>
      <c r="N886" s="8">
        <f>H886*J886</f>
        <v/>
      </c>
      <c r="O886" s="8">
        <f>M886-N886-L886</f>
        <v/>
      </c>
      <c r="P886" s="10">
        <f>IFERROR(O886/M886,0)</f>
        <v/>
      </c>
      <c r="Q886" s="3">
        <f>IF(H886&lt;=0,"Review: quantity &lt;= 0",IF(K886&gt;0.3,"Review: discount &gt; 30%",IF(G886="","Review: missing customer type","OK")))</f>
        <v/>
      </c>
    </row>
    <row r="887">
      <c r="A887" s="3" t="inlineStr">
        <is>
          <t>ORD-10886</t>
        </is>
      </c>
      <c r="B887" s="7" t="n">
        <v>45791</v>
      </c>
      <c r="C887" s="3" t="inlineStr">
        <is>
          <t>Footwear</t>
        </is>
      </c>
      <c r="D887" s="3" t="inlineStr">
        <is>
          <t>Boots</t>
        </is>
      </c>
      <c r="E887" s="3" t="inlineStr">
        <is>
          <t>Ashanti</t>
        </is>
      </c>
      <c r="F887" s="3" t="inlineStr">
        <is>
          <t>Retail Shop</t>
        </is>
      </c>
      <c r="G887" s="3" t="inlineStr">
        <is>
          <t>Returning</t>
        </is>
      </c>
      <c r="H887" s="3" t="n">
        <v>5</v>
      </c>
      <c r="I887" s="8" t="n">
        <v>205</v>
      </c>
      <c r="J887" s="8" t="n">
        <v>121.84</v>
      </c>
      <c r="K887" s="9" t="n">
        <v>0.05</v>
      </c>
      <c r="L887" s="8" t="n">
        <v>11.6</v>
      </c>
      <c r="M887" s="8">
        <f>H887*I887*(1-K887)</f>
        <v/>
      </c>
      <c r="N887" s="8">
        <f>H887*J887</f>
        <v/>
      </c>
      <c r="O887" s="8">
        <f>M887-N887-L887</f>
        <v/>
      </c>
      <c r="P887" s="10">
        <f>IFERROR(O887/M887,0)</f>
        <v/>
      </c>
      <c r="Q887" s="3">
        <f>IF(H887&lt;=0,"Review: quantity &lt;= 0",IF(K887&gt;0.3,"Review: discount &gt; 30%",IF(G887="","Review: missing customer type","OK")))</f>
        <v/>
      </c>
    </row>
    <row r="888">
      <c r="A888" s="3" t="inlineStr">
        <is>
          <t>ORD-10887</t>
        </is>
      </c>
      <c r="B888" s="7" t="n">
        <v>45910</v>
      </c>
      <c r="C888" s="3" t="inlineStr">
        <is>
          <t>Footwear</t>
        </is>
      </c>
      <c r="D888" s="3" t="inlineStr">
        <is>
          <t>Boots</t>
        </is>
      </c>
      <c r="E888" s="3" t="inlineStr">
        <is>
          <t>Ashanti</t>
        </is>
      </c>
      <c r="F888" s="3" t="inlineStr">
        <is>
          <t>Retail Shop</t>
        </is>
      </c>
      <c r="G888" s="3" t="inlineStr">
        <is>
          <t>New</t>
        </is>
      </c>
      <c r="H888" s="3" t="n">
        <v>5</v>
      </c>
      <c r="I888" s="8" t="n">
        <v>275</v>
      </c>
      <c r="J888" s="8" t="n">
        <v>164.92</v>
      </c>
      <c r="K888" s="9" t="n">
        <v>0</v>
      </c>
      <c r="L888" s="8" t="n">
        <v>9.69</v>
      </c>
      <c r="M888" s="8">
        <f>H888*I888*(1-K888)</f>
        <v/>
      </c>
      <c r="N888" s="8">
        <f>H888*J888</f>
        <v/>
      </c>
      <c r="O888" s="8">
        <f>M888-N888-L888</f>
        <v/>
      </c>
      <c r="P888" s="10">
        <f>IFERROR(O888/M888,0)</f>
        <v/>
      </c>
      <c r="Q888" s="3">
        <f>IF(H888&lt;=0,"Review: quantity &lt;= 0",IF(K888&gt;0.3,"Review: discount &gt; 30%",IF(G888="","Review: missing customer type","OK")))</f>
        <v/>
      </c>
    </row>
    <row r="889">
      <c r="A889" s="3" t="inlineStr">
        <is>
          <t>ORD-10888</t>
        </is>
      </c>
      <c r="B889" s="7" t="n">
        <v>45845</v>
      </c>
      <c r="C889" s="3" t="inlineStr">
        <is>
          <t>Footwear</t>
        </is>
      </c>
      <c r="D889" s="3" t="inlineStr">
        <is>
          <t>Boots</t>
        </is>
      </c>
      <c r="E889" s="3" t="inlineStr">
        <is>
          <t>Central</t>
        </is>
      </c>
      <c r="F889" s="3" t="inlineStr">
        <is>
          <t>Retail Shop</t>
        </is>
      </c>
      <c r="G889" s="3" t="inlineStr">
        <is>
          <t>Returning</t>
        </is>
      </c>
      <c r="H889" s="3" t="n">
        <v>10</v>
      </c>
      <c r="I889" s="8" t="n">
        <v>215</v>
      </c>
      <c r="J889" s="8" t="n">
        <v>121.69</v>
      </c>
      <c r="K889" s="9" t="n">
        <v>0</v>
      </c>
      <c r="L889" s="8" t="n">
        <v>1.76</v>
      </c>
      <c r="M889" s="8">
        <f>H889*I889*(1-K889)</f>
        <v/>
      </c>
      <c r="N889" s="8">
        <f>H889*J889</f>
        <v/>
      </c>
      <c r="O889" s="8">
        <f>M889-N889-L889</f>
        <v/>
      </c>
      <c r="P889" s="10">
        <f>IFERROR(O889/M889,0)</f>
        <v/>
      </c>
      <c r="Q889" s="3">
        <f>IF(H889&lt;=0,"Review: quantity &lt;= 0",IF(K889&gt;0.3,"Review: discount &gt; 30%",IF(G889="","Review: missing customer type","OK")))</f>
        <v/>
      </c>
    </row>
    <row r="890">
      <c r="A890" s="3" t="inlineStr">
        <is>
          <t>ORD-10889</t>
        </is>
      </c>
      <c r="B890" s="7" t="n">
        <v>45971</v>
      </c>
      <c r="C890" s="3" t="inlineStr">
        <is>
          <t>Clothing</t>
        </is>
      </c>
      <c r="D890" s="3" t="inlineStr">
        <is>
          <t>Trousers</t>
        </is>
      </c>
      <c r="E890" s="3" t="inlineStr">
        <is>
          <t>Ashanti</t>
        </is>
      </c>
      <c r="F890" s="3" t="inlineStr">
        <is>
          <t>Phone/WhatsApp</t>
        </is>
      </c>
      <c r="G890" s="3" t="inlineStr">
        <is>
          <t>Returning</t>
        </is>
      </c>
      <c r="H890" s="3" t="n">
        <v>2</v>
      </c>
      <c r="I890" s="8" t="n">
        <v>85</v>
      </c>
      <c r="J890" s="8" t="n">
        <v>44.5</v>
      </c>
      <c r="K890" s="9" t="n">
        <v>0.05</v>
      </c>
      <c r="L890" s="8" t="n">
        <v>44.21</v>
      </c>
      <c r="M890" s="8">
        <f>H890*I890*(1-K890)</f>
        <v/>
      </c>
      <c r="N890" s="8">
        <f>H890*J890</f>
        <v/>
      </c>
      <c r="O890" s="8">
        <f>M890-N890-L890</f>
        <v/>
      </c>
      <c r="P890" s="10">
        <f>IFERROR(O890/M890,0)</f>
        <v/>
      </c>
      <c r="Q890" s="3">
        <f>IF(H890&lt;=0,"Review: quantity &lt;= 0",IF(K890&gt;0.3,"Review: discount &gt; 30%",IF(G890="","Review: missing customer type","OK")))</f>
        <v/>
      </c>
    </row>
    <row r="891">
      <c r="A891" s="3" t="inlineStr">
        <is>
          <t>ORD-10890</t>
        </is>
      </c>
      <c r="B891" s="7" t="n">
        <v>45836</v>
      </c>
      <c r="C891" s="3" t="inlineStr">
        <is>
          <t>Clothing</t>
        </is>
      </c>
      <c r="D891" s="3" t="inlineStr">
        <is>
          <t>Dresses</t>
        </is>
      </c>
      <c r="E891" s="3" t="inlineStr">
        <is>
          <t>Ashanti</t>
        </is>
      </c>
      <c r="F891" s="3" t="inlineStr">
        <is>
          <t>Online</t>
        </is>
      </c>
      <c r="G891" s="3" t="inlineStr">
        <is>
          <t>Returning</t>
        </is>
      </c>
      <c r="H891" s="3" t="n">
        <v>1</v>
      </c>
      <c r="I891" s="8" t="n">
        <v>115</v>
      </c>
      <c r="J891" s="8" t="n">
        <v>64.01000000000001</v>
      </c>
      <c r="K891" s="9" t="n">
        <v>0.1</v>
      </c>
      <c r="L891" s="8" t="n">
        <v>21.54</v>
      </c>
      <c r="M891" s="8">
        <f>H891*I891*(1-K891)</f>
        <v/>
      </c>
      <c r="N891" s="8">
        <f>H891*J891</f>
        <v/>
      </c>
      <c r="O891" s="8">
        <f>M891-N891-L891</f>
        <v/>
      </c>
      <c r="P891" s="10">
        <f>IFERROR(O891/M891,0)</f>
        <v/>
      </c>
      <c r="Q891" s="3">
        <f>IF(H891&lt;=0,"Review: quantity &lt;= 0",IF(K891&gt;0.3,"Review: discount &gt; 30%",IF(G891="","Review: missing customer type","OK")))</f>
        <v/>
      </c>
    </row>
    <row r="892">
      <c r="A892" s="3" t="inlineStr">
        <is>
          <t>ORD-10891</t>
        </is>
      </c>
      <c r="B892" s="7" t="n">
        <v>45935</v>
      </c>
      <c r="C892" s="3" t="inlineStr">
        <is>
          <t>Footwear</t>
        </is>
      </c>
      <c r="D892" s="3" t="inlineStr">
        <is>
          <t>Formal Shoes</t>
        </is>
      </c>
      <c r="E892" s="3" t="inlineStr">
        <is>
          <t>Greater Accra</t>
        </is>
      </c>
      <c r="F892" s="3" t="inlineStr">
        <is>
          <t>Online</t>
        </is>
      </c>
      <c r="G892" s="3" t="inlineStr">
        <is>
          <t>Returning</t>
        </is>
      </c>
      <c r="H892" s="3" t="n">
        <v>1</v>
      </c>
      <c r="I892" s="8" t="n">
        <v>200</v>
      </c>
      <c r="J892" s="8" t="n">
        <v>103.32</v>
      </c>
      <c r="K892" s="9" t="n">
        <v>0</v>
      </c>
      <c r="L892" s="8" t="n">
        <v>32.05</v>
      </c>
      <c r="M892" s="8">
        <f>H892*I892*(1-K892)</f>
        <v/>
      </c>
      <c r="N892" s="8">
        <f>H892*J892</f>
        <v/>
      </c>
      <c r="O892" s="8">
        <f>M892-N892-L892</f>
        <v/>
      </c>
      <c r="P892" s="10">
        <f>IFERROR(O892/M892,0)</f>
        <v/>
      </c>
      <c r="Q892" s="3">
        <f>IF(H892&lt;=0,"Review: quantity &lt;= 0",IF(K892&gt;0.3,"Review: discount &gt; 30%",IF(G892="","Review: missing customer type","OK")))</f>
        <v/>
      </c>
    </row>
    <row r="893">
      <c r="A893" s="3" t="inlineStr">
        <is>
          <t>ORD-10892</t>
        </is>
      </c>
      <c r="B893" s="7" t="n">
        <v>45729</v>
      </c>
      <c r="C893" s="3" t="inlineStr">
        <is>
          <t>Accessories</t>
        </is>
      </c>
      <c r="D893" s="3" t="inlineStr">
        <is>
          <t>Sunglasses</t>
        </is>
      </c>
      <c r="E893" s="3" t="inlineStr">
        <is>
          <t>Greater Accra</t>
        </is>
      </c>
      <c r="F893" s="3" t="inlineStr">
        <is>
          <t>Phone/WhatsApp</t>
        </is>
      </c>
      <c r="G893" s="3" t="inlineStr">
        <is>
          <t>New</t>
        </is>
      </c>
      <c r="H893" s="3" t="n">
        <v>1</v>
      </c>
      <c r="I893" s="8" t="n">
        <v>35</v>
      </c>
      <c r="J893" s="8" t="n">
        <v>17.72</v>
      </c>
      <c r="K893" s="9" t="n">
        <v>0</v>
      </c>
      <c r="L893" s="8" t="n">
        <v>42.09</v>
      </c>
      <c r="M893" s="8">
        <f>H893*I893*(1-K893)</f>
        <v/>
      </c>
      <c r="N893" s="8">
        <f>H893*J893</f>
        <v/>
      </c>
      <c r="O893" s="8">
        <f>M893-N893-L893</f>
        <v/>
      </c>
      <c r="P893" s="10">
        <f>IFERROR(O893/M893,0)</f>
        <v/>
      </c>
      <c r="Q893" s="3">
        <f>IF(H893&lt;=0,"Review: quantity &lt;= 0",IF(K893&gt;0.3,"Review: discount &gt; 30%",IF(G893="","Review: missing customer type","OK")))</f>
        <v/>
      </c>
    </row>
    <row r="894">
      <c r="A894" s="3" t="inlineStr">
        <is>
          <t>ORD-10893</t>
        </is>
      </c>
      <c r="B894" s="7" t="n">
        <v>45841</v>
      </c>
      <c r="C894" s="3" t="inlineStr">
        <is>
          <t>Clothing</t>
        </is>
      </c>
      <c r="D894" s="3" t="inlineStr">
        <is>
          <t>Shirts</t>
        </is>
      </c>
      <c r="E894" s="3" t="inlineStr">
        <is>
          <t>Greater Accra</t>
        </is>
      </c>
      <c r="F894" s="3" t="inlineStr">
        <is>
          <t>Retail Shop</t>
        </is>
      </c>
      <c r="G894" s="3" t="inlineStr">
        <is>
          <t>New</t>
        </is>
      </c>
      <c r="H894" s="3" t="n">
        <v>1</v>
      </c>
      <c r="I894" s="8" t="n">
        <v>215</v>
      </c>
      <c r="J894" s="8" t="n">
        <v>120.16</v>
      </c>
      <c r="K894" s="9" t="n">
        <v>0</v>
      </c>
      <c r="L894" s="8" t="n">
        <v>11.76</v>
      </c>
      <c r="M894" s="8">
        <f>H894*I894*(1-K894)</f>
        <v/>
      </c>
      <c r="N894" s="8">
        <f>H894*J894</f>
        <v/>
      </c>
      <c r="O894" s="8">
        <f>M894-N894-L894</f>
        <v/>
      </c>
      <c r="P894" s="10">
        <f>IFERROR(O894/M894,0)</f>
        <v/>
      </c>
      <c r="Q894" s="3">
        <f>IF(H894&lt;=0,"Review: quantity &lt;= 0",IF(K894&gt;0.3,"Review: discount &gt; 30%",IF(G894="","Review: missing customer type","OK")))</f>
        <v/>
      </c>
    </row>
    <row r="895">
      <c r="A895" s="3" t="inlineStr">
        <is>
          <t>ORD-10894</t>
        </is>
      </c>
      <c r="B895" s="7" t="n">
        <v>45670</v>
      </c>
      <c r="C895" s="3" t="inlineStr">
        <is>
          <t>Accessories</t>
        </is>
      </c>
      <c r="D895" s="3" t="inlineStr">
        <is>
          <t>Bags</t>
        </is>
      </c>
      <c r="E895" s="3" t="inlineStr">
        <is>
          <t>Greater Accra</t>
        </is>
      </c>
      <c r="F895" s="3" t="inlineStr">
        <is>
          <t>Retail Shop</t>
        </is>
      </c>
      <c r="G895" s="3" t="inlineStr">
        <is>
          <t>Returning</t>
        </is>
      </c>
      <c r="H895" s="3" t="n">
        <v>1</v>
      </c>
      <c r="I895" s="8" t="n">
        <v>60</v>
      </c>
      <c r="J895" s="8" t="n">
        <v>28.98</v>
      </c>
      <c r="K895" s="9" t="n">
        <v>0.1</v>
      </c>
      <c r="L895" s="8" t="n">
        <v>11.94</v>
      </c>
      <c r="M895" s="8">
        <f>H895*I895*(1-K895)</f>
        <v/>
      </c>
      <c r="N895" s="8">
        <f>H895*J895</f>
        <v/>
      </c>
      <c r="O895" s="8">
        <f>M895-N895-L895</f>
        <v/>
      </c>
      <c r="P895" s="10">
        <f>IFERROR(O895/M895,0)</f>
        <v/>
      </c>
      <c r="Q895" s="3">
        <f>IF(H895&lt;=0,"Review: quantity &lt;= 0",IF(K895&gt;0.3,"Review: discount &gt; 30%",IF(G895="","Review: missing customer type","OK")))</f>
        <v/>
      </c>
    </row>
    <row r="896">
      <c r="A896" s="3" t="inlineStr">
        <is>
          <t>ORD-10895</t>
        </is>
      </c>
      <c r="B896" s="7" t="n">
        <v>46002</v>
      </c>
      <c r="C896" s="3" t="inlineStr">
        <is>
          <t>Home &amp; Lifestyle</t>
        </is>
      </c>
      <c r="D896" s="3" t="inlineStr">
        <is>
          <t>Wallets</t>
        </is>
      </c>
      <c r="E896" s="3" t="inlineStr">
        <is>
          <t>Ashanti</t>
        </is>
      </c>
      <c r="F896" s="3" t="inlineStr">
        <is>
          <t>Online</t>
        </is>
      </c>
      <c r="G896" s="3" t="inlineStr">
        <is>
          <t>Returning</t>
        </is>
      </c>
      <c r="H896" s="3" t="n">
        <v>5</v>
      </c>
      <c r="I896" s="8" t="n">
        <v>105</v>
      </c>
      <c r="J896" s="8" t="n">
        <v>60.76</v>
      </c>
      <c r="K896" s="9" t="n">
        <v>0</v>
      </c>
      <c r="L896" s="8" t="n">
        <v>13.36</v>
      </c>
      <c r="M896" s="8">
        <f>H896*I896*(1-K896)</f>
        <v/>
      </c>
      <c r="N896" s="8">
        <f>H896*J896</f>
        <v/>
      </c>
      <c r="O896" s="8">
        <f>M896-N896-L896</f>
        <v/>
      </c>
      <c r="P896" s="10">
        <f>IFERROR(O896/M896,0)</f>
        <v/>
      </c>
      <c r="Q896" s="3">
        <f>IF(H896&lt;=0,"Review: quantity &lt;= 0",IF(K896&gt;0.3,"Review: discount &gt; 30%",IF(G896="","Review: missing customer type","OK")))</f>
        <v/>
      </c>
    </row>
    <row r="897">
      <c r="A897" s="3" t="inlineStr">
        <is>
          <t>ORD-10896</t>
        </is>
      </c>
      <c r="B897" s="7" t="n">
        <v>45661</v>
      </c>
      <c r="C897" s="3" t="inlineStr">
        <is>
          <t>Footwear</t>
        </is>
      </c>
      <c r="D897" s="3" t="inlineStr">
        <is>
          <t>Sneakers</t>
        </is>
      </c>
      <c r="E897" s="3" t="inlineStr">
        <is>
          <t>Western</t>
        </is>
      </c>
      <c r="F897" s="3" t="inlineStr">
        <is>
          <t>Online</t>
        </is>
      </c>
      <c r="G897" s="3" t="inlineStr">
        <is>
          <t>Returning</t>
        </is>
      </c>
      <c r="H897" s="3" t="n">
        <v>8</v>
      </c>
      <c r="I897" s="8" t="n">
        <v>165</v>
      </c>
      <c r="J897" s="8" t="n">
        <v>86.11</v>
      </c>
      <c r="K897" s="9" t="n">
        <v>0</v>
      </c>
      <c r="L897" s="8" t="n">
        <v>22.73</v>
      </c>
      <c r="M897" s="8">
        <f>H897*I897*(1-K897)</f>
        <v/>
      </c>
      <c r="N897" s="8">
        <f>H897*J897</f>
        <v/>
      </c>
      <c r="O897" s="8">
        <f>M897-N897-L897</f>
        <v/>
      </c>
      <c r="P897" s="10">
        <f>IFERROR(O897/M897,0)</f>
        <v/>
      </c>
      <c r="Q897" s="3">
        <f>IF(H897&lt;=0,"Review: quantity &lt;= 0",IF(K897&gt;0.3,"Review: discount &gt; 30%",IF(G897="","Review: missing customer type","OK")))</f>
        <v/>
      </c>
    </row>
    <row r="898">
      <c r="A898" s="3" t="inlineStr">
        <is>
          <t>ORD-10897</t>
        </is>
      </c>
      <c r="B898" s="7" t="n">
        <v>45712</v>
      </c>
      <c r="C898" s="3" t="inlineStr">
        <is>
          <t>Footwear</t>
        </is>
      </c>
      <c r="D898" s="3" t="inlineStr">
        <is>
          <t>Sandals</t>
        </is>
      </c>
      <c r="E898" s="3" t="inlineStr">
        <is>
          <t>Western</t>
        </is>
      </c>
      <c r="F898" s="3" t="inlineStr">
        <is>
          <t>Retail Shop</t>
        </is>
      </c>
      <c r="G898" s="3" t="inlineStr">
        <is>
          <t>Returning</t>
        </is>
      </c>
      <c r="H898" s="3" t="n">
        <v>1</v>
      </c>
      <c r="I898" s="8" t="n">
        <v>350</v>
      </c>
      <c r="J898" s="8" t="n">
        <v>183.78</v>
      </c>
      <c r="K898" s="9" t="n">
        <v>0</v>
      </c>
      <c r="L898" s="8" t="n">
        <v>9.24</v>
      </c>
      <c r="M898" s="8">
        <f>H898*I898*(1-K898)</f>
        <v/>
      </c>
      <c r="N898" s="8">
        <f>H898*J898</f>
        <v/>
      </c>
      <c r="O898" s="8">
        <f>M898-N898-L898</f>
        <v/>
      </c>
      <c r="P898" s="10">
        <f>IFERROR(O898/M898,0)</f>
        <v/>
      </c>
      <c r="Q898" s="3">
        <f>IF(H898&lt;=0,"Review: quantity &lt;= 0",IF(K898&gt;0.3,"Review: discount &gt; 30%",IF(G898="","Review: missing customer type","OK")))</f>
        <v/>
      </c>
    </row>
    <row r="899">
      <c r="A899" s="3" t="inlineStr">
        <is>
          <t>ORD-10898</t>
        </is>
      </c>
      <c r="B899" s="7" t="n">
        <v>45938</v>
      </c>
      <c r="C899" s="3" t="inlineStr">
        <is>
          <t>Clothing</t>
        </is>
      </c>
      <c r="D899" s="3" t="inlineStr">
        <is>
          <t>Trousers</t>
        </is>
      </c>
      <c r="E899" s="3" t="inlineStr">
        <is>
          <t>Greater Accra</t>
        </is>
      </c>
      <c r="F899" s="3" t="inlineStr">
        <is>
          <t>Phone/WhatsApp</t>
        </is>
      </c>
      <c r="G899" s="3" t="inlineStr">
        <is>
          <t>Returning</t>
        </is>
      </c>
      <c r="H899" s="3" t="n">
        <v>1</v>
      </c>
      <c r="I899" s="8" t="n">
        <v>180</v>
      </c>
      <c r="J899" s="8" t="n">
        <v>93.67</v>
      </c>
      <c r="K899" s="9" t="n">
        <v>0</v>
      </c>
      <c r="L899" s="8" t="n">
        <v>32.52</v>
      </c>
      <c r="M899" s="8">
        <f>H899*I899*(1-K899)</f>
        <v/>
      </c>
      <c r="N899" s="8">
        <f>H899*J899</f>
        <v/>
      </c>
      <c r="O899" s="8">
        <f>M899-N899-L899</f>
        <v/>
      </c>
      <c r="P899" s="10">
        <f>IFERROR(O899/M899,0)</f>
        <v/>
      </c>
      <c r="Q899" s="3">
        <f>IF(H899&lt;=0,"Review: quantity &lt;= 0",IF(K899&gt;0.3,"Review: discount &gt; 30%",IF(G899="","Review: missing customer type","OK")))</f>
        <v/>
      </c>
    </row>
    <row r="900">
      <c r="A900" s="3" t="inlineStr">
        <is>
          <t>ORD-10899</t>
        </is>
      </c>
      <c r="B900" s="7" t="n">
        <v>45993</v>
      </c>
      <c r="C900" s="3" t="inlineStr">
        <is>
          <t>Home &amp; Lifestyle</t>
        </is>
      </c>
      <c r="D900" s="3" t="inlineStr">
        <is>
          <t>Wallets</t>
        </is>
      </c>
      <c r="E900" s="3" t="inlineStr">
        <is>
          <t>Greater Accra</t>
        </is>
      </c>
      <c r="F900" s="3" t="inlineStr">
        <is>
          <t>Online</t>
        </is>
      </c>
      <c r="G900" s="3" t="inlineStr">
        <is>
          <t>Returning</t>
        </is>
      </c>
      <c r="H900" s="3" t="n">
        <v>1</v>
      </c>
      <c r="I900" s="8" t="n">
        <v>145</v>
      </c>
      <c r="J900" s="8" t="n">
        <v>75.42</v>
      </c>
      <c r="K900" s="9" t="n">
        <v>0.05</v>
      </c>
      <c r="L900" s="8" t="n">
        <v>38.9</v>
      </c>
      <c r="M900" s="8">
        <f>H900*I900*(1-K900)</f>
        <v/>
      </c>
      <c r="N900" s="8">
        <f>H900*J900</f>
        <v/>
      </c>
      <c r="O900" s="8">
        <f>M900-N900-L900</f>
        <v/>
      </c>
      <c r="P900" s="10">
        <f>IFERROR(O900/M900,0)</f>
        <v/>
      </c>
      <c r="Q900" s="3">
        <f>IF(H900&lt;=0,"Review: quantity &lt;= 0",IF(K900&gt;0.3,"Review: discount &gt; 30%",IF(G900="","Review: missing customer type","OK")))</f>
        <v/>
      </c>
    </row>
    <row r="901">
      <c r="A901" s="3" t="inlineStr">
        <is>
          <t>ORD-10900</t>
        </is>
      </c>
      <c r="B901" s="7" t="n">
        <v>45729</v>
      </c>
      <c r="C901" s="3" t="inlineStr">
        <is>
          <t>Footwear</t>
        </is>
      </c>
      <c r="D901" s="3" t="inlineStr">
        <is>
          <t>Formal Shoes</t>
        </is>
      </c>
      <c r="E901" s="3" t="inlineStr">
        <is>
          <t>Greater Accra</t>
        </is>
      </c>
      <c r="F901" s="3" t="inlineStr">
        <is>
          <t>Retail Shop</t>
        </is>
      </c>
      <c r="G901" s="3" t="inlineStr">
        <is>
          <t>Returning</t>
        </is>
      </c>
      <c r="H901" s="3" t="n">
        <v>1</v>
      </c>
      <c r="I901" s="8" t="n">
        <v>505</v>
      </c>
      <c r="J901" s="8" t="n">
        <v>304.34</v>
      </c>
      <c r="K901" s="9" t="n">
        <v>0.05</v>
      </c>
      <c r="L901" s="8" t="n">
        <v>7.1</v>
      </c>
      <c r="M901" s="8">
        <f>H901*I901*(1-K901)</f>
        <v/>
      </c>
      <c r="N901" s="8">
        <f>H901*J901</f>
        <v/>
      </c>
      <c r="O901" s="8">
        <f>M901-N901-L901</f>
        <v/>
      </c>
      <c r="P901" s="10">
        <f>IFERROR(O901/M901,0)</f>
        <v/>
      </c>
      <c r="Q901" s="3">
        <f>IF(H901&lt;=0,"Review: quantity &lt;= 0",IF(K901&gt;0.3,"Review: discount &gt; 30%",IF(G901="","Review: missing customer type","OK")))</f>
        <v/>
      </c>
    </row>
    <row r="902">
      <c r="A902" s="3" t="inlineStr">
        <is>
          <t>ORD-10901</t>
        </is>
      </c>
      <c r="B902" s="7" t="n">
        <v>45955</v>
      </c>
      <c r="C902" s="3" t="inlineStr">
        <is>
          <t>Footwear</t>
        </is>
      </c>
      <c r="D902" s="3" t="inlineStr">
        <is>
          <t>Boots</t>
        </is>
      </c>
      <c r="E902" s="3" t="inlineStr">
        <is>
          <t>Western</t>
        </is>
      </c>
      <c r="F902" s="3" t="inlineStr">
        <is>
          <t>Online</t>
        </is>
      </c>
      <c r="G902" s="3" t="inlineStr">
        <is>
          <t>Returning</t>
        </is>
      </c>
      <c r="H902" s="3" t="n">
        <v>1</v>
      </c>
      <c r="I902" s="8" t="n">
        <v>230</v>
      </c>
      <c r="J902" s="8" t="n">
        <v>133.19</v>
      </c>
      <c r="K902" s="9" t="n">
        <v>0</v>
      </c>
      <c r="L902" s="8" t="n">
        <v>29.24</v>
      </c>
      <c r="M902" s="8">
        <f>H902*I902*(1-K902)</f>
        <v/>
      </c>
      <c r="N902" s="8">
        <f>H902*J902</f>
        <v/>
      </c>
      <c r="O902" s="8">
        <f>M902-N902-L902</f>
        <v/>
      </c>
      <c r="P902" s="10">
        <f>IFERROR(O902/M902,0)</f>
        <v/>
      </c>
      <c r="Q902" s="3">
        <f>IF(H902&lt;=0,"Review: quantity &lt;= 0",IF(K902&gt;0.3,"Review: discount &gt; 30%",IF(G902="","Review: missing customer type","OK")))</f>
        <v/>
      </c>
    </row>
    <row r="903">
      <c r="A903" s="3" t="inlineStr">
        <is>
          <t>ORD-10902</t>
        </is>
      </c>
      <c r="B903" s="7" t="n">
        <v>45930</v>
      </c>
      <c r="C903" s="3" t="inlineStr">
        <is>
          <t>Footwear</t>
        </is>
      </c>
      <c r="D903" s="3" t="inlineStr">
        <is>
          <t>Boots</t>
        </is>
      </c>
      <c r="E903" s="3" t="inlineStr">
        <is>
          <t>Western</t>
        </is>
      </c>
      <c r="F903" s="3" t="inlineStr">
        <is>
          <t>Retail Shop</t>
        </is>
      </c>
      <c r="G903" s="3" t="inlineStr">
        <is>
          <t>Returning</t>
        </is>
      </c>
      <c r="H903" s="3" t="n">
        <v>2</v>
      </c>
      <c r="I903" s="8" t="n">
        <v>295</v>
      </c>
      <c r="J903" s="8" t="n">
        <v>148.82</v>
      </c>
      <c r="K903" s="9" t="n">
        <v>0.05</v>
      </c>
      <c r="L903" s="8" t="n">
        <v>10.07</v>
      </c>
      <c r="M903" s="8">
        <f>H903*I903*(1-K903)</f>
        <v/>
      </c>
      <c r="N903" s="8">
        <f>H903*J903</f>
        <v/>
      </c>
      <c r="O903" s="8">
        <f>M903-N903-L903</f>
        <v/>
      </c>
      <c r="P903" s="10">
        <f>IFERROR(O903/M903,0)</f>
        <v/>
      </c>
      <c r="Q903" s="3">
        <f>IF(H903&lt;=0,"Review: quantity &lt;= 0",IF(K903&gt;0.3,"Review: discount &gt; 30%",IF(G903="","Review: missing customer type","OK")))</f>
        <v/>
      </c>
    </row>
    <row r="904">
      <c r="A904" s="3" t="inlineStr">
        <is>
          <t>ORD-10903</t>
        </is>
      </c>
      <c r="B904" s="7" t="n">
        <v>45856</v>
      </c>
      <c r="C904" s="3" t="inlineStr">
        <is>
          <t>Footwear</t>
        </is>
      </c>
      <c r="D904" s="3" t="inlineStr">
        <is>
          <t>Sneakers</t>
        </is>
      </c>
      <c r="E904" s="3" t="inlineStr">
        <is>
          <t>Greater Accra</t>
        </is>
      </c>
      <c r="F904" s="3" t="inlineStr">
        <is>
          <t>Retail Shop</t>
        </is>
      </c>
      <c r="G904" s="3" t="inlineStr">
        <is>
          <t>Returning</t>
        </is>
      </c>
      <c r="H904" s="3" t="n">
        <v>2</v>
      </c>
      <c r="I904" s="8" t="n">
        <v>405</v>
      </c>
      <c r="J904" s="8" t="n">
        <v>203.86</v>
      </c>
      <c r="K904" s="9" t="n">
        <v>0.05</v>
      </c>
      <c r="L904" s="8" t="n">
        <v>9.859999999999999</v>
      </c>
      <c r="M904" s="8">
        <f>H904*I904*(1-K904)</f>
        <v/>
      </c>
      <c r="N904" s="8">
        <f>H904*J904</f>
        <v/>
      </c>
      <c r="O904" s="8">
        <f>M904-N904-L904</f>
        <v/>
      </c>
      <c r="P904" s="10">
        <f>IFERROR(O904/M904,0)</f>
        <v/>
      </c>
      <c r="Q904" s="3">
        <f>IF(H904&lt;=0,"Review: quantity &lt;= 0",IF(K904&gt;0.3,"Review: discount &gt; 30%",IF(G904="","Review: missing customer type","OK")))</f>
        <v/>
      </c>
    </row>
    <row r="905">
      <c r="A905" s="3" t="inlineStr">
        <is>
          <t>ORD-10904</t>
        </is>
      </c>
      <c r="B905" s="7" t="n">
        <v>45759</v>
      </c>
      <c r="C905" s="3" t="inlineStr">
        <is>
          <t>Clothing</t>
        </is>
      </c>
      <c r="D905" s="3" t="inlineStr">
        <is>
          <t>Trousers</t>
        </is>
      </c>
      <c r="E905" s="3" t="inlineStr">
        <is>
          <t>Greater Accra</t>
        </is>
      </c>
      <c r="F905" s="3" t="inlineStr">
        <is>
          <t>Retail Shop</t>
        </is>
      </c>
      <c r="G905" s="3" t="inlineStr">
        <is>
          <t>Returning</t>
        </is>
      </c>
      <c r="H905" s="3" t="n">
        <v>4</v>
      </c>
      <c r="I905" s="8" t="n">
        <v>135</v>
      </c>
      <c r="J905" s="8" t="n">
        <v>70.51000000000001</v>
      </c>
      <c r="K905" s="9" t="n">
        <v>0.15</v>
      </c>
      <c r="L905" s="8" t="n">
        <v>10.92</v>
      </c>
      <c r="M905" s="8">
        <f>H905*I905*(1-K905)</f>
        <v/>
      </c>
      <c r="N905" s="8">
        <f>H905*J905</f>
        <v/>
      </c>
      <c r="O905" s="8">
        <f>M905-N905-L905</f>
        <v/>
      </c>
      <c r="P905" s="10">
        <f>IFERROR(O905/M905,0)</f>
        <v/>
      </c>
      <c r="Q905" s="3">
        <f>IF(H905&lt;=0,"Review: quantity &lt;= 0",IF(K905&gt;0.3,"Review: discount &gt; 30%",IF(G905="","Review: missing customer type","OK")))</f>
        <v/>
      </c>
    </row>
    <row r="906">
      <c r="A906" s="3" t="inlineStr">
        <is>
          <t>ORD-10905</t>
        </is>
      </c>
      <c r="B906" s="7" t="n">
        <v>45877</v>
      </c>
      <c r="C906" s="3" t="inlineStr">
        <is>
          <t>Home &amp; Lifestyle</t>
        </is>
      </c>
      <c r="D906" s="3" t="inlineStr">
        <is>
          <t>Small Home Goods</t>
        </is>
      </c>
      <c r="E906" s="3" t="inlineStr">
        <is>
          <t>Greater Accra</t>
        </is>
      </c>
      <c r="F906" s="3" t="inlineStr">
        <is>
          <t>Retail Shop</t>
        </is>
      </c>
      <c r="G906" s="3" t="inlineStr">
        <is>
          <t>New</t>
        </is>
      </c>
      <c r="H906" s="3" t="n">
        <v>1</v>
      </c>
      <c r="I906" s="8" t="n">
        <v>230</v>
      </c>
      <c r="J906" s="8" t="n">
        <v>123.43</v>
      </c>
      <c r="K906" s="9" t="n">
        <v>0.2</v>
      </c>
      <c r="L906" s="8" t="n">
        <v>6.35</v>
      </c>
      <c r="M906" s="8">
        <f>H906*I906*(1-K906)</f>
        <v/>
      </c>
      <c r="N906" s="8">
        <f>H906*J906</f>
        <v/>
      </c>
      <c r="O906" s="8">
        <f>M906-N906-L906</f>
        <v/>
      </c>
      <c r="P906" s="10">
        <f>IFERROR(O906/M906,0)</f>
        <v/>
      </c>
      <c r="Q906" s="3">
        <f>IF(H906&lt;=0,"Review: quantity &lt;= 0",IF(K906&gt;0.3,"Review: discount &gt; 30%",IF(G906="","Review: missing customer type","OK")))</f>
        <v/>
      </c>
    </row>
    <row r="907">
      <c r="A907" s="3" t="inlineStr">
        <is>
          <t>ORD-10906</t>
        </is>
      </c>
      <c r="B907" s="7" t="n">
        <v>45805</v>
      </c>
      <c r="C907" s="3" t="inlineStr">
        <is>
          <t>Home &amp; Lifestyle</t>
        </is>
      </c>
      <c r="D907" s="3" t="inlineStr">
        <is>
          <t>Small Home Goods</t>
        </is>
      </c>
      <c r="E907" s="3" t="inlineStr">
        <is>
          <t>Western</t>
        </is>
      </c>
      <c r="F907" s="3" t="inlineStr">
        <is>
          <t>Online</t>
        </is>
      </c>
      <c r="G907" s="3" t="inlineStr">
        <is>
          <t>New</t>
        </is>
      </c>
      <c r="H907" s="3" t="n">
        <v>1</v>
      </c>
      <c r="I907" s="8" t="n">
        <v>165</v>
      </c>
      <c r="J907" s="8" t="n">
        <v>90</v>
      </c>
      <c r="K907" s="9" t="n">
        <v>0.15</v>
      </c>
      <c r="L907" s="8" t="n">
        <v>19.24</v>
      </c>
      <c r="M907" s="8">
        <f>H907*I907*(1-K907)</f>
        <v/>
      </c>
      <c r="N907" s="8">
        <f>H907*J907</f>
        <v/>
      </c>
      <c r="O907" s="8">
        <f>M907-N907-L907</f>
        <v/>
      </c>
      <c r="P907" s="10">
        <f>IFERROR(O907/M907,0)</f>
        <v/>
      </c>
      <c r="Q907" s="3">
        <f>IF(H907&lt;=0,"Review: quantity &lt;= 0",IF(K907&gt;0.3,"Review: discount &gt; 30%",IF(G907="","Review: missing customer type","OK")))</f>
        <v/>
      </c>
    </row>
    <row r="908">
      <c r="A908" s="3" t="inlineStr">
        <is>
          <t>ORD-10907</t>
        </is>
      </c>
      <c r="B908" s="7" t="n">
        <v>45871</v>
      </c>
      <c r="C908" s="3" t="inlineStr">
        <is>
          <t>Clothing</t>
        </is>
      </c>
      <c r="D908" s="3" t="inlineStr">
        <is>
          <t>Dresses</t>
        </is>
      </c>
      <c r="E908" s="3" t="inlineStr">
        <is>
          <t>Central</t>
        </is>
      </c>
      <c r="F908" s="3" t="inlineStr">
        <is>
          <t>Retail Shop</t>
        </is>
      </c>
      <c r="G908" s="3" t="inlineStr">
        <is>
          <t>Returning</t>
        </is>
      </c>
      <c r="H908" s="3" t="n">
        <v>2</v>
      </c>
      <c r="I908" s="8" t="n">
        <v>145</v>
      </c>
      <c r="J908" s="8" t="n">
        <v>76.81</v>
      </c>
      <c r="K908" s="9" t="n">
        <v>0</v>
      </c>
      <c r="L908" s="8" t="n">
        <v>9.19</v>
      </c>
      <c r="M908" s="8">
        <f>H908*I908*(1-K908)</f>
        <v/>
      </c>
      <c r="N908" s="8">
        <f>H908*J908</f>
        <v/>
      </c>
      <c r="O908" s="8">
        <f>M908-N908-L908</f>
        <v/>
      </c>
      <c r="P908" s="10">
        <f>IFERROR(O908/M908,0)</f>
        <v/>
      </c>
      <c r="Q908" s="3">
        <f>IF(H908&lt;=0,"Review: quantity &lt;= 0",IF(K908&gt;0.3,"Review: discount &gt; 30%",IF(G908="","Review: missing customer type","OK")))</f>
        <v/>
      </c>
    </row>
    <row r="909">
      <c r="A909" s="3" t="inlineStr">
        <is>
          <t>ORD-10908</t>
        </is>
      </c>
      <c r="B909" s="7" t="n">
        <v>45761</v>
      </c>
      <c r="C909" s="3" t="inlineStr">
        <is>
          <t>Clothing</t>
        </is>
      </c>
      <c r="D909" s="3" t="inlineStr">
        <is>
          <t>Shirts</t>
        </is>
      </c>
      <c r="E909" s="3" t="inlineStr">
        <is>
          <t>Central</t>
        </is>
      </c>
      <c r="F909" s="3" t="inlineStr">
        <is>
          <t>Online</t>
        </is>
      </c>
      <c r="G909" s="3" t="inlineStr">
        <is>
          <t>Returning</t>
        </is>
      </c>
      <c r="H909" s="3" t="n">
        <v>1</v>
      </c>
      <c r="I909" s="8" t="n">
        <v>145</v>
      </c>
      <c r="J909" s="8" t="n">
        <v>70.61</v>
      </c>
      <c r="K909" s="9" t="n">
        <v>0.05</v>
      </c>
      <c r="L909" s="8" t="n">
        <v>42.86</v>
      </c>
      <c r="M909" s="8">
        <f>H909*I909*(1-K909)</f>
        <v/>
      </c>
      <c r="N909" s="8">
        <f>H909*J909</f>
        <v/>
      </c>
      <c r="O909" s="8">
        <f>M909-N909-L909</f>
        <v/>
      </c>
      <c r="P909" s="10">
        <f>IFERROR(O909/M909,0)</f>
        <v/>
      </c>
      <c r="Q909" s="3">
        <f>IF(H909&lt;=0,"Review: quantity &lt;= 0",IF(K909&gt;0.3,"Review: discount &gt; 30%",IF(G909="","Review: missing customer type","OK")))</f>
        <v/>
      </c>
    </row>
    <row r="910">
      <c r="A910" s="3" t="inlineStr">
        <is>
          <t>ORD-10909</t>
        </is>
      </c>
      <c r="B910" s="7" t="n">
        <v>45671</v>
      </c>
      <c r="C910" s="3" t="inlineStr">
        <is>
          <t>Footwear</t>
        </is>
      </c>
      <c r="D910" s="3" t="inlineStr">
        <is>
          <t>Sneakers</t>
        </is>
      </c>
      <c r="E910" s="3" t="inlineStr">
        <is>
          <t>Greater Accra</t>
        </is>
      </c>
      <c r="F910" s="3" t="inlineStr">
        <is>
          <t>Retail Shop</t>
        </is>
      </c>
      <c r="G910" s="3" t="inlineStr">
        <is>
          <t>Returning</t>
        </is>
      </c>
      <c r="H910" s="3" t="n">
        <v>2</v>
      </c>
      <c r="I910" s="8" t="n">
        <v>210</v>
      </c>
      <c r="J910" s="8" t="n">
        <v>109.26</v>
      </c>
      <c r="K910" s="9" t="n">
        <v>0</v>
      </c>
      <c r="L910" s="8" t="n">
        <v>9.59</v>
      </c>
      <c r="M910" s="8">
        <f>H910*I910*(1-K910)</f>
        <v/>
      </c>
      <c r="N910" s="8">
        <f>H910*J910</f>
        <v/>
      </c>
      <c r="O910" s="8">
        <f>M910-N910-L910</f>
        <v/>
      </c>
      <c r="P910" s="10">
        <f>IFERROR(O910/M910,0)</f>
        <v/>
      </c>
      <c r="Q910" s="3">
        <f>IF(H910&lt;=0,"Review: quantity &lt;= 0",IF(K910&gt;0.3,"Review: discount &gt; 30%",IF(G910="","Review: missing customer type","OK")))</f>
        <v/>
      </c>
    </row>
    <row r="911">
      <c r="A911" s="3" t="inlineStr">
        <is>
          <t>ORD-10910</t>
        </is>
      </c>
      <c r="B911" s="7" t="n">
        <v>45955</v>
      </c>
      <c r="C911" s="3" t="inlineStr">
        <is>
          <t>Clothing</t>
        </is>
      </c>
      <c r="D911" s="3" t="inlineStr">
        <is>
          <t>Dresses</t>
        </is>
      </c>
      <c r="E911" s="3" t="inlineStr">
        <is>
          <t>Ashanti</t>
        </is>
      </c>
      <c r="F911" s="3" t="inlineStr">
        <is>
          <t>Retail Shop</t>
        </is>
      </c>
      <c r="G911" s="3" t="inlineStr">
        <is>
          <t>Returning</t>
        </is>
      </c>
      <c r="H911" s="3" t="n">
        <v>3</v>
      </c>
      <c r="I911" s="8" t="n">
        <v>95</v>
      </c>
      <c r="J911" s="8" t="n">
        <v>45.08</v>
      </c>
      <c r="K911" s="9" t="n">
        <v>0</v>
      </c>
      <c r="L911" s="8" t="n">
        <v>11.77</v>
      </c>
      <c r="M911" s="8">
        <f>H911*I911*(1-K911)</f>
        <v/>
      </c>
      <c r="N911" s="8">
        <f>H911*J911</f>
        <v/>
      </c>
      <c r="O911" s="8">
        <f>M911-N911-L911</f>
        <v/>
      </c>
      <c r="P911" s="10">
        <f>IFERROR(O911/M911,0)</f>
        <v/>
      </c>
      <c r="Q911" s="3">
        <f>IF(H911&lt;=0,"Review: quantity &lt;= 0",IF(K911&gt;0.3,"Review: discount &gt; 30%",IF(G911="","Review: missing customer type","OK")))</f>
        <v/>
      </c>
    </row>
    <row r="912">
      <c r="A912" s="3" t="inlineStr">
        <is>
          <t>ORD-10911</t>
        </is>
      </c>
      <c r="B912" s="7" t="n">
        <v>45666</v>
      </c>
      <c r="C912" s="3" t="inlineStr">
        <is>
          <t>Footwear</t>
        </is>
      </c>
      <c r="D912" s="3" t="inlineStr">
        <is>
          <t>Formal Shoes</t>
        </is>
      </c>
      <c r="E912" s="3" t="inlineStr">
        <is>
          <t>Greater Accra</t>
        </is>
      </c>
      <c r="F912" s="3" t="inlineStr">
        <is>
          <t>Online</t>
        </is>
      </c>
      <c r="G912" s="3" t="inlineStr">
        <is>
          <t>Returning</t>
        </is>
      </c>
      <c r="H912" s="3" t="n">
        <v>2</v>
      </c>
      <c r="I912" s="8" t="n">
        <v>210</v>
      </c>
      <c r="J912" s="8" t="n">
        <v>115.45</v>
      </c>
      <c r="K912" s="9" t="n">
        <v>0.15</v>
      </c>
      <c r="L912" s="8" t="n">
        <v>36.05</v>
      </c>
      <c r="M912" s="8">
        <f>H912*I912*(1-K912)</f>
        <v/>
      </c>
      <c r="N912" s="8">
        <f>H912*J912</f>
        <v/>
      </c>
      <c r="O912" s="8">
        <f>M912-N912-L912</f>
        <v/>
      </c>
      <c r="P912" s="10">
        <f>IFERROR(O912/M912,0)</f>
        <v/>
      </c>
      <c r="Q912" s="3">
        <f>IF(H912&lt;=0,"Review: quantity &lt;= 0",IF(K912&gt;0.3,"Review: discount &gt; 30%",IF(G912="","Review: missing customer type","OK")))</f>
        <v/>
      </c>
    </row>
    <row r="913">
      <c r="A913" s="3" t="inlineStr">
        <is>
          <t>ORD-10912</t>
        </is>
      </c>
      <c r="B913" s="7" t="n">
        <v>45838</v>
      </c>
      <c r="C913" s="3" t="inlineStr">
        <is>
          <t>Accessories</t>
        </is>
      </c>
      <c r="D913" s="3" t="inlineStr">
        <is>
          <t>Watches</t>
        </is>
      </c>
      <c r="E913" s="3" t="inlineStr">
        <is>
          <t>Central</t>
        </is>
      </c>
      <c r="F913" s="3" t="inlineStr">
        <is>
          <t>Phone/WhatsApp</t>
        </is>
      </c>
      <c r="G913" s="3" t="inlineStr">
        <is>
          <t>New</t>
        </is>
      </c>
      <c r="H913" s="3" t="n">
        <v>2</v>
      </c>
      <c r="I913" s="8" t="n">
        <v>100</v>
      </c>
      <c r="J913" s="8" t="n">
        <v>48.55</v>
      </c>
      <c r="K913" s="9" t="n">
        <v>0</v>
      </c>
      <c r="L913" s="8" t="n">
        <v>24.77</v>
      </c>
      <c r="M913" s="8">
        <f>H913*I913*(1-K913)</f>
        <v/>
      </c>
      <c r="N913" s="8">
        <f>H913*J913</f>
        <v/>
      </c>
      <c r="O913" s="8">
        <f>M913-N913-L913</f>
        <v/>
      </c>
      <c r="P913" s="10">
        <f>IFERROR(O913/M913,0)</f>
        <v/>
      </c>
      <c r="Q913" s="3">
        <f>IF(H913&lt;=0,"Review: quantity &lt;= 0",IF(K913&gt;0.3,"Review: discount &gt; 30%",IF(G913="","Review: missing customer type","OK")))</f>
        <v/>
      </c>
    </row>
    <row r="914">
      <c r="A914" s="3" t="inlineStr">
        <is>
          <t>ORD-10913</t>
        </is>
      </c>
      <c r="B914" s="7" t="n">
        <v>45843</v>
      </c>
      <c r="C914" s="3" t="inlineStr">
        <is>
          <t>Home &amp; Lifestyle</t>
        </is>
      </c>
      <c r="D914" s="3" t="inlineStr">
        <is>
          <t>Travel Mugs</t>
        </is>
      </c>
      <c r="E914" s="3" t="inlineStr">
        <is>
          <t>Greater Accra</t>
        </is>
      </c>
      <c r="F914" s="3" t="inlineStr">
        <is>
          <t>Retail Shop</t>
        </is>
      </c>
      <c r="G914" s="3" t="inlineStr">
        <is>
          <t>New</t>
        </is>
      </c>
      <c r="H914" s="3" t="n">
        <v>5</v>
      </c>
      <c r="I914" s="8" t="n">
        <v>110</v>
      </c>
      <c r="J914" s="8" t="n">
        <v>63.82</v>
      </c>
      <c r="K914" s="9" t="n">
        <v>0</v>
      </c>
      <c r="L914" s="8" t="n">
        <v>7.3</v>
      </c>
      <c r="M914" s="8">
        <f>H914*I914*(1-K914)</f>
        <v/>
      </c>
      <c r="N914" s="8">
        <f>H914*J914</f>
        <v/>
      </c>
      <c r="O914" s="8">
        <f>M914-N914-L914</f>
        <v/>
      </c>
      <c r="P914" s="10">
        <f>IFERROR(O914/M914,0)</f>
        <v/>
      </c>
      <c r="Q914" s="3">
        <f>IF(H914&lt;=0,"Review: quantity &lt;= 0",IF(K914&gt;0.3,"Review: discount &gt; 30%",IF(G914="","Review: missing customer type","OK")))</f>
        <v/>
      </c>
    </row>
    <row r="915">
      <c r="A915" s="3" t="inlineStr">
        <is>
          <t>ORD-10914</t>
        </is>
      </c>
      <c r="B915" s="7" t="n">
        <v>45823</v>
      </c>
      <c r="C915" s="3" t="inlineStr">
        <is>
          <t>Clothing</t>
        </is>
      </c>
      <c r="D915" s="3" t="inlineStr">
        <is>
          <t>Dresses</t>
        </is>
      </c>
      <c r="E915" s="3" t="inlineStr">
        <is>
          <t>Northern</t>
        </is>
      </c>
      <c r="F915" s="3" t="inlineStr">
        <is>
          <t>Online</t>
        </is>
      </c>
      <c r="G915" s="3" t="inlineStr">
        <is>
          <t>Returning</t>
        </is>
      </c>
      <c r="H915" s="3" t="n">
        <v>1</v>
      </c>
      <c r="I915" s="8" t="n">
        <v>155</v>
      </c>
      <c r="J915" s="8" t="n">
        <v>80.2</v>
      </c>
      <c r="K915" s="9" t="n">
        <v>0.05</v>
      </c>
      <c r="L915" s="8" t="n">
        <v>22.18</v>
      </c>
      <c r="M915" s="8">
        <f>H915*I915*(1-K915)</f>
        <v/>
      </c>
      <c r="N915" s="8">
        <f>H915*J915</f>
        <v/>
      </c>
      <c r="O915" s="8">
        <f>M915-N915-L915</f>
        <v/>
      </c>
      <c r="P915" s="10">
        <f>IFERROR(O915/M915,0)</f>
        <v/>
      </c>
      <c r="Q915" s="3">
        <f>IF(H915&lt;=0,"Review: quantity &lt;= 0",IF(K915&gt;0.3,"Review: discount &gt; 30%",IF(G915="","Review: missing customer type","OK")))</f>
        <v/>
      </c>
    </row>
    <row r="916">
      <c r="A916" s="3" t="inlineStr">
        <is>
          <t>ORD-10915</t>
        </is>
      </c>
      <c r="B916" s="7" t="n">
        <v>45935</v>
      </c>
      <c r="C916" s="3" t="inlineStr">
        <is>
          <t>Footwear</t>
        </is>
      </c>
      <c r="D916" s="3" t="inlineStr">
        <is>
          <t>Formal Shoes</t>
        </is>
      </c>
      <c r="E916" s="3" t="inlineStr">
        <is>
          <t>Greater Accra</t>
        </is>
      </c>
      <c r="F916" s="3" t="inlineStr">
        <is>
          <t>Retail Shop</t>
        </is>
      </c>
      <c r="G916" s="3" t="inlineStr">
        <is>
          <t>Returning</t>
        </is>
      </c>
      <c r="H916" s="3" t="n">
        <v>1</v>
      </c>
      <c r="I916" s="8" t="n">
        <v>215</v>
      </c>
      <c r="J916" s="8" t="n">
        <v>115.18</v>
      </c>
      <c r="K916" s="9" t="n">
        <v>0</v>
      </c>
      <c r="L916" s="8" t="n">
        <v>2.49</v>
      </c>
      <c r="M916" s="8">
        <f>H916*I916*(1-K916)</f>
        <v/>
      </c>
      <c r="N916" s="8">
        <f>H916*J916</f>
        <v/>
      </c>
      <c r="O916" s="8">
        <f>M916-N916-L916</f>
        <v/>
      </c>
      <c r="P916" s="10">
        <f>IFERROR(O916/M916,0)</f>
        <v/>
      </c>
      <c r="Q916" s="3">
        <f>IF(H916&lt;=0,"Review: quantity &lt;= 0",IF(K916&gt;0.3,"Review: discount &gt; 30%",IF(G916="","Review: missing customer type","OK")))</f>
        <v/>
      </c>
    </row>
    <row r="917">
      <c r="A917" s="3" t="inlineStr">
        <is>
          <t>ORD-10916</t>
        </is>
      </c>
      <c r="B917" s="7" t="n">
        <v>45868</v>
      </c>
      <c r="C917" s="3" t="inlineStr">
        <is>
          <t>Footwear</t>
        </is>
      </c>
      <c r="D917" s="3" t="inlineStr">
        <is>
          <t>Formal Shoes</t>
        </is>
      </c>
      <c r="E917" s="3" t="inlineStr">
        <is>
          <t>Greater Accra</t>
        </is>
      </c>
      <c r="F917" s="3" t="inlineStr">
        <is>
          <t>Retail Shop</t>
        </is>
      </c>
      <c r="G917" s="3" t="inlineStr">
        <is>
          <t>Returning</t>
        </is>
      </c>
      <c r="H917" s="3" t="n">
        <v>1</v>
      </c>
      <c r="I917" s="8" t="n">
        <v>215</v>
      </c>
      <c r="J917" s="8" t="n">
        <v>111.68</v>
      </c>
      <c r="K917" s="9" t="n">
        <v>0</v>
      </c>
      <c r="L917" s="8" t="n">
        <v>2.91</v>
      </c>
      <c r="M917" s="8">
        <f>H917*I917*(1-K917)</f>
        <v/>
      </c>
      <c r="N917" s="8">
        <f>H917*J917</f>
        <v/>
      </c>
      <c r="O917" s="8">
        <f>M917-N917-L917</f>
        <v/>
      </c>
      <c r="P917" s="10">
        <f>IFERROR(O917/M917,0)</f>
        <v/>
      </c>
      <c r="Q917" s="3">
        <f>IF(H917&lt;=0,"Review: quantity &lt;= 0",IF(K917&gt;0.3,"Review: discount &gt; 30%",IF(G917="","Review: missing customer type","OK")))</f>
        <v/>
      </c>
    </row>
    <row r="918">
      <c r="A918" s="3" t="inlineStr">
        <is>
          <t>ORD-10917</t>
        </is>
      </c>
      <c r="B918" s="7" t="n">
        <v>45681</v>
      </c>
      <c r="C918" s="3" t="inlineStr">
        <is>
          <t>Clothing</t>
        </is>
      </c>
      <c r="D918" s="3" t="inlineStr">
        <is>
          <t>Dresses</t>
        </is>
      </c>
      <c r="E918" s="3" t="inlineStr">
        <is>
          <t>Ashanti</t>
        </is>
      </c>
      <c r="F918" s="3" t="inlineStr">
        <is>
          <t>Retail Shop</t>
        </is>
      </c>
      <c r="G918" s="3" t="inlineStr">
        <is>
          <t>Returning</t>
        </is>
      </c>
      <c r="H918" s="3" t="n">
        <v>2</v>
      </c>
      <c r="I918" s="8" t="n">
        <v>250</v>
      </c>
      <c r="J918" s="8" t="n">
        <v>144.83</v>
      </c>
      <c r="K918" s="9" t="n">
        <v>0.05</v>
      </c>
      <c r="L918" s="8" t="n">
        <v>1.71</v>
      </c>
      <c r="M918" s="8">
        <f>H918*I918*(1-K918)</f>
        <v/>
      </c>
      <c r="N918" s="8">
        <f>H918*J918</f>
        <v/>
      </c>
      <c r="O918" s="8">
        <f>M918-N918-L918</f>
        <v/>
      </c>
      <c r="P918" s="10">
        <f>IFERROR(O918/M918,0)</f>
        <v/>
      </c>
      <c r="Q918" s="3">
        <f>IF(H918&lt;=0,"Review: quantity &lt;= 0",IF(K918&gt;0.3,"Review: discount &gt; 30%",IF(G918="","Review: missing customer type","OK")))</f>
        <v/>
      </c>
    </row>
    <row r="919">
      <c r="A919" s="3" t="inlineStr">
        <is>
          <t>ORD-10918</t>
        </is>
      </c>
      <c r="B919" s="7" t="n">
        <v>45926</v>
      </c>
      <c r="C919" s="3" t="inlineStr">
        <is>
          <t>Footwear</t>
        </is>
      </c>
      <c r="D919" s="3" t="inlineStr">
        <is>
          <t>Sandals</t>
        </is>
      </c>
      <c r="E919" s="3" t="inlineStr">
        <is>
          <t>Western</t>
        </is>
      </c>
      <c r="F919" s="3" t="inlineStr">
        <is>
          <t>Retail Shop</t>
        </is>
      </c>
      <c r="G919" s="3" t="inlineStr">
        <is>
          <t>Returning</t>
        </is>
      </c>
      <c r="H919" s="3" t="n">
        <v>5</v>
      </c>
      <c r="I919" s="8" t="n">
        <v>350</v>
      </c>
      <c r="J919" s="8" t="n">
        <v>213.96</v>
      </c>
      <c r="K919" s="9" t="n">
        <v>0.2</v>
      </c>
      <c r="L919" s="8" t="n">
        <v>6.23</v>
      </c>
      <c r="M919" s="8">
        <f>H919*I919*(1-K919)</f>
        <v/>
      </c>
      <c r="N919" s="8">
        <f>H919*J919</f>
        <v/>
      </c>
      <c r="O919" s="8">
        <f>M919-N919-L919</f>
        <v/>
      </c>
      <c r="P919" s="10">
        <f>IFERROR(O919/M919,0)</f>
        <v/>
      </c>
      <c r="Q919" s="3">
        <f>IF(H919&lt;=0,"Review: quantity &lt;= 0",IF(K919&gt;0.3,"Review: discount &gt; 30%",IF(G919="","Review: missing customer type","OK")))</f>
        <v/>
      </c>
    </row>
    <row r="920">
      <c r="A920" s="3" t="inlineStr">
        <is>
          <t>ORD-10919</t>
        </is>
      </c>
      <c r="B920" s="7" t="n">
        <v>45964</v>
      </c>
      <c r="C920" s="3" t="inlineStr">
        <is>
          <t>Clothing</t>
        </is>
      </c>
      <c r="D920" s="3" t="inlineStr">
        <is>
          <t>Trousers</t>
        </is>
      </c>
      <c r="E920" s="3" t="inlineStr">
        <is>
          <t>Central</t>
        </is>
      </c>
      <c r="F920" s="3" t="inlineStr">
        <is>
          <t>Retail Shop</t>
        </is>
      </c>
      <c r="G920" s="3" t="inlineStr">
        <is>
          <t>New</t>
        </is>
      </c>
      <c r="H920" s="3" t="n">
        <v>3</v>
      </c>
      <c r="I920" s="8" t="n">
        <v>200</v>
      </c>
      <c r="J920" s="8" t="n">
        <v>98.25</v>
      </c>
      <c r="K920" s="9" t="n">
        <v>0</v>
      </c>
      <c r="L920" s="8" t="n">
        <v>4.16</v>
      </c>
      <c r="M920" s="8">
        <f>H920*I920*(1-K920)</f>
        <v/>
      </c>
      <c r="N920" s="8">
        <f>H920*J920</f>
        <v/>
      </c>
      <c r="O920" s="8">
        <f>M920-N920-L920</f>
        <v/>
      </c>
      <c r="P920" s="10">
        <f>IFERROR(O920/M920,0)</f>
        <v/>
      </c>
      <c r="Q920" s="3">
        <f>IF(H920&lt;=0,"Review: quantity &lt;= 0",IF(K920&gt;0.3,"Review: discount &gt; 30%",IF(G920="","Review: missing customer type","OK")))</f>
        <v/>
      </c>
    </row>
    <row r="921">
      <c r="A921" s="3" t="inlineStr">
        <is>
          <t>ORD-10920</t>
        </is>
      </c>
      <c r="B921" s="7" t="n">
        <v>45929</v>
      </c>
      <c r="C921" s="3" t="inlineStr">
        <is>
          <t>Home &amp; Lifestyle</t>
        </is>
      </c>
      <c r="D921" s="3" t="inlineStr">
        <is>
          <t>Small Home Goods</t>
        </is>
      </c>
      <c r="E921" s="3" t="inlineStr">
        <is>
          <t>Central</t>
        </is>
      </c>
      <c r="F921" s="3" t="inlineStr">
        <is>
          <t>Retail Shop</t>
        </is>
      </c>
      <c r="G921" s="3" t="inlineStr">
        <is>
          <t>New</t>
        </is>
      </c>
      <c r="H921" s="3" t="n">
        <v>1</v>
      </c>
      <c r="I921" s="8" t="n">
        <v>150</v>
      </c>
      <c r="J921" s="8" t="n">
        <v>84.76000000000001</v>
      </c>
      <c r="K921" s="9" t="n">
        <v>0</v>
      </c>
      <c r="L921" s="8" t="n">
        <v>1.61</v>
      </c>
      <c r="M921" s="8">
        <f>H921*I921*(1-K921)</f>
        <v/>
      </c>
      <c r="N921" s="8">
        <f>H921*J921</f>
        <v/>
      </c>
      <c r="O921" s="8">
        <f>M921-N921-L921</f>
        <v/>
      </c>
      <c r="P921" s="10">
        <f>IFERROR(O921/M921,0)</f>
        <v/>
      </c>
      <c r="Q921" s="3">
        <f>IF(H921&lt;=0,"Review: quantity &lt;= 0",IF(K921&gt;0.3,"Review: discount &gt; 30%",IF(G921="","Review: missing customer type","OK")))</f>
        <v/>
      </c>
    </row>
    <row r="922">
      <c r="A922" s="3" t="inlineStr">
        <is>
          <t>ORD-10921</t>
        </is>
      </c>
      <c r="B922" s="7" t="n">
        <v>45682</v>
      </c>
      <c r="C922" s="3" t="inlineStr">
        <is>
          <t>Footwear</t>
        </is>
      </c>
      <c r="D922" s="3" t="inlineStr">
        <is>
          <t>Formal Shoes</t>
        </is>
      </c>
      <c r="E922" s="3" t="inlineStr">
        <is>
          <t>Ashanti</t>
        </is>
      </c>
      <c r="F922" s="3" t="inlineStr">
        <is>
          <t>Online</t>
        </is>
      </c>
      <c r="G922" s="3" t="inlineStr">
        <is>
          <t>Returning</t>
        </is>
      </c>
      <c r="H922" s="3" t="n">
        <v>2</v>
      </c>
      <c r="I922" s="8" t="n">
        <v>275</v>
      </c>
      <c r="J922" s="8" t="n">
        <v>143.04</v>
      </c>
      <c r="K922" s="9" t="n">
        <v>0.05</v>
      </c>
      <c r="L922" s="8" t="n">
        <v>24.42</v>
      </c>
      <c r="M922" s="8">
        <f>H922*I922*(1-K922)</f>
        <v/>
      </c>
      <c r="N922" s="8">
        <f>H922*J922</f>
        <v/>
      </c>
      <c r="O922" s="8">
        <f>M922-N922-L922</f>
        <v/>
      </c>
      <c r="P922" s="10">
        <f>IFERROR(O922/M922,0)</f>
        <v/>
      </c>
      <c r="Q922" s="3">
        <f>IF(H922&lt;=0,"Review: quantity &lt;= 0",IF(K922&gt;0.3,"Review: discount &gt; 30%",IF(G922="","Review: missing customer type","OK")))</f>
        <v/>
      </c>
    </row>
    <row r="923">
      <c r="A923" s="3" t="inlineStr">
        <is>
          <t>ORD-10922</t>
        </is>
      </c>
      <c r="B923" s="7" t="n">
        <v>45864</v>
      </c>
      <c r="C923" s="3" t="inlineStr">
        <is>
          <t>Home &amp; Lifestyle</t>
        </is>
      </c>
      <c r="D923" s="3" t="inlineStr">
        <is>
          <t>Backpacks</t>
        </is>
      </c>
      <c r="E923" s="3" t="inlineStr">
        <is>
          <t>Greater Accra</t>
        </is>
      </c>
      <c r="F923" s="3" t="inlineStr">
        <is>
          <t>Phone/WhatsApp</t>
        </is>
      </c>
      <c r="G923" s="3" t="inlineStr">
        <is>
          <t>Returning</t>
        </is>
      </c>
      <c r="H923" s="3" t="n">
        <v>1</v>
      </c>
      <c r="I923" s="8" t="n">
        <v>155</v>
      </c>
      <c r="J923" s="8" t="n">
        <v>78.14</v>
      </c>
      <c r="K923" s="9" t="n">
        <v>0</v>
      </c>
      <c r="L923" s="8" t="n">
        <v>16.53</v>
      </c>
      <c r="M923" s="8">
        <f>H923*I923*(1-K923)</f>
        <v/>
      </c>
      <c r="N923" s="8">
        <f>H923*J923</f>
        <v/>
      </c>
      <c r="O923" s="8">
        <f>M923-N923-L923</f>
        <v/>
      </c>
      <c r="P923" s="10">
        <f>IFERROR(O923/M923,0)</f>
        <v/>
      </c>
      <c r="Q923" s="3">
        <f>IF(H923&lt;=0,"Review: quantity &lt;= 0",IF(K923&gt;0.3,"Review: discount &gt; 30%",IF(G923="","Review: missing customer type","OK")))</f>
        <v/>
      </c>
    </row>
    <row r="924">
      <c r="A924" s="3" t="inlineStr">
        <is>
          <t>ORD-10923</t>
        </is>
      </c>
      <c r="B924" s="7" t="n">
        <v>45860</v>
      </c>
      <c r="C924" s="3" t="inlineStr">
        <is>
          <t>Footwear</t>
        </is>
      </c>
      <c r="D924" s="3" t="inlineStr">
        <is>
          <t>Boots</t>
        </is>
      </c>
      <c r="E924" s="3" t="inlineStr">
        <is>
          <t>Greater Accra</t>
        </is>
      </c>
      <c r="F924" s="3" t="inlineStr">
        <is>
          <t>Online</t>
        </is>
      </c>
      <c r="G924" s="3" t="inlineStr">
        <is>
          <t>Returning</t>
        </is>
      </c>
      <c r="H924" s="3" t="n">
        <v>1</v>
      </c>
      <c r="I924" s="8" t="n">
        <v>315</v>
      </c>
      <c r="J924" s="8" t="n">
        <v>187.84</v>
      </c>
      <c r="K924" s="9" t="n">
        <v>0.1</v>
      </c>
      <c r="L924" s="8" t="n">
        <v>25.17</v>
      </c>
      <c r="M924" s="8">
        <f>H924*I924*(1-K924)</f>
        <v/>
      </c>
      <c r="N924" s="8">
        <f>H924*J924</f>
        <v/>
      </c>
      <c r="O924" s="8">
        <f>M924-N924-L924</f>
        <v/>
      </c>
      <c r="P924" s="10">
        <f>IFERROR(O924/M924,0)</f>
        <v/>
      </c>
      <c r="Q924" s="3">
        <f>IF(H924&lt;=0,"Review: quantity &lt;= 0",IF(K924&gt;0.3,"Review: discount &gt; 30%",IF(G924="","Review: missing customer type","OK")))</f>
        <v/>
      </c>
    </row>
    <row r="925">
      <c r="A925" s="3" t="inlineStr">
        <is>
          <t>ORD-10924</t>
        </is>
      </c>
      <c r="B925" s="7" t="n">
        <v>45975</v>
      </c>
      <c r="C925" s="3" t="inlineStr">
        <is>
          <t>Footwear</t>
        </is>
      </c>
      <c r="D925" s="3" t="inlineStr">
        <is>
          <t>Sandals</t>
        </is>
      </c>
      <c r="E925" s="3" t="inlineStr">
        <is>
          <t>Greater Accra</t>
        </is>
      </c>
      <c r="F925" s="3" t="inlineStr">
        <is>
          <t>Online</t>
        </is>
      </c>
      <c r="G925" s="3" t="inlineStr">
        <is>
          <t>Returning</t>
        </is>
      </c>
      <c r="H925" s="3" t="n">
        <v>3</v>
      </c>
      <c r="I925" s="8" t="n">
        <v>290</v>
      </c>
      <c r="J925" s="8" t="n">
        <v>145.56</v>
      </c>
      <c r="K925" s="9" t="n">
        <v>0</v>
      </c>
      <c r="L925" s="8" t="n">
        <v>30.39</v>
      </c>
      <c r="M925" s="8">
        <f>H925*I925*(1-K925)</f>
        <v/>
      </c>
      <c r="N925" s="8">
        <f>H925*J925</f>
        <v/>
      </c>
      <c r="O925" s="8">
        <f>M925-N925-L925</f>
        <v/>
      </c>
      <c r="P925" s="10">
        <f>IFERROR(O925/M925,0)</f>
        <v/>
      </c>
      <c r="Q925" s="3">
        <f>IF(H925&lt;=0,"Review: quantity &lt;= 0",IF(K925&gt;0.3,"Review: discount &gt; 30%",IF(G925="","Review: missing customer type","OK")))</f>
        <v/>
      </c>
    </row>
    <row r="926">
      <c r="A926" s="3" t="inlineStr">
        <is>
          <t>ORD-10925</t>
        </is>
      </c>
      <c r="B926" s="7" t="n">
        <v>45921</v>
      </c>
      <c r="C926" s="3" t="inlineStr">
        <is>
          <t>Accessories</t>
        </is>
      </c>
      <c r="D926" s="3" t="inlineStr">
        <is>
          <t>Sunglasses</t>
        </is>
      </c>
      <c r="E926" s="3" t="inlineStr">
        <is>
          <t>Western</t>
        </is>
      </c>
      <c r="F926" s="3" t="inlineStr">
        <is>
          <t>Retail Shop</t>
        </is>
      </c>
      <c r="G926" s="3" t="inlineStr">
        <is>
          <t>Returning</t>
        </is>
      </c>
      <c r="H926" s="3" t="n">
        <v>4</v>
      </c>
      <c r="I926" s="8" t="n">
        <v>120</v>
      </c>
      <c r="J926" s="8" t="n">
        <v>63.08</v>
      </c>
      <c r="K926" s="9" t="n">
        <v>0</v>
      </c>
      <c r="L926" s="8" t="n">
        <v>0.38</v>
      </c>
      <c r="M926" s="8">
        <f>H926*I926*(1-K926)</f>
        <v/>
      </c>
      <c r="N926" s="8">
        <f>H926*J926</f>
        <v/>
      </c>
      <c r="O926" s="8">
        <f>M926-N926-L926</f>
        <v/>
      </c>
      <c r="P926" s="10">
        <f>IFERROR(O926/M926,0)</f>
        <v/>
      </c>
      <c r="Q926" s="3">
        <f>IF(H926&lt;=0,"Review: quantity &lt;= 0",IF(K926&gt;0.3,"Review: discount &gt; 30%",IF(G926="","Review: missing customer type","OK")))</f>
        <v/>
      </c>
    </row>
    <row r="927">
      <c r="A927" s="3" t="inlineStr">
        <is>
          <t>ORD-10926</t>
        </is>
      </c>
      <c r="B927" s="7" t="n">
        <v>45781</v>
      </c>
      <c r="C927" s="3" t="inlineStr">
        <is>
          <t>Accessories</t>
        </is>
      </c>
      <c r="D927" s="3" t="inlineStr">
        <is>
          <t>Sunglasses</t>
        </is>
      </c>
      <c r="E927" s="3" t="inlineStr">
        <is>
          <t>Western</t>
        </is>
      </c>
      <c r="F927" s="3" t="inlineStr">
        <is>
          <t>Online</t>
        </is>
      </c>
      <c r="G927" s="3" t="inlineStr">
        <is>
          <t>New</t>
        </is>
      </c>
      <c r="H927" s="3" t="n">
        <v>1</v>
      </c>
      <c r="I927" s="8" t="n">
        <v>85</v>
      </c>
      <c r="J927" s="8" t="n">
        <v>39.67</v>
      </c>
      <c r="K927" s="9" t="n">
        <v>0</v>
      </c>
      <c r="L927" s="8" t="n">
        <v>21.48</v>
      </c>
      <c r="M927" s="8">
        <f>H927*I927*(1-K927)</f>
        <v/>
      </c>
      <c r="N927" s="8">
        <f>H927*J927</f>
        <v/>
      </c>
      <c r="O927" s="8">
        <f>M927-N927-L927</f>
        <v/>
      </c>
      <c r="P927" s="10">
        <f>IFERROR(O927/M927,0)</f>
        <v/>
      </c>
      <c r="Q927" s="3">
        <f>IF(H927&lt;=0,"Review: quantity &lt;= 0",IF(K927&gt;0.3,"Review: discount &gt; 30%",IF(G927="","Review: missing customer type","OK")))</f>
        <v/>
      </c>
    </row>
    <row r="928">
      <c r="A928" s="3" t="inlineStr">
        <is>
          <t>ORD-10927</t>
        </is>
      </c>
      <c r="B928" s="7" t="n">
        <v>45971</v>
      </c>
      <c r="C928" s="3" t="inlineStr">
        <is>
          <t>Home &amp; Lifestyle</t>
        </is>
      </c>
      <c r="D928" s="3" t="inlineStr">
        <is>
          <t>Travel Mugs</t>
        </is>
      </c>
      <c r="E928" s="3" t="inlineStr">
        <is>
          <t>Central</t>
        </is>
      </c>
      <c r="F928" s="3" t="inlineStr">
        <is>
          <t>Online</t>
        </is>
      </c>
      <c r="G928" s="3" t="inlineStr">
        <is>
          <t>Returning</t>
        </is>
      </c>
      <c r="H928" s="3" t="n">
        <v>5</v>
      </c>
      <c r="I928" s="8" t="n">
        <v>100</v>
      </c>
      <c r="J928" s="8" t="n">
        <v>60.02</v>
      </c>
      <c r="K928" s="9" t="n">
        <v>0.05</v>
      </c>
      <c r="L928" s="8" t="n">
        <v>43.43</v>
      </c>
      <c r="M928" s="8">
        <f>H928*I928*(1-K928)</f>
        <v/>
      </c>
      <c r="N928" s="8">
        <f>H928*J928</f>
        <v/>
      </c>
      <c r="O928" s="8">
        <f>M928-N928-L928</f>
        <v/>
      </c>
      <c r="P928" s="10">
        <f>IFERROR(O928/M928,0)</f>
        <v/>
      </c>
      <c r="Q928" s="3">
        <f>IF(H928&lt;=0,"Review: quantity &lt;= 0",IF(K928&gt;0.3,"Review: discount &gt; 30%",IF(G928="","Review: missing customer type","OK")))</f>
        <v/>
      </c>
    </row>
    <row r="929">
      <c r="A929" s="3" t="inlineStr">
        <is>
          <t>ORD-10928</t>
        </is>
      </c>
      <c r="B929" s="7" t="n">
        <v>45995</v>
      </c>
      <c r="C929" s="3" t="inlineStr">
        <is>
          <t>Footwear</t>
        </is>
      </c>
      <c r="D929" s="3" t="inlineStr">
        <is>
          <t>Formal Shoes</t>
        </is>
      </c>
      <c r="E929" s="3" t="inlineStr">
        <is>
          <t>Ashanti</t>
        </is>
      </c>
      <c r="F929" s="3" t="inlineStr">
        <is>
          <t>Phone/WhatsApp</t>
        </is>
      </c>
      <c r="G929" s="3" t="inlineStr">
        <is>
          <t>Returning</t>
        </is>
      </c>
      <c r="H929" s="3" t="n">
        <v>3</v>
      </c>
      <c r="I929" s="8" t="n">
        <v>325</v>
      </c>
      <c r="J929" s="8" t="n">
        <v>195.53</v>
      </c>
      <c r="K929" s="9" t="n">
        <v>0</v>
      </c>
      <c r="L929" s="8" t="n">
        <v>36.74</v>
      </c>
      <c r="M929" s="8">
        <f>H929*I929*(1-K929)</f>
        <v/>
      </c>
      <c r="N929" s="8">
        <f>H929*J929</f>
        <v/>
      </c>
      <c r="O929" s="8">
        <f>M929-N929-L929</f>
        <v/>
      </c>
      <c r="P929" s="10">
        <f>IFERROR(O929/M929,0)</f>
        <v/>
      </c>
      <c r="Q929" s="3">
        <f>IF(H929&lt;=0,"Review: quantity &lt;= 0",IF(K929&gt;0.3,"Review: discount &gt; 30%",IF(G929="","Review: missing customer type","OK")))</f>
        <v/>
      </c>
    </row>
    <row r="930">
      <c r="A930" s="3" t="inlineStr">
        <is>
          <t>ORD-10929</t>
        </is>
      </c>
      <c r="B930" s="7" t="n">
        <v>45874</v>
      </c>
      <c r="C930" s="3" t="inlineStr">
        <is>
          <t>Clothing</t>
        </is>
      </c>
      <c r="D930" s="3" t="inlineStr">
        <is>
          <t>Shirts</t>
        </is>
      </c>
      <c r="E930" s="3" t="inlineStr">
        <is>
          <t>Ashanti</t>
        </is>
      </c>
      <c r="F930" s="3" t="inlineStr">
        <is>
          <t>Retail Shop</t>
        </is>
      </c>
      <c r="G930" s="3" t="inlineStr">
        <is>
          <t>New</t>
        </is>
      </c>
      <c r="H930" s="3" t="n">
        <v>1</v>
      </c>
      <c r="I930" s="8" t="n">
        <v>180</v>
      </c>
      <c r="J930" s="8" t="n">
        <v>103.45</v>
      </c>
      <c r="K930" s="9" t="n">
        <v>0.15</v>
      </c>
      <c r="L930" s="8" t="n">
        <v>1.04</v>
      </c>
      <c r="M930" s="8">
        <f>H930*I930*(1-K930)</f>
        <v/>
      </c>
      <c r="N930" s="8">
        <f>H930*J930</f>
        <v/>
      </c>
      <c r="O930" s="8">
        <f>M930-N930-L930</f>
        <v/>
      </c>
      <c r="P930" s="10">
        <f>IFERROR(O930/M930,0)</f>
        <v/>
      </c>
      <c r="Q930" s="3">
        <f>IF(H930&lt;=0,"Review: quantity &lt;= 0",IF(K930&gt;0.3,"Review: discount &gt; 30%",IF(G930="","Review: missing customer type","OK")))</f>
        <v/>
      </c>
    </row>
    <row r="931">
      <c r="A931" s="3" t="inlineStr">
        <is>
          <t>ORD-10930</t>
        </is>
      </c>
      <c r="B931" s="7" t="n">
        <v>45793</v>
      </c>
      <c r="C931" s="3" t="inlineStr">
        <is>
          <t>Home &amp; Lifestyle</t>
        </is>
      </c>
      <c r="D931" s="3" t="inlineStr">
        <is>
          <t>Small Home Goods</t>
        </is>
      </c>
      <c r="E931" s="3" t="inlineStr">
        <is>
          <t>Ashanti</t>
        </is>
      </c>
      <c r="F931" s="3" t="inlineStr">
        <is>
          <t>Online</t>
        </is>
      </c>
      <c r="G931" s="3" t="inlineStr">
        <is>
          <t>Returning</t>
        </is>
      </c>
      <c r="H931" s="3" t="n">
        <v>1</v>
      </c>
      <c r="I931" s="8" t="n">
        <v>110</v>
      </c>
      <c r="J931" s="8" t="n">
        <v>59.52</v>
      </c>
      <c r="K931" s="9" t="n">
        <v>0.1</v>
      </c>
      <c r="L931" s="8" t="n">
        <v>39.44</v>
      </c>
      <c r="M931" s="8">
        <f>H931*I931*(1-K931)</f>
        <v/>
      </c>
      <c r="N931" s="8">
        <f>H931*J931</f>
        <v/>
      </c>
      <c r="O931" s="8">
        <f>M931-N931-L931</f>
        <v/>
      </c>
      <c r="P931" s="10">
        <f>IFERROR(O931/M931,0)</f>
        <v/>
      </c>
      <c r="Q931" s="3">
        <f>IF(H931&lt;=0,"Review: quantity &lt;= 0",IF(K931&gt;0.3,"Review: discount &gt; 30%",IF(G931="","Review: missing customer type","OK")))</f>
        <v/>
      </c>
    </row>
    <row r="932">
      <c r="A932" s="3" t="inlineStr">
        <is>
          <t>ORD-10931</t>
        </is>
      </c>
      <c r="B932" s="7" t="n">
        <v>45763</v>
      </c>
      <c r="C932" s="3" t="inlineStr">
        <is>
          <t>Home &amp; Lifestyle</t>
        </is>
      </c>
      <c r="D932" s="3" t="inlineStr">
        <is>
          <t>Wallets</t>
        </is>
      </c>
      <c r="E932" s="3" t="inlineStr">
        <is>
          <t>Greater Accra</t>
        </is>
      </c>
      <c r="F932" s="3" t="inlineStr">
        <is>
          <t>Retail Shop</t>
        </is>
      </c>
      <c r="G932" s="3" t="inlineStr">
        <is>
          <t>New</t>
        </is>
      </c>
      <c r="H932" s="3" t="n">
        <v>1</v>
      </c>
      <c r="I932" s="8" t="n">
        <v>180</v>
      </c>
      <c r="J932" s="8" t="n">
        <v>110.1</v>
      </c>
      <c r="K932" s="9" t="n">
        <v>0.05</v>
      </c>
      <c r="L932" s="8" t="n">
        <v>1.55</v>
      </c>
      <c r="M932" s="8">
        <f>H932*I932*(1-K932)</f>
        <v/>
      </c>
      <c r="N932" s="8">
        <f>H932*J932</f>
        <v/>
      </c>
      <c r="O932" s="8">
        <f>M932-N932-L932</f>
        <v/>
      </c>
      <c r="P932" s="10">
        <f>IFERROR(O932/M932,0)</f>
        <v/>
      </c>
      <c r="Q932" s="3">
        <f>IF(H932&lt;=0,"Review: quantity &lt;= 0",IF(K932&gt;0.3,"Review: discount &gt; 30%",IF(G932="","Review: missing customer type","OK")))</f>
        <v/>
      </c>
    </row>
    <row r="933">
      <c r="A933" s="3" t="inlineStr">
        <is>
          <t>ORD-10932</t>
        </is>
      </c>
      <c r="B933" s="7" t="n">
        <v>45720</v>
      </c>
      <c r="C933" s="3" t="inlineStr">
        <is>
          <t>Accessories</t>
        </is>
      </c>
      <c r="D933" s="3" t="inlineStr">
        <is>
          <t>Bags</t>
        </is>
      </c>
      <c r="E933" s="3" t="inlineStr">
        <is>
          <t>Central</t>
        </is>
      </c>
      <c r="F933" s="3" t="inlineStr">
        <is>
          <t>Retail Shop</t>
        </is>
      </c>
      <c r="G933" s="3" t="inlineStr">
        <is>
          <t>Returning</t>
        </is>
      </c>
      <c r="H933" s="3" t="n">
        <v>7</v>
      </c>
      <c r="I933" s="8" t="n">
        <v>75</v>
      </c>
      <c r="J933" s="8" t="n">
        <v>36.11</v>
      </c>
      <c r="K933" s="9" t="n">
        <v>0</v>
      </c>
      <c r="L933" s="8" t="n">
        <v>3.54</v>
      </c>
      <c r="M933" s="8">
        <f>H933*I933*(1-K933)</f>
        <v/>
      </c>
      <c r="N933" s="8">
        <f>H933*J933</f>
        <v/>
      </c>
      <c r="O933" s="8">
        <f>M933-N933-L933</f>
        <v/>
      </c>
      <c r="P933" s="10">
        <f>IFERROR(O933/M933,0)</f>
        <v/>
      </c>
      <c r="Q933" s="3">
        <f>IF(H933&lt;=0,"Review: quantity &lt;= 0",IF(K933&gt;0.3,"Review: discount &gt; 30%",IF(G933="","Review: missing customer type","OK")))</f>
        <v/>
      </c>
    </row>
    <row r="934">
      <c r="A934" s="3" t="inlineStr">
        <is>
          <t>ORD-10933</t>
        </is>
      </c>
      <c r="B934" s="7" t="n">
        <v>45982</v>
      </c>
      <c r="C934" s="3" t="inlineStr">
        <is>
          <t>Footwear</t>
        </is>
      </c>
      <c r="D934" s="3" t="inlineStr">
        <is>
          <t>Sandals</t>
        </is>
      </c>
      <c r="E934" s="3" t="inlineStr">
        <is>
          <t>Greater Accra</t>
        </is>
      </c>
      <c r="F934" s="3" t="inlineStr">
        <is>
          <t>Phone/WhatsApp</t>
        </is>
      </c>
      <c r="G934" s="3" t="inlineStr">
        <is>
          <t>New</t>
        </is>
      </c>
      <c r="H934" s="3" t="n">
        <v>2</v>
      </c>
      <c r="I934" s="8" t="n">
        <v>265</v>
      </c>
      <c r="J934" s="8" t="n">
        <v>168.41</v>
      </c>
      <c r="K934" s="9" t="n">
        <v>0.1</v>
      </c>
      <c r="L934" s="8" t="n">
        <v>9.08</v>
      </c>
      <c r="M934" s="8">
        <f>H934*I934*(1-K934)</f>
        <v/>
      </c>
      <c r="N934" s="8">
        <f>H934*J934</f>
        <v/>
      </c>
      <c r="O934" s="8">
        <f>M934-N934-L934</f>
        <v/>
      </c>
      <c r="P934" s="10">
        <f>IFERROR(O934/M934,0)</f>
        <v/>
      </c>
      <c r="Q934" s="3">
        <f>IF(H934&lt;=0,"Review: quantity &lt;= 0",IF(K934&gt;0.3,"Review: discount &gt; 30%",IF(G934="","Review: missing customer type","OK")))</f>
        <v/>
      </c>
    </row>
    <row r="935">
      <c r="A935" s="3" t="inlineStr">
        <is>
          <t>ORD-10934</t>
        </is>
      </c>
      <c r="B935" s="7" t="n">
        <v>45839</v>
      </c>
      <c r="C935" s="3" t="inlineStr">
        <is>
          <t>Footwear</t>
        </is>
      </c>
      <c r="D935" s="3" t="inlineStr">
        <is>
          <t>Sneakers</t>
        </is>
      </c>
      <c r="E935" s="3" t="inlineStr">
        <is>
          <t>Greater Accra</t>
        </is>
      </c>
      <c r="F935" s="3" t="inlineStr">
        <is>
          <t>Online</t>
        </is>
      </c>
      <c r="G935" s="3" t="inlineStr">
        <is>
          <t>New</t>
        </is>
      </c>
      <c r="H935" s="3" t="n">
        <v>5</v>
      </c>
      <c r="I935" s="8" t="n">
        <v>130</v>
      </c>
      <c r="J935" s="8" t="n">
        <v>69.38</v>
      </c>
      <c r="K935" s="9" t="n">
        <v>0.1</v>
      </c>
      <c r="L935" s="8" t="n">
        <v>11.86</v>
      </c>
      <c r="M935" s="8">
        <f>H935*I935*(1-K935)</f>
        <v/>
      </c>
      <c r="N935" s="8">
        <f>H935*J935</f>
        <v/>
      </c>
      <c r="O935" s="8">
        <f>M935-N935-L935</f>
        <v/>
      </c>
      <c r="P935" s="10">
        <f>IFERROR(O935/M935,0)</f>
        <v/>
      </c>
      <c r="Q935" s="3">
        <f>IF(H935&lt;=0,"Review: quantity &lt;= 0",IF(K935&gt;0.3,"Review: discount &gt; 30%",IF(G935="","Review: missing customer type","OK")))</f>
        <v/>
      </c>
    </row>
    <row r="936">
      <c r="A936" s="3" t="inlineStr">
        <is>
          <t>ORD-10935</t>
        </is>
      </c>
      <c r="B936" s="7" t="n">
        <v>45875</v>
      </c>
      <c r="C936" s="3" t="inlineStr">
        <is>
          <t>Home &amp; Lifestyle</t>
        </is>
      </c>
      <c r="D936" s="3" t="inlineStr">
        <is>
          <t>Backpacks</t>
        </is>
      </c>
      <c r="E936" s="3" t="inlineStr">
        <is>
          <t>Greater Accra</t>
        </is>
      </c>
      <c r="F936" s="3" t="inlineStr">
        <is>
          <t>Phone/WhatsApp</t>
        </is>
      </c>
      <c r="G936" s="3" t="inlineStr">
        <is>
          <t>Returning</t>
        </is>
      </c>
      <c r="H936" s="3" t="n">
        <v>4</v>
      </c>
      <c r="I936" s="8" t="n">
        <v>100</v>
      </c>
      <c r="J936" s="8" t="n">
        <v>49.57</v>
      </c>
      <c r="K936" s="9" t="n">
        <v>0.05</v>
      </c>
      <c r="L936" s="8" t="n">
        <v>15.21</v>
      </c>
      <c r="M936" s="8">
        <f>H936*I936*(1-K936)</f>
        <v/>
      </c>
      <c r="N936" s="8">
        <f>H936*J936</f>
        <v/>
      </c>
      <c r="O936" s="8">
        <f>M936-N936-L936</f>
        <v/>
      </c>
      <c r="P936" s="10">
        <f>IFERROR(O936/M936,0)</f>
        <v/>
      </c>
      <c r="Q936" s="3">
        <f>IF(H936&lt;=0,"Review: quantity &lt;= 0",IF(K936&gt;0.3,"Review: discount &gt; 30%",IF(G936="","Review: missing customer type","OK")))</f>
        <v/>
      </c>
    </row>
    <row r="937">
      <c r="A937" s="3" t="inlineStr">
        <is>
          <t>ORD-10936</t>
        </is>
      </c>
      <c r="B937" s="7" t="n">
        <v>45948</v>
      </c>
      <c r="C937" s="3" t="inlineStr">
        <is>
          <t>Home &amp; Lifestyle</t>
        </is>
      </c>
      <c r="D937" s="3" t="inlineStr">
        <is>
          <t>Backpacks</t>
        </is>
      </c>
      <c r="E937" s="3" t="inlineStr">
        <is>
          <t>Greater Accra</t>
        </is>
      </c>
      <c r="F937" s="3" t="inlineStr">
        <is>
          <t>Online</t>
        </is>
      </c>
      <c r="G937" s="3" t="inlineStr">
        <is>
          <t>New</t>
        </is>
      </c>
      <c r="H937" s="3" t="n">
        <v>4</v>
      </c>
      <c r="I937" s="8" t="n">
        <v>90</v>
      </c>
      <c r="J937" s="8" t="n">
        <v>55.17</v>
      </c>
      <c r="K937" s="9" t="n">
        <v>0.05</v>
      </c>
      <c r="L937" s="8" t="n">
        <v>32.41</v>
      </c>
      <c r="M937" s="8">
        <f>H937*I937*(1-K937)</f>
        <v/>
      </c>
      <c r="N937" s="8">
        <f>H937*J937</f>
        <v/>
      </c>
      <c r="O937" s="8">
        <f>M937-N937-L937</f>
        <v/>
      </c>
      <c r="P937" s="10">
        <f>IFERROR(O937/M937,0)</f>
        <v/>
      </c>
      <c r="Q937" s="3">
        <f>IF(H937&lt;=0,"Review: quantity &lt;= 0",IF(K937&gt;0.3,"Review: discount &gt; 30%",IF(G937="","Review: missing customer type","OK")))</f>
        <v/>
      </c>
    </row>
    <row r="938">
      <c r="A938" s="3" t="inlineStr">
        <is>
          <t>ORD-10937</t>
        </is>
      </c>
      <c r="B938" s="7" t="n">
        <v>45940</v>
      </c>
      <c r="C938" s="3" t="inlineStr">
        <is>
          <t>Clothing</t>
        </is>
      </c>
      <c r="D938" s="3" t="inlineStr">
        <is>
          <t>Dresses</t>
        </is>
      </c>
      <c r="E938" s="3" t="inlineStr">
        <is>
          <t>Western</t>
        </is>
      </c>
      <c r="F938" s="3" t="inlineStr">
        <is>
          <t>Retail Shop</t>
        </is>
      </c>
      <c r="G938" s="3" t="inlineStr">
        <is>
          <t>New</t>
        </is>
      </c>
      <c r="H938" s="3" t="n">
        <v>1</v>
      </c>
      <c r="I938" s="8" t="n">
        <v>125</v>
      </c>
      <c r="J938" s="8" t="n">
        <v>65.48</v>
      </c>
      <c r="K938" s="9" t="n">
        <v>0.15</v>
      </c>
      <c r="L938" s="8" t="n">
        <v>5.47</v>
      </c>
      <c r="M938" s="8">
        <f>H938*I938*(1-K938)</f>
        <v/>
      </c>
      <c r="N938" s="8">
        <f>H938*J938</f>
        <v/>
      </c>
      <c r="O938" s="8">
        <f>M938-N938-L938</f>
        <v/>
      </c>
      <c r="P938" s="10">
        <f>IFERROR(O938/M938,0)</f>
        <v/>
      </c>
      <c r="Q938" s="3">
        <f>IF(H938&lt;=0,"Review: quantity &lt;= 0",IF(K938&gt;0.3,"Review: discount &gt; 30%",IF(G938="","Review: missing customer type","OK")))</f>
        <v/>
      </c>
    </row>
    <row r="939">
      <c r="A939" s="3" t="inlineStr">
        <is>
          <t>ORD-10938</t>
        </is>
      </c>
      <c r="B939" s="7" t="n">
        <v>45777</v>
      </c>
      <c r="C939" s="3" t="inlineStr">
        <is>
          <t>Home &amp; Lifestyle</t>
        </is>
      </c>
      <c r="D939" s="3" t="inlineStr">
        <is>
          <t>Small Home Goods</t>
        </is>
      </c>
      <c r="E939" s="3" t="inlineStr">
        <is>
          <t>Greater Accra</t>
        </is>
      </c>
      <c r="F939" s="3" t="inlineStr">
        <is>
          <t>Retail Shop</t>
        </is>
      </c>
      <c r="G939" s="3" t="inlineStr">
        <is>
          <t>New</t>
        </is>
      </c>
      <c r="H939" s="3" t="n">
        <v>1</v>
      </c>
      <c r="I939" s="8" t="n">
        <v>110</v>
      </c>
      <c r="J939" s="8" t="n">
        <v>54.46</v>
      </c>
      <c r="K939" s="9" t="n">
        <v>0</v>
      </c>
      <c r="L939" s="8" t="n">
        <v>8.859999999999999</v>
      </c>
      <c r="M939" s="8">
        <f>H939*I939*(1-K939)</f>
        <v/>
      </c>
      <c r="N939" s="8">
        <f>H939*J939</f>
        <v/>
      </c>
      <c r="O939" s="8">
        <f>M939-N939-L939</f>
        <v/>
      </c>
      <c r="P939" s="10">
        <f>IFERROR(O939/M939,0)</f>
        <v/>
      </c>
      <c r="Q939" s="3">
        <f>IF(H939&lt;=0,"Review: quantity &lt;= 0",IF(K939&gt;0.3,"Review: discount &gt; 30%",IF(G939="","Review: missing customer type","OK")))</f>
        <v/>
      </c>
    </row>
    <row r="940">
      <c r="A940" s="3" t="inlineStr">
        <is>
          <t>ORD-10939</t>
        </is>
      </c>
      <c r="B940" s="7" t="n">
        <v>45938</v>
      </c>
      <c r="C940" s="3" t="inlineStr">
        <is>
          <t>Footwear</t>
        </is>
      </c>
      <c r="D940" s="3" t="inlineStr">
        <is>
          <t>Boots</t>
        </is>
      </c>
      <c r="E940" s="3" t="inlineStr">
        <is>
          <t>Central</t>
        </is>
      </c>
      <c r="F940" s="3" t="inlineStr">
        <is>
          <t>Retail Shop</t>
        </is>
      </c>
      <c r="G940" s="3" t="inlineStr">
        <is>
          <t>New</t>
        </is>
      </c>
      <c r="H940" s="3" t="n">
        <v>4</v>
      </c>
      <c r="I940" s="8" t="n">
        <v>270</v>
      </c>
      <c r="J940" s="8" t="n">
        <v>154.98</v>
      </c>
      <c r="K940" s="9" t="n">
        <v>0.1</v>
      </c>
      <c r="L940" s="8" t="n">
        <v>7.95</v>
      </c>
      <c r="M940" s="8">
        <f>H940*I940*(1-K940)</f>
        <v/>
      </c>
      <c r="N940" s="8">
        <f>H940*J940</f>
        <v/>
      </c>
      <c r="O940" s="8">
        <f>M940-N940-L940</f>
        <v/>
      </c>
      <c r="P940" s="10">
        <f>IFERROR(O940/M940,0)</f>
        <v/>
      </c>
      <c r="Q940" s="3">
        <f>IF(H940&lt;=0,"Review: quantity &lt;= 0",IF(K940&gt;0.3,"Review: discount &gt; 30%",IF(G940="","Review: missing customer type","OK")))</f>
        <v/>
      </c>
    </row>
    <row r="941">
      <c r="A941" s="3" t="inlineStr">
        <is>
          <t>ORD-10940</t>
        </is>
      </c>
      <c r="B941" s="7" t="n">
        <v>45956</v>
      </c>
      <c r="C941" s="3" t="inlineStr">
        <is>
          <t>Clothing</t>
        </is>
      </c>
      <c r="D941" s="3" t="inlineStr">
        <is>
          <t>Trousers</t>
        </is>
      </c>
      <c r="E941" s="3" t="inlineStr">
        <is>
          <t>Northern</t>
        </is>
      </c>
      <c r="F941" s="3" t="inlineStr">
        <is>
          <t>Phone/WhatsApp</t>
        </is>
      </c>
      <c r="G941" s="3" t="inlineStr">
        <is>
          <t>Returning</t>
        </is>
      </c>
      <c r="H941" s="3" t="n">
        <v>1</v>
      </c>
      <c r="I941" s="8" t="n">
        <v>105</v>
      </c>
      <c r="J941" s="8" t="n">
        <v>54.91</v>
      </c>
      <c r="K941" s="9" t="n">
        <v>0.1</v>
      </c>
      <c r="L941" s="8" t="n">
        <v>12.84</v>
      </c>
      <c r="M941" s="8">
        <f>H941*I941*(1-K941)</f>
        <v/>
      </c>
      <c r="N941" s="8">
        <f>H941*J941</f>
        <v/>
      </c>
      <c r="O941" s="8">
        <f>M941-N941-L941</f>
        <v/>
      </c>
      <c r="P941" s="10">
        <f>IFERROR(O941/M941,0)</f>
        <v/>
      </c>
      <c r="Q941" s="3">
        <f>IF(H941&lt;=0,"Review: quantity &lt;= 0",IF(K941&gt;0.3,"Review: discount &gt; 30%",IF(G941="","Review: missing customer type","OK")))</f>
        <v/>
      </c>
    </row>
    <row r="942">
      <c r="A942" s="3" t="inlineStr">
        <is>
          <t>ORD-10941</t>
        </is>
      </c>
      <c r="B942" s="7" t="n">
        <v>45846</v>
      </c>
      <c r="C942" s="3" t="inlineStr">
        <is>
          <t>Home &amp; Lifestyle</t>
        </is>
      </c>
      <c r="D942" s="3" t="inlineStr">
        <is>
          <t>Backpacks</t>
        </is>
      </c>
      <c r="E942" s="3" t="inlineStr">
        <is>
          <t>Greater Accra</t>
        </is>
      </c>
      <c r="F942" s="3" t="inlineStr">
        <is>
          <t>Online</t>
        </is>
      </c>
      <c r="G942" s="3" t="inlineStr">
        <is>
          <t>New</t>
        </is>
      </c>
      <c r="H942" s="3" t="n">
        <v>1</v>
      </c>
      <c r="I942" s="8" t="n">
        <v>115</v>
      </c>
      <c r="J942" s="8" t="n">
        <v>59.85</v>
      </c>
      <c r="K942" s="9" t="n">
        <v>0.05</v>
      </c>
      <c r="L942" s="8" t="n">
        <v>42.15</v>
      </c>
      <c r="M942" s="8">
        <f>H942*I942*(1-K942)</f>
        <v/>
      </c>
      <c r="N942" s="8">
        <f>H942*J942</f>
        <v/>
      </c>
      <c r="O942" s="8">
        <f>M942-N942-L942</f>
        <v/>
      </c>
      <c r="P942" s="10">
        <f>IFERROR(O942/M942,0)</f>
        <v/>
      </c>
      <c r="Q942" s="3">
        <f>IF(H942&lt;=0,"Review: quantity &lt;= 0",IF(K942&gt;0.3,"Review: discount &gt; 30%",IF(G942="","Review: missing customer type","OK")))</f>
        <v/>
      </c>
    </row>
    <row r="943">
      <c r="A943" s="3" t="inlineStr">
        <is>
          <t>ORD-10942</t>
        </is>
      </c>
      <c r="B943" s="7" t="n">
        <v>45970</v>
      </c>
      <c r="C943" s="3" t="inlineStr">
        <is>
          <t>Footwear</t>
        </is>
      </c>
      <c r="D943" s="3" t="inlineStr">
        <is>
          <t>Boots</t>
        </is>
      </c>
      <c r="E943" s="3" t="inlineStr">
        <is>
          <t>Greater Accra</t>
        </is>
      </c>
      <c r="F943" s="3" t="inlineStr">
        <is>
          <t>Retail Shop</t>
        </is>
      </c>
      <c r="G943" s="3" t="inlineStr">
        <is>
          <t>Returning</t>
        </is>
      </c>
      <c r="H943" s="3" t="n">
        <v>3</v>
      </c>
      <c r="I943" s="8" t="n">
        <v>260</v>
      </c>
      <c r="J943" s="8" t="n">
        <v>157.4</v>
      </c>
      <c r="K943" s="9" t="n">
        <v>0</v>
      </c>
      <c r="L943" s="8" t="n">
        <v>0.48</v>
      </c>
      <c r="M943" s="8">
        <f>H943*I943*(1-K943)</f>
        <v/>
      </c>
      <c r="N943" s="8">
        <f>H943*J943</f>
        <v/>
      </c>
      <c r="O943" s="8">
        <f>M943-N943-L943</f>
        <v/>
      </c>
      <c r="P943" s="10">
        <f>IFERROR(O943/M943,0)</f>
        <v/>
      </c>
      <c r="Q943" s="3">
        <f>IF(H943&lt;=0,"Review: quantity &lt;= 0",IF(K943&gt;0.3,"Review: discount &gt; 30%",IF(G943="","Review: missing customer type","OK")))</f>
        <v/>
      </c>
    </row>
    <row r="944">
      <c r="A944" s="3" t="inlineStr">
        <is>
          <t>ORD-10943</t>
        </is>
      </c>
      <c r="B944" s="7" t="n">
        <v>45723</v>
      </c>
      <c r="C944" s="3" t="inlineStr">
        <is>
          <t>Footwear</t>
        </is>
      </c>
      <c r="D944" s="3" t="inlineStr">
        <is>
          <t>Sandals</t>
        </is>
      </c>
      <c r="E944" s="3" t="inlineStr">
        <is>
          <t>Western</t>
        </is>
      </c>
      <c r="F944" s="3" t="inlineStr">
        <is>
          <t>Retail Shop</t>
        </is>
      </c>
      <c r="G944" s="3" t="inlineStr">
        <is>
          <t>Returning</t>
        </is>
      </c>
      <c r="H944" s="3" t="n">
        <v>3</v>
      </c>
      <c r="I944" s="8" t="n">
        <v>150</v>
      </c>
      <c r="J944" s="8" t="n">
        <v>76.48</v>
      </c>
      <c r="K944" s="9" t="n">
        <v>0</v>
      </c>
      <c r="L944" s="8" t="n">
        <v>2.19</v>
      </c>
      <c r="M944" s="8">
        <f>H944*I944*(1-K944)</f>
        <v/>
      </c>
      <c r="N944" s="8">
        <f>H944*J944</f>
        <v/>
      </c>
      <c r="O944" s="8">
        <f>M944-N944-L944</f>
        <v/>
      </c>
      <c r="P944" s="10">
        <f>IFERROR(O944/M944,0)</f>
        <v/>
      </c>
      <c r="Q944" s="3">
        <f>IF(H944&lt;=0,"Review: quantity &lt;= 0",IF(K944&gt;0.3,"Review: discount &gt; 30%",IF(G944="","Review: missing customer type","OK")))</f>
        <v/>
      </c>
    </row>
    <row r="945">
      <c r="A945" s="3" t="inlineStr">
        <is>
          <t>ORD-10944</t>
        </is>
      </c>
      <c r="B945" s="7" t="n">
        <v>46017</v>
      </c>
      <c r="C945" s="3" t="inlineStr">
        <is>
          <t>Clothing</t>
        </is>
      </c>
      <c r="D945" s="3" t="inlineStr">
        <is>
          <t>Shirts</t>
        </is>
      </c>
      <c r="E945" s="3" t="inlineStr">
        <is>
          <t>Ashanti</t>
        </is>
      </c>
      <c r="F945" s="3" t="inlineStr">
        <is>
          <t>Retail Shop</t>
        </is>
      </c>
      <c r="G945" s="3" t="inlineStr">
        <is>
          <t>Returning</t>
        </is>
      </c>
      <c r="H945" s="3" t="n">
        <v>2</v>
      </c>
      <c r="I945" s="8" t="n">
        <v>135</v>
      </c>
      <c r="J945" s="8" t="n">
        <v>67.88</v>
      </c>
      <c r="K945" s="9" t="n">
        <v>0.15</v>
      </c>
      <c r="L945" s="8" t="n">
        <v>10.09</v>
      </c>
      <c r="M945" s="8">
        <f>H945*I945*(1-K945)</f>
        <v/>
      </c>
      <c r="N945" s="8">
        <f>H945*J945</f>
        <v/>
      </c>
      <c r="O945" s="8">
        <f>M945-N945-L945</f>
        <v/>
      </c>
      <c r="P945" s="10">
        <f>IFERROR(O945/M945,0)</f>
        <v/>
      </c>
      <c r="Q945" s="3">
        <f>IF(H945&lt;=0,"Review: quantity &lt;= 0",IF(K945&gt;0.3,"Review: discount &gt; 30%",IF(G945="","Review: missing customer type","OK")))</f>
        <v/>
      </c>
    </row>
    <row r="946">
      <c r="A946" s="3" t="inlineStr">
        <is>
          <t>ORD-10945</t>
        </is>
      </c>
      <c r="B946" s="7" t="n">
        <v>45871</v>
      </c>
      <c r="C946" s="3" t="inlineStr">
        <is>
          <t>Clothing</t>
        </is>
      </c>
      <c r="D946" s="3" t="inlineStr">
        <is>
          <t>Shirts</t>
        </is>
      </c>
      <c r="E946" s="3" t="inlineStr">
        <is>
          <t>Greater Accra</t>
        </is>
      </c>
      <c r="F946" s="3" t="inlineStr">
        <is>
          <t>Retail Shop</t>
        </is>
      </c>
      <c r="G946" s="3" t="inlineStr">
        <is>
          <t>Returning</t>
        </is>
      </c>
      <c r="H946" s="3" t="n">
        <v>6</v>
      </c>
      <c r="I946" s="8" t="n">
        <v>100</v>
      </c>
      <c r="J946" s="8" t="n">
        <v>57.27</v>
      </c>
      <c r="K946" s="9" t="n">
        <v>0</v>
      </c>
      <c r="L946" s="8" t="n">
        <v>1.17</v>
      </c>
      <c r="M946" s="8">
        <f>H946*I946*(1-K946)</f>
        <v/>
      </c>
      <c r="N946" s="8">
        <f>H946*J946</f>
        <v/>
      </c>
      <c r="O946" s="8">
        <f>M946-N946-L946</f>
        <v/>
      </c>
      <c r="P946" s="10">
        <f>IFERROR(O946/M946,0)</f>
        <v/>
      </c>
      <c r="Q946" s="3">
        <f>IF(H946&lt;=0,"Review: quantity &lt;= 0",IF(K946&gt;0.3,"Review: discount &gt; 30%",IF(G946="","Review: missing customer type","OK")))</f>
        <v/>
      </c>
    </row>
    <row r="947">
      <c r="A947" s="3" t="inlineStr">
        <is>
          <t>ORD-10946</t>
        </is>
      </c>
      <c r="B947" s="7" t="n">
        <v>45879</v>
      </c>
      <c r="C947" s="3" t="inlineStr">
        <is>
          <t>Accessories</t>
        </is>
      </c>
      <c r="D947" s="3" t="inlineStr">
        <is>
          <t>Watches</t>
        </is>
      </c>
      <c r="E947" s="3" t="inlineStr">
        <is>
          <t>Greater Accra</t>
        </is>
      </c>
      <c r="F947" s="3" t="inlineStr">
        <is>
          <t>Retail Shop</t>
        </is>
      </c>
      <c r="G947" s="3" t="inlineStr">
        <is>
          <t>Returning</t>
        </is>
      </c>
      <c r="H947" s="3" t="n">
        <v>1</v>
      </c>
      <c r="I947" s="8" t="n">
        <v>170</v>
      </c>
      <c r="J947" s="8" t="n">
        <v>72.31</v>
      </c>
      <c r="K947" s="9" t="n">
        <v>0.15</v>
      </c>
      <c r="L947" s="8" t="n">
        <v>5.36</v>
      </c>
      <c r="M947" s="8">
        <f>H947*I947*(1-K947)</f>
        <v/>
      </c>
      <c r="N947" s="8">
        <f>H947*J947</f>
        <v/>
      </c>
      <c r="O947" s="8">
        <f>M947-N947-L947</f>
        <v/>
      </c>
      <c r="P947" s="10">
        <f>IFERROR(O947/M947,0)</f>
        <v/>
      </c>
      <c r="Q947" s="3">
        <f>IF(H947&lt;=0,"Review: quantity &lt;= 0",IF(K947&gt;0.3,"Review: discount &gt; 30%",IF(G947="","Review: missing customer type","OK")))</f>
        <v/>
      </c>
    </row>
    <row r="948">
      <c r="A948" s="3" t="inlineStr">
        <is>
          <t>ORD-10947</t>
        </is>
      </c>
      <c r="B948" s="7" t="n">
        <v>45677</v>
      </c>
      <c r="C948" s="3" t="inlineStr">
        <is>
          <t>Clothing</t>
        </is>
      </c>
      <c r="D948" s="3" t="inlineStr">
        <is>
          <t>Dresses</t>
        </is>
      </c>
      <c r="E948" s="3" t="inlineStr">
        <is>
          <t>Central</t>
        </is>
      </c>
      <c r="F948" s="3" t="inlineStr">
        <is>
          <t>Phone/WhatsApp</t>
        </is>
      </c>
      <c r="G948" s="3" t="inlineStr">
        <is>
          <t>New</t>
        </is>
      </c>
      <c r="H948" s="3" t="n">
        <v>1</v>
      </c>
      <c r="I948" s="8" t="n">
        <v>180</v>
      </c>
      <c r="J948" s="8" t="n">
        <v>100.23</v>
      </c>
      <c r="K948" s="9" t="n">
        <v>0.05</v>
      </c>
      <c r="L948" s="8" t="n">
        <v>37.11</v>
      </c>
      <c r="M948" s="8">
        <f>H948*I948*(1-K948)</f>
        <v/>
      </c>
      <c r="N948" s="8">
        <f>H948*J948</f>
        <v/>
      </c>
      <c r="O948" s="8">
        <f>M948-N948-L948</f>
        <v/>
      </c>
      <c r="P948" s="10">
        <f>IFERROR(O948/M948,0)</f>
        <v/>
      </c>
      <c r="Q948" s="3">
        <f>IF(H948&lt;=0,"Review: quantity &lt;= 0",IF(K948&gt;0.3,"Review: discount &gt; 30%",IF(G948="","Review: missing customer type","OK")))</f>
        <v/>
      </c>
    </row>
    <row r="949">
      <c r="A949" s="3" t="inlineStr">
        <is>
          <t>ORD-10948</t>
        </is>
      </c>
      <c r="B949" s="7" t="n">
        <v>45948</v>
      </c>
      <c r="C949" s="3" t="inlineStr">
        <is>
          <t>Clothing</t>
        </is>
      </c>
      <c r="D949" s="3" t="inlineStr">
        <is>
          <t>Jackets</t>
        </is>
      </c>
      <c r="E949" s="3" t="inlineStr">
        <is>
          <t>Northern</t>
        </is>
      </c>
      <c r="F949" s="3" t="inlineStr">
        <is>
          <t>Online</t>
        </is>
      </c>
      <c r="G949" s="3" t="inlineStr">
        <is>
          <t>New</t>
        </is>
      </c>
      <c r="H949" s="3" t="n">
        <v>2</v>
      </c>
      <c r="I949" s="8" t="n">
        <v>75</v>
      </c>
      <c r="J949" s="8" t="n">
        <v>42.28</v>
      </c>
      <c r="K949" s="9" t="n">
        <v>0.05</v>
      </c>
      <c r="L949" s="8" t="n">
        <v>27.16</v>
      </c>
      <c r="M949" s="8">
        <f>H949*I949*(1-K949)</f>
        <v/>
      </c>
      <c r="N949" s="8">
        <f>H949*J949</f>
        <v/>
      </c>
      <c r="O949" s="8">
        <f>M949-N949-L949</f>
        <v/>
      </c>
      <c r="P949" s="10">
        <f>IFERROR(O949/M949,0)</f>
        <v/>
      </c>
      <c r="Q949" s="3">
        <f>IF(H949&lt;=0,"Review: quantity &lt;= 0",IF(K949&gt;0.3,"Review: discount &gt; 30%",IF(G949="","Review: missing customer type","OK")))</f>
        <v/>
      </c>
    </row>
    <row r="950">
      <c r="A950" s="3" t="inlineStr">
        <is>
          <t>ORD-10949</t>
        </is>
      </c>
      <c r="B950" s="7" t="n">
        <v>46020</v>
      </c>
      <c r="C950" s="3" t="inlineStr">
        <is>
          <t>Clothing</t>
        </is>
      </c>
      <c r="D950" s="3" t="inlineStr">
        <is>
          <t>Trousers</t>
        </is>
      </c>
      <c r="E950" s="3" t="inlineStr">
        <is>
          <t>Western</t>
        </is>
      </c>
      <c r="F950" s="3" t="inlineStr">
        <is>
          <t>Phone/WhatsApp</t>
        </is>
      </c>
      <c r="G950" s="3" t="inlineStr">
        <is>
          <t>Returning</t>
        </is>
      </c>
      <c r="H950" s="3" t="n">
        <v>1</v>
      </c>
      <c r="I950" s="8" t="n">
        <v>85</v>
      </c>
      <c r="J950" s="8" t="n">
        <v>41.98</v>
      </c>
      <c r="K950" s="9" t="n">
        <v>0</v>
      </c>
      <c r="L950" s="8" t="n">
        <v>12.58</v>
      </c>
      <c r="M950" s="8">
        <f>H950*I950*(1-K950)</f>
        <v/>
      </c>
      <c r="N950" s="8">
        <f>H950*J950</f>
        <v/>
      </c>
      <c r="O950" s="8">
        <f>M950-N950-L950</f>
        <v/>
      </c>
      <c r="P950" s="10">
        <f>IFERROR(O950/M950,0)</f>
        <v/>
      </c>
      <c r="Q950" s="3">
        <f>IF(H950&lt;=0,"Review: quantity &lt;= 0",IF(K950&gt;0.3,"Review: discount &gt; 30%",IF(G950="","Review: missing customer type","OK")))</f>
        <v/>
      </c>
    </row>
    <row r="951">
      <c r="A951" s="3" t="inlineStr">
        <is>
          <t>ORD-10950</t>
        </is>
      </c>
      <c r="B951" s="7" t="n">
        <v>45985</v>
      </c>
      <c r="C951" s="3" t="inlineStr">
        <is>
          <t>Footwear</t>
        </is>
      </c>
      <c r="D951" s="3" t="inlineStr">
        <is>
          <t>Boots</t>
        </is>
      </c>
      <c r="E951" s="3" t="inlineStr">
        <is>
          <t>Central</t>
        </is>
      </c>
      <c r="F951" s="3" t="inlineStr">
        <is>
          <t>Retail Shop</t>
        </is>
      </c>
      <c r="G951" s="3" t="inlineStr">
        <is>
          <t>Returning</t>
        </is>
      </c>
      <c r="H951" s="3" t="n">
        <v>2</v>
      </c>
      <c r="I951" s="8" t="n">
        <v>280</v>
      </c>
      <c r="J951" s="8" t="n">
        <v>168.54</v>
      </c>
      <c r="K951" s="9" t="n">
        <v>0.1</v>
      </c>
      <c r="L951" s="8" t="n">
        <v>10</v>
      </c>
      <c r="M951" s="8">
        <f>H951*I951*(1-K951)</f>
        <v/>
      </c>
      <c r="N951" s="8">
        <f>H951*J951</f>
        <v/>
      </c>
      <c r="O951" s="8">
        <f>M951-N951-L951</f>
        <v/>
      </c>
      <c r="P951" s="10">
        <f>IFERROR(O951/M951,0)</f>
        <v/>
      </c>
      <c r="Q951" s="3">
        <f>IF(H951&lt;=0,"Review: quantity &lt;= 0",IF(K951&gt;0.3,"Review: discount &gt; 30%",IF(G951="","Review: missing customer type","OK")))</f>
        <v/>
      </c>
    </row>
    <row r="952">
      <c r="A952" s="3" t="inlineStr">
        <is>
          <t>ORD-10951</t>
        </is>
      </c>
      <c r="B952" s="7" t="n">
        <v>45694</v>
      </c>
      <c r="C952" s="3" t="inlineStr">
        <is>
          <t>Home &amp; Lifestyle</t>
        </is>
      </c>
      <c r="D952" s="3" t="inlineStr">
        <is>
          <t>Backpacks</t>
        </is>
      </c>
      <c r="E952" s="3" t="inlineStr">
        <is>
          <t>Greater Accra</t>
        </is>
      </c>
      <c r="F952" s="3" t="inlineStr">
        <is>
          <t>Online</t>
        </is>
      </c>
      <c r="G952" s="3" t="inlineStr">
        <is>
          <t>Returning</t>
        </is>
      </c>
      <c r="H952" s="3" t="n">
        <v>3</v>
      </c>
      <c r="I952" s="8" t="n">
        <v>135</v>
      </c>
      <c r="J952" s="8" t="n">
        <v>66.63</v>
      </c>
      <c r="K952" s="9" t="n">
        <v>0.05</v>
      </c>
      <c r="L952" s="8" t="n">
        <v>23.51</v>
      </c>
      <c r="M952" s="8">
        <f>H952*I952*(1-K952)</f>
        <v/>
      </c>
      <c r="N952" s="8">
        <f>H952*J952</f>
        <v/>
      </c>
      <c r="O952" s="8">
        <f>M952-N952-L952</f>
        <v/>
      </c>
      <c r="P952" s="10">
        <f>IFERROR(O952/M952,0)</f>
        <v/>
      </c>
      <c r="Q952" s="3">
        <f>IF(H952&lt;=0,"Review: quantity &lt;= 0",IF(K952&gt;0.3,"Review: discount &gt; 30%",IF(G952="","Review: missing customer type","OK")))</f>
        <v/>
      </c>
    </row>
    <row r="953">
      <c r="A953" s="3" t="inlineStr">
        <is>
          <t>ORD-10952</t>
        </is>
      </c>
      <c r="B953" s="7" t="n">
        <v>45674</v>
      </c>
      <c r="C953" s="3" t="inlineStr">
        <is>
          <t>Clothing</t>
        </is>
      </c>
      <c r="D953" s="3" t="inlineStr">
        <is>
          <t>Dresses</t>
        </is>
      </c>
      <c r="E953" s="3" t="inlineStr">
        <is>
          <t>Greater Accra</t>
        </is>
      </c>
      <c r="F953" s="3" t="inlineStr">
        <is>
          <t>Retail Shop</t>
        </is>
      </c>
      <c r="G953" s="3" t="inlineStr">
        <is>
          <t>Returning</t>
        </is>
      </c>
      <c r="H953" s="3" t="n">
        <v>3</v>
      </c>
      <c r="I953" s="8" t="n">
        <v>140</v>
      </c>
      <c r="J953" s="8" t="n">
        <v>78.64</v>
      </c>
      <c r="K953" s="9" t="n">
        <v>0.15</v>
      </c>
      <c r="L953" s="8" t="n">
        <v>6.28</v>
      </c>
      <c r="M953" s="8">
        <f>H953*I953*(1-K953)</f>
        <v/>
      </c>
      <c r="N953" s="8">
        <f>H953*J953</f>
        <v/>
      </c>
      <c r="O953" s="8">
        <f>M953-N953-L953</f>
        <v/>
      </c>
      <c r="P953" s="10">
        <f>IFERROR(O953/M953,0)</f>
        <v/>
      </c>
      <c r="Q953" s="3">
        <f>IF(H953&lt;=0,"Review: quantity &lt;= 0",IF(K953&gt;0.3,"Review: discount &gt; 30%",IF(G953="","Review: missing customer type","OK")))</f>
        <v/>
      </c>
    </row>
    <row r="954">
      <c r="A954" s="3" t="inlineStr">
        <is>
          <t>ORD-10953</t>
        </is>
      </c>
      <c r="B954" s="7" t="n">
        <v>45998</v>
      </c>
      <c r="C954" s="3" t="inlineStr">
        <is>
          <t>Clothing</t>
        </is>
      </c>
      <c r="D954" s="3" t="inlineStr">
        <is>
          <t>Dresses</t>
        </is>
      </c>
      <c r="E954" s="3" t="inlineStr">
        <is>
          <t>Western</t>
        </is>
      </c>
      <c r="F954" s="3" t="inlineStr">
        <is>
          <t>Retail Shop</t>
        </is>
      </c>
      <c r="G954" s="3" t="inlineStr">
        <is>
          <t>New</t>
        </is>
      </c>
      <c r="H954" s="3" t="n">
        <v>1</v>
      </c>
      <c r="I954" s="8" t="n">
        <v>120</v>
      </c>
      <c r="J954" s="8" t="n">
        <v>59.92</v>
      </c>
      <c r="K954" s="9" t="n">
        <v>0</v>
      </c>
      <c r="L954" s="8" t="n">
        <v>7.87</v>
      </c>
      <c r="M954" s="8">
        <f>H954*I954*(1-K954)</f>
        <v/>
      </c>
      <c r="N954" s="8">
        <f>H954*J954</f>
        <v/>
      </c>
      <c r="O954" s="8">
        <f>M954-N954-L954</f>
        <v/>
      </c>
      <c r="P954" s="10">
        <f>IFERROR(O954/M954,0)</f>
        <v/>
      </c>
      <c r="Q954" s="3">
        <f>IF(H954&lt;=0,"Review: quantity &lt;= 0",IF(K954&gt;0.3,"Review: discount &gt; 30%",IF(G954="","Review: missing customer type","OK")))</f>
        <v/>
      </c>
    </row>
    <row r="955">
      <c r="A955" s="3" t="inlineStr">
        <is>
          <t>ORD-10954</t>
        </is>
      </c>
      <c r="B955" s="7" t="n">
        <v>45711</v>
      </c>
      <c r="C955" s="3" t="inlineStr">
        <is>
          <t>Home &amp; Lifestyle</t>
        </is>
      </c>
      <c r="D955" s="3" t="inlineStr">
        <is>
          <t>Wallets</t>
        </is>
      </c>
      <c r="E955" s="3" t="inlineStr">
        <is>
          <t>Ashanti</t>
        </is>
      </c>
      <c r="F955" s="3" t="inlineStr">
        <is>
          <t>Phone/WhatsApp</t>
        </is>
      </c>
      <c r="G955" s="3" t="inlineStr">
        <is>
          <t>Returning</t>
        </is>
      </c>
      <c r="H955" s="3" t="n">
        <v>1</v>
      </c>
      <c r="I955" s="8" t="n">
        <v>145</v>
      </c>
      <c r="J955" s="8" t="n">
        <v>79.72</v>
      </c>
      <c r="K955" s="9" t="n">
        <v>0.05</v>
      </c>
      <c r="L955" s="8" t="n">
        <v>41.95</v>
      </c>
      <c r="M955" s="8">
        <f>H955*I955*(1-K955)</f>
        <v/>
      </c>
      <c r="N955" s="8">
        <f>H955*J955</f>
        <v/>
      </c>
      <c r="O955" s="8">
        <f>M955-N955-L955</f>
        <v/>
      </c>
      <c r="P955" s="10">
        <f>IFERROR(O955/M955,0)</f>
        <v/>
      </c>
      <c r="Q955" s="3">
        <f>IF(H955&lt;=0,"Review: quantity &lt;= 0",IF(K955&gt;0.3,"Review: discount &gt; 30%",IF(G955="","Review: missing customer type","OK")))</f>
        <v/>
      </c>
    </row>
    <row r="956">
      <c r="A956" s="3" t="inlineStr">
        <is>
          <t>ORD-10955</t>
        </is>
      </c>
      <c r="B956" s="7" t="n">
        <v>45819</v>
      </c>
      <c r="C956" s="3" t="inlineStr">
        <is>
          <t>Clothing</t>
        </is>
      </c>
      <c r="D956" s="3" t="inlineStr">
        <is>
          <t>Trousers</t>
        </is>
      </c>
      <c r="E956" s="3" t="inlineStr">
        <is>
          <t>Ashanti</t>
        </is>
      </c>
      <c r="F956" s="3" t="inlineStr">
        <is>
          <t>Retail Shop</t>
        </is>
      </c>
      <c r="G956" s="3" t="inlineStr">
        <is>
          <t>New</t>
        </is>
      </c>
      <c r="H956" s="3" t="n">
        <v>5</v>
      </c>
      <c r="I956" s="8" t="n">
        <v>185</v>
      </c>
      <c r="J956" s="8" t="n">
        <v>86.86</v>
      </c>
      <c r="K956" s="9" t="n">
        <v>0.05</v>
      </c>
      <c r="L956" s="8" t="n">
        <v>2.61</v>
      </c>
      <c r="M956" s="8">
        <f>H956*I956*(1-K956)</f>
        <v/>
      </c>
      <c r="N956" s="8">
        <f>H956*J956</f>
        <v/>
      </c>
      <c r="O956" s="8">
        <f>M956-N956-L956</f>
        <v/>
      </c>
      <c r="P956" s="10">
        <f>IFERROR(O956/M956,0)</f>
        <v/>
      </c>
      <c r="Q956" s="3">
        <f>IF(H956&lt;=0,"Review: quantity &lt;= 0",IF(K956&gt;0.3,"Review: discount &gt; 30%",IF(G956="","Review: missing customer type","OK")))</f>
        <v/>
      </c>
    </row>
    <row r="957">
      <c r="A957" s="3" t="inlineStr">
        <is>
          <t>ORD-10956</t>
        </is>
      </c>
      <c r="B957" s="7" t="n">
        <v>45845</v>
      </c>
      <c r="C957" s="3" t="inlineStr">
        <is>
          <t>Clothing</t>
        </is>
      </c>
      <c r="D957" s="3" t="inlineStr">
        <is>
          <t>Jackets</t>
        </is>
      </c>
      <c r="E957" s="3" t="inlineStr">
        <is>
          <t>Western</t>
        </is>
      </c>
      <c r="F957" s="3" t="inlineStr">
        <is>
          <t>Phone/WhatsApp</t>
        </is>
      </c>
      <c r="G957" s="3" t="inlineStr">
        <is>
          <t>New</t>
        </is>
      </c>
      <c r="H957" s="3" t="n">
        <v>1</v>
      </c>
      <c r="I957" s="8" t="n">
        <v>205</v>
      </c>
      <c r="J957" s="8" t="n">
        <v>104.85</v>
      </c>
      <c r="K957" s="9" t="n">
        <v>0.05</v>
      </c>
      <c r="L957" s="8" t="n">
        <v>36.46</v>
      </c>
      <c r="M957" s="8">
        <f>H957*I957*(1-K957)</f>
        <v/>
      </c>
      <c r="N957" s="8">
        <f>H957*J957</f>
        <v/>
      </c>
      <c r="O957" s="8">
        <f>M957-N957-L957</f>
        <v/>
      </c>
      <c r="P957" s="10">
        <f>IFERROR(O957/M957,0)</f>
        <v/>
      </c>
      <c r="Q957" s="3">
        <f>IF(H957&lt;=0,"Review: quantity &lt;= 0",IF(K957&gt;0.3,"Review: discount &gt; 30%",IF(G957="","Review: missing customer type","OK")))</f>
        <v/>
      </c>
    </row>
    <row r="958">
      <c r="A958" s="3" t="inlineStr">
        <is>
          <t>ORD-10957</t>
        </is>
      </c>
      <c r="B958" s="7" t="n">
        <v>45834</v>
      </c>
      <c r="C958" s="3" t="inlineStr">
        <is>
          <t>Footwear</t>
        </is>
      </c>
      <c r="D958" s="3" t="inlineStr">
        <is>
          <t>Formal Shoes</t>
        </is>
      </c>
      <c r="E958" s="3" t="inlineStr">
        <is>
          <t>Western</t>
        </is>
      </c>
      <c r="F958" s="3" t="inlineStr">
        <is>
          <t>Online</t>
        </is>
      </c>
      <c r="G958" s="3" t="inlineStr">
        <is>
          <t>Returning</t>
        </is>
      </c>
      <c r="H958" s="3" t="n">
        <v>6</v>
      </c>
      <c r="I958" s="8" t="n">
        <v>265</v>
      </c>
      <c r="J958" s="8" t="n">
        <v>138.03</v>
      </c>
      <c r="K958" s="9" t="n">
        <v>0.05</v>
      </c>
      <c r="L958" s="8" t="n">
        <v>19.54</v>
      </c>
      <c r="M958" s="8">
        <f>H958*I958*(1-K958)</f>
        <v/>
      </c>
      <c r="N958" s="8">
        <f>H958*J958</f>
        <v/>
      </c>
      <c r="O958" s="8">
        <f>M958-N958-L958</f>
        <v/>
      </c>
      <c r="P958" s="10">
        <f>IFERROR(O958/M958,0)</f>
        <v/>
      </c>
      <c r="Q958" s="3">
        <f>IF(H958&lt;=0,"Review: quantity &lt;= 0",IF(K958&gt;0.3,"Review: discount &gt; 30%",IF(G958="","Review: missing customer type","OK")))</f>
        <v/>
      </c>
    </row>
    <row r="959">
      <c r="A959" s="3" t="inlineStr">
        <is>
          <t>ORD-10958</t>
        </is>
      </c>
      <c r="B959" s="7" t="n">
        <v>45894</v>
      </c>
      <c r="C959" s="3" t="inlineStr">
        <is>
          <t>Home &amp; Lifestyle</t>
        </is>
      </c>
      <c r="D959" s="3" t="inlineStr">
        <is>
          <t>Wallets</t>
        </is>
      </c>
      <c r="E959" s="3" t="inlineStr">
        <is>
          <t>Central</t>
        </is>
      </c>
      <c r="F959" s="3" t="inlineStr">
        <is>
          <t>Phone/WhatsApp</t>
        </is>
      </c>
      <c r="G959" s="3" t="inlineStr">
        <is>
          <t>Returning</t>
        </is>
      </c>
      <c r="H959" s="3" t="n">
        <v>2</v>
      </c>
      <c r="I959" s="8" t="n">
        <v>75</v>
      </c>
      <c r="J959" s="8" t="n">
        <v>46.07</v>
      </c>
      <c r="K959" s="9" t="n">
        <v>0</v>
      </c>
      <c r="L959" s="8" t="n">
        <v>33.62</v>
      </c>
      <c r="M959" s="8">
        <f>H959*I959*(1-K959)</f>
        <v/>
      </c>
      <c r="N959" s="8">
        <f>H959*J959</f>
        <v/>
      </c>
      <c r="O959" s="8">
        <f>M959-N959-L959</f>
        <v/>
      </c>
      <c r="P959" s="10">
        <f>IFERROR(O959/M959,0)</f>
        <v/>
      </c>
      <c r="Q959" s="3">
        <f>IF(H959&lt;=0,"Review: quantity &lt;= 0",IF(K959&gt;0.3,"Review: discount &gt; 30%",IF(G959="","Review: missing customer type","OK")))</f>
        <v/>
      </c>
    </row>
    <row r="960">
      <c r="A960" s="3" t="inlineStr">
        <is>
          <t>ORD-10959</t>
        </is>
      </c>
      <c r="B960" s="7" t="n">
        <v>45900</v>
      </c>
      <c r="C960" s="3" t="inlineStr">
        <is>
          <t>Clothing</t>
        </is>
      </c>
      <c r="D960" s="3" t="inlineStr">
        <is>
          <t>Jackets</t>
        </is>
      </c>
      <c r="E960" s="3" t="inlineStr">
        <is>
          <t>Western</t>
        </is>
      </c>
      <c r="F960" s="3" t="inlineStr">
        <is>
          <t>Retail Shop</t>
        </is>
      </c>
      <c r="G960" s="3" t="inlineStr">
        <is>
          <t>Returning</t>
        </is>
      </c>
      <c r="H960" s="3" t="n">
        <v>3</v>
      </c>
      <c r="I960" s="8" t="n">
        <v>130</v>
      </c>
      <c r="J960" s="8" t="n">
        <v>65.69</v>
      </c>
      <c r="K960" s="9" t="n">
        <v>0.15</v>
      </c>
      <c r="L960" s="8" t="n">
        <v>0.7</v>
      </c>
      <c r="M960" s="8">
        <f>H960*I960*(1-K960)</f>
        <v/>
      </c>
      <c r="N960" s="8">
        <f>H960*J960</f>
        <v/>
      </c>
      <c r="O960" s="8">
        <f>M960-N960-L960</f>
        <v/>
      </c>
      <c r="P960" s="10">
        <f>IFERROR(O960/M960,0)</f>
        <v/>
      </c>
      <c r="Q960" s="3">
        <f>IF(H960&lt;=0,"Review: quantity &lt;= 0",IF(K960&gt;0.3,"Review: discount &gt; 30%",IF(G960="","Review: missing customer type","OK")))</f>
        <v/>
      </c>
    </row>
    <row r="961">
      <c r="A961" s="3" t="inlineStr">
        <is>
          <t>ORD-10960</t>
        </is>
      </c>
      <c r="B961" s="7" t="n">
        <v>45880</v>
      </c>
      <c r="C961" s="3" t="inlineStr">
        <is>
          <t>Footwear</t>
        </is>
      </c>
      <c r="D961" s="3" t="inlineStr">
        <is>
          <t>Sandals</t>
        </is>
      </c>
      <c r="E961" s="3" t="inlineStr">
        <is>
          <t>Ashanti</t>
        </is>
      </c>
      <c r="F961" s="3" t="inlineStr">
        <is>
          <t>Online</t>
        </is>
      </c>
      <c r="G961" s="3" t="inlineStr">
        <is>
          <t>Returning</t>
        </is>
      </c>
      <c r="H961" s="3" t="n">
        <v>3</v>
      </c>
      <c r="I961" s="8" t="n">
        <v>240</v>
      </c>
      <c r="J961" s="8" t="n">
        <v>149.08</v>
      </c>
      <c r="K961" s="9" t="n">
        <v>0.15</v>
      </c>
      <c r="L961" s="8" t="n">
        <v>42.59</v>
      </c>
      <c r="M961" s="8">
        <f>H961*I961*(1-K961)</f>
        <v/>
      </c>
      <c r="N961" s="8">
        <f>H961*J961</f>
        <v/>
      </c>
      <c r="O961" s="8">
        <f>M961-N961-L961</f>
        <v/>
      </c>
      <c r="P961" s="10">
        <f>IFERROR(O961/M961,0)</f>
        <v/>
      </c>
      <c r="Q961" s="3">
        <f>IF(H961&lt;=0,"Review: quantity &lt;= 0",IF(K961&gt;0.3,"Review: discount &gt; 30%",IF(G961="","Review: missing customer type","OK")))</f>
        <v/>
      </c>
    </row>
    <row r="962">
      <c r="A962" s="3" t="inlineStr">
        <is>
          <t>ORD-10961</t>
        </is>
      </c>
      <c r="B962" s="7" t="n">
        <v>45837</v>
      </c>
      <c r="C962" s="3" t="inlineStr">
        <is>
          <t>Clothing</t>
        </is>
      </c>
      <c r="D962" s="3" t="inlineStr">
        <is>
          <t>Shirts</t>
        </is>
      </c>
      <c r="E962" s="3" t="inlineStr">
        <is>
          <t>Northern</t>
        </is>
      </c>
      <c r="F962" s="3" t="inlineStr">
        <is>
          <t>Retail Shop</t>
        </is>
      </c>
      <c r="G962" s="3" t="inlineStr">
        <is>
          <t>Returning</t>
        </is>
      </c>
      <c r="H962" s="3" t="n">
        <v>2</v>
      </c>
      <c r="I962" s="8" t="n">
        <v>140</v>
      </c>
      <c r="J962" s="8" t="n">
        <v>69.84999999999999</v>
      </c>
      <c r="K962" s="9" t="n">
        <v>0</v>
      </c>
      <c r="L962" s="8" t="n">
        <v>0.27</v>
      </c>
      <c r="M962" s="8">
        <f>H962*I962*(1-K962)</f>
        <v/>
      </c>
      <c r="N962" s="8">
        <f>H962*J962</f>
        <v/>
      </c>
      <c r="O962" s="8">
        <f>M962-N962-L962</f>
        <v/>
      </c>
      <c r="P962" s="10">
        <f>IFERROR(O962/M962,0)</f>
        <v/>
      </c>
      <c r="Q962" s="3">
        <f>IF(H962&lt;=0,"Review: quantity &lt;= 0",IF(K962&gt;0.3,"Review: discount &gt; 30%",IF(G962="","Review: missing customer type","OK")))</f>
        <v/>
      </c>
    </row>
    <row r="963">
      <c r="A963" s="3" t="inlineStr">
        <is>
          <t>ORD-10962</t>
        </is>
      </c>
      <c r="B963" s="7" t="n">
        <v>45950</v>
      </c>
      <c r="C963" s="3" t="inlineStr">
        <is>
          <t>Footwear</t>
        </is>
      </c>
      <c r="D963" s="3" t="inlineStr">
        <is>
          <t>Sneakers</t>
        </is>
      </c>
      <c r="E963" s="3" t="inlineStr">
        <is>
          <t>Greater Accra</t>
        </is>
      </c>
      <c r="F963" s="3" t="inlineStr">
        <is>
          <t>Retail Shop</t>
        </is>
      </c>
      <c r="G963" s="3" t="inlineStr">
        <is>
          <t>Returning</t>
        </is>
      </c>
      <c r="H963" s="3" t="n">
        <v>5</v>
      </c>
      <c r="I963" s="8" t="n">
        <v>265</v>
      </c>
      <c r="J963" s="8" t="n">
        <v>152.08</v>
      </c>
      <c r="K963" s="9" t="n">
        <v>0.05</v>
      </c>
      <c r="L963" s="8" t="n">
        <v>6.02</v>
      </c>
      <c r="M963" s="8">
        <f>H963*I963*(1-K963)</f>
        <v/>
      </c>
      <c r="N963" s="8">
        <f>H963*J963</f>
        <v/>
      </c>
      <c r="O963" s="8">
        <f>M963-N963-L963</f>
        <v/>
      </c>
      <c r="P963" s="10">
        <f>IFERROR(O963/M963,0)</f>
        <v/>
      </c>
      <c r="Q963" s="3">
        <f>IF(H963&lt;=0,"Review: quantity &lt;= 0",IF(K963&gt;0.3,"Review: discount &gt; 30%",IF(G963="","Review: missing customer type","OK")))</f>
        <v/>
      </c>
    </row>
    <row r="964">
      <c r="A964" s="3" t="inlineStr">
        <is>
          <t>ORD-10963</t>
        </is>
      </c>
      <c r="B964" s="7" t="n">
        <v>45924</v>
      </c>
      <c r="C964" s="3" t="inlineStr">
        <is>
          <t>Footwear</t>
        </is>
      </c>
      <c r="D964" s="3" t="inlineStr">
        <is>
          <t>Formal Shoes</t>
        </is>
      </c>
      <c r="E964" s="3" t="inlineStr">
        <is>
          <t>Greater Accra</t>
        </is>
      </c>
      <c r="F964" s="3" t="inlineStr">
        <is>
          <t>Online</t>
        </is>
      </c>
      <c r="G964" s="3" t="inlineStr">
        <is>
          <t>New</t>
        </is>
      </c>
      <c r="H964" s="3" t="n">
        <v>2</v>
      </c>
      <c r="I964" s="8" t="n">
        <v>190</v>
      </c>
      <c r="J964" s="8" t="n">
        <v>110.21</v>
      </c>
      <c r="K964" s="9" t="n">
        <v>0</v>
      </c>
      <c r="L964" s="8" t="n">
        <v>19.43</v>
      </c>
      <c r="M964" s="8">
        <f>H964*I964*(1-K964)</f>
        <v/>
      </c>
      <c r="N964" s="8">
        <f>H964*J964</f>
        <v/>
      </c>
      <c r="O964" s="8">
        <f>M964-N964-L964</f>
        <v/>
      </c>
      <c r="P964" s="10">
        <f>IFERROR(O964/M964,0)</f>
        <v/>
      </c>
      <c r="Q964" s="3">
        <f>IF(H964&lt;=0,"Review: quantity &lt;= 0",IF(K964&gt;0.3,"Review: discount &gt; 30%",IF(G964="","Review: missing customer type","OK")))</f>
        <v/>
      </c>
    </row>
    <row r="965">
      <c r="A965" s="3" t="inlineStr">
        <is>
          <t>ORD-10964</t>
        </is>
      </c>
      <c r="B965" s="7" t="n">
        <v>45715</v>
      </c>
      <c r="C965" s="3" t="inlineStr">
        <is>
          <t>Clothing</t>
        </is>
      </c>
      <c r="D965" s="3" t="inlineStr">
        <is>
          <t>Jackets</t>
        </is>
      </c>
      <c r="E965" s="3" t="inlineStr">
        <is>
          <t>Greater Accra</t>
        </is>
      </c>
      <c r="F965" s="3" t="inlineStr">
        <is>
          <t>Retail Shop</t>
        </is>
      </c>
      <c r="G965" s="3" t="inlineStr">
        <is>
          <t>Returning</t>
        </is>
      </c>
      <c r="H965" s="3" t="n">
        <v>1</v>
      </c>
      <c r="I965" s="8" t="n">
        <v>215</v>
      </c>
      <c r="J965" s="8" t="n">
        <v>103.01</v>
      </c>
      <c r="K965" s="9" t="n">
        <v>0</v>
      </c>
      <c r="L965" s="8" t="n">
        <v>3.52</v>
      </c>
      <c r="M965" s="8">
        <f>H965*I965*(1-K965)</f>
        <v/>
      </c>
      <c r="N965" s="8">
        <f>H965*J965</f>
        <v/>
      </c>
      <c r="O965" s="8">
        <f>M965-N965-L965</f>
        <v/>
      </c>
      <c r="P965" s="10">
        <f>IFERROR(O965/M965,0)</f>
        <v/>
      </c>
      <c r="Q965" s="3">
        <f>IF(H965&lt;=0,"Review: quantity &lt;= 0",IF(K965&gt;0.3,"Review: discount &gt; 30%",IF(G965="","Review: missing customer type","OK")))</f>
        <v/>
      </c>
    </row>
    <row r="966">
      <c r="A966" s="3" t="inlineStr">
        <is>
          <t>ORD-10965</t>
        </is>
      </c>
      <c r="B966" s="7" t="n">
        <v>45933</v>
      </c>
      <c r="C966" s="3" t="inlineStr">
        <is>
          <t>Clothing</t>
        </is>
      </c>
      <c r="D966" s="3" t="inlineStr">
        <is>
          <t>Dresses</t>
        </is>
      </c>
      <c r="E966" s="3" t="inlineStr">
        <is>
          <t>Ashanti</t>
        </is>
      </c>
      <c r="F966" s="3" t="inlineStr">
        <is>
          <t>Retail Shop</t>
        </is>
      </c>
      <c r="G966" s="3" t="inlineStr">
        <is>
          <t>Returning</t>
        </is>
      </c>
      <c r="H966" s="3" t="n">
        <v>10</v>
      </c>
      <c r="I966" s="8" t="n">
        <v>155</v>
      </c>
      <c r="J966" s="8" t="n">
        <v>82.56</v>
      </c>
      <c r="K966" s="9" t="n">
        <v>0.05</v>
      </c>
      <c r="L966" s="8" t="n">
        <v>9.800000000000001</v>
      </c>
      <c r="M966" s="8">
        <f>H966*I966*(1-K966)</f>
        <v/>
      </c>
      <c r="N966" s="8">
        <f>H966*J966</f>
        <v/>
      </c>
      <c r="O966" s="8">
        <f>M966-N966-L966</f>
        <v/>
      </c>
      <c r="P966" s="10">
        <f>IFERROR(O966/M966,0)</f>
        <v/>
      </c>
      <c r="Q966" s="3">
        <f>IF(H966&lt;=0,"Review: quantity &lt;= 0",IF(K966&gt;0.3,"Review: discount &gt; 30%",IF(G966="","Review: missing customer type","OK")))</f>
        <v/>
      </c>
    </row>
    <row r="967">
      <c r="A967" s="3" t="inlineStr">
        <is>
          <t>ORD-10966</t>
        </is>
      </c>
      <c r="B967" s="7" t="n">
        <v>45751</v>
      </c>
      <c r="C967" s="3" t="inlineStr">
        <is>
          <t>Footwear</t>
        </is>
      </c>
      <c r="D967" s="3" t="inlineStr">
        <is>
          <t>Formal Shoes</t>
        </is>
      </c>
      <c r="E967" s="3" t="inlineStr">
        <is>
          <t>Northern</t>
        </is>
      </c>
      <c r="F967" s="3" t="inlineStr">
        <is>
          <t>Phone/WhatsApp</t>
        </is>
      </c>
      <c r="G967" s="3" t="inlineStr">
        <is>
          <t>Returning</t>
        </is>
      </c>
      <c r="H967" s="3" t="n">
        <v>1</v>
      </c>
      <c r="I967" s="8" t="n">
        <v>230</v>
      </c>
      <c r="J967" s="8" t="n">
        <v>116.4</v>
      </c>
      <c r="K967" s="9" t="n">
        <v>0.1</v>
      </c>
      <c r="L967" s="8" t="n">
        <v>27.38</v>
      </c>
      <c r="M967" s="8">
        <f>H967*I967*(1-K967)</f>
        <v/>
      </c>
      <c r="N967" s="8">
        <f>H967*J967</f>
        <v/>
      </c>
      <c r="O967" s="8">
        <f>M967-N967-L967</f>
        <v/>
      </c>
      <c r="P967" s="10">
        <f>IFERROR(O967/M967,0)</f>
        <v/>
      </c>
      <c r="Q967" s="3">
        <f>IF(H967&lt;=0,"Review: quantity &lt;= 0",IF(K967&gt;0.3,"Review: discount &gt; 30%",IF(G967="","Review: missing customer type","OK")))</f>
        <v/>
      </c>
    </row>
    <row r="968">
      <c r="A968" s="3" t="inlineStr">
        <is>
          <t>ORD-10967</t>
        </is>
      </c>
      <c r="B968" s="7" t="n">
        <v>45731</v>
      </c>
      <c r="C968" s="3" t="inlineStr">
        <is>
          <t>Clothing</t>
        </is>
      </c>
      <c r="D968" s="3" t="inlineStr">
        <is>
          <t>Shirts</t>
        </is>
      </c>
      <c r="E968" s="3" t="inlineStr">
        <is>
          <t>Ashanti</t>
        </is>
      </c>
      <c r="F968" s="3" t="inlineStr">
        <is>
          <t>Retail Shop</t>
        </is>
      </c>
      <c r="G968" s="3" t="inlineStr">
        <is>
          <t>Returning</t>
        </is>
      </c>
      <c r="H968" s="3" t="n">
        <v>2</v>
      </c>
      <c r="I968" s="8" t="n">
        <v>185</v>
      </c>
      <c r="J968" s="8" t="n">
        <v>87.95999999999999</v>
      </c>
      <c r="K968" s="9" t="n">
        <v>0.05</v>
      </c>
      <c r="L968" s="8" t="n">
        <v>11.35</v>
      </c>
      <c r="M968" s="8">
        <f>H968*I968*(1-K968)</f>
        <v/>
      </c>
      <c r="N968" s="8">
        <f>H968*J968</f>
        <v/>
      </c>
      <c r="O968" s="8">
        <f>M968-N968-L968</f>
        <v/>
      </c>
      <c r="P968" s="10">
        <f>IFERROR(O968/M968,0)</f>
        <v/>
      </c>
      <c r="Q968" s="3">
        <f>IF(H968&lt;=0,"Review: quantity &lt;= 0",IF(K968&gt;0.3,"Review: discount &gt; 30%",IF(G968="","Review: missing customer type","OK")))</f>
        <v/>
      </c>
    </row>
    <row r="969">
      <c r="A969" s="3" t="inlineStr">
        <is>
          <t>ORD-10968</t>
        </is>
      </c>
      <c r="B969" s="7" t="n">
        <v>46020</v>
      </c>
      <c r="C969" s="3" t="inlineStr">
        <is>
          <t>Footwear</t>
        </is>
      </c>
      <c r="D969" s="3" t="inlineStr">
        <is>
          <t>Sandals</t>
        </is>
      </c>
      <c r="E969" s="3" t="inlineStr">
        <is>
          <t>Ashanti</t>
        </is>
      </c>
      <c r="F969" s="3" t="inlineStr">
        <is>
          <t>Retail Shop</t>
        </is>
      </c>
      <c r="G969" s="3" t="inlineStr">
        <is>
          <t>New</t>
        </is>
      </c>
      <c r="H969" s="3" t="n">
        <v>3</v>
      </c>
      <c r="I969" s="8" t="n">
        <v>270</v>
      </c>
      <c r="J969" s="8" t="n">
        <v>158.26</v>
      </c>
      <c r="K969" s="9" t="n">
        <v>0</v>
      </c>
      <c r="L969" s="8" t="n">
        <v>3.1</v>
      </c>
      <c r="M969" s="8">
        <f>H969*I969*(1-K969)</f>
        <v/>
      </c>
      <c r="N969" s="8">
        <f>H969*J969</f>
        <v/>
      </c>
      <c r="O969" s="8">
        <f>M969-N969-L969</f>
        <v/>
      </c>
      <c r="P969" s="10">
        <f>IFERROR(O969/M969,0)</f>
        <v/>
      </c>
      <c r="Q969" s="3">
        <f>IF(H969&lt;=0,"Review: quantity &lt;= 0",IF(K969&gt;0.3,"Review: discount &gt; 30%",IF(G969="","Review: missing customer type","OK")))</f>
        <v/>
      </c>
    </row>
    <row r="970">
      <c r="A970" s="3" t="inlineStr">
        <is>
          <t>ORD-10969</t>
        </is>
      </c>
      <c r="B970" s="7" t="n">
        <v>45920</v>
      </c>
      <c r="C970" s="3" t="inlineStr">
        <is>
          <t>Footwear</t>
        </is>
      </c>
      <c r="D970" s="3" t="inlineStr">
        <is>
          <t>Formal Shoes</t>
        </is>
      </c>
      <c r="E970" s="3" t="inlineStr">
        <is>
          <t>Greater Accra</t>
        </is>
      </c>
      <c r="F970" s="3" t="inlineStr">
        <is>
          <t>Retail Shop</t>
        </is>
      </c>
      <c r="G970" s="3" t="inlineStr">
        <is>
          <t>Returning</t>
        </is>
      </c>
      <c r="H970" s="3" t="n">
        <v>2</v>
      </c>
      <c r="I970" s="8" t="n">
        <v>315</v>
      </c>
      <c r="J970" s="8" t="n">
        <v>194.45</v>
      </c>
      <c r="K970" s="9" t="n">
        <v>0</v>
      </c>
      <c r="L970" s="8" t="n">
        <v>2.36</v>
      </c>
      <c r="M970" s="8">
        <f>H970*I970*(1-K970)</f>
        <v/>
      </c>
      <c r="N970" s="8">
        <f>H970*J970</f>
        <v/>
      </c>
      <c r="O970" s="8">
        <f>M970-N970-L970</f>
        <v/>
      </c>
      <c r="P970" s="10">
        <f>IFERROR(O970/M970,0)</f>
        <v/>
      </c>
      <c r="Q970" s="3">
        <f>IF(H970&lt;=0,"Review: quantity &lt;= 0",IF(K970&gt;0.3,"Review: discount &gt; 30%",IF(G970="","Review: missing customer type","OK")))</f>
        <v/>
      </c>
    </row>
    <row r="971">
      <c r="A971" s="3" t="inlineStr">
        <is>
          <t>ORD-10970</t>
        </is>
      </c>
      <c r="B971" s="7" t="n">
        <v>45950</v>
      </c>
      <c r="C971" s="3" t="inlineStr">
        <is>
          <t>Clothing</t>
        </is>
      </c>
      <c r="D971" s="3" t="inlineStr">
        <is>
          <t>Jackets</t>
        </is>
      </c>
      <c r="E971" s="3" t="inlineStr">
        <is>
          <t>Western</t>
        </is>
      </c>
      <c r="F971" s="3" t="inlineStr">
        <is>
          <t>Retail Shop</t>
        </is>
      </c>
      <c r="G971" s="3" t="inlineStr">
        <is>
          <t>New</t>
        </is>
      </c>
      <c r="H971" s="3" t="n">
        <v>6</v>
      </c>
      <c r="I971" s="8" t="n">
        <v>170</v>
      </c>
      <c r="J971" s="8" t="n">
        <v>83.47</v>
      </c>
      <c r="K971" s="9" t="n">
        <v>0</v>
      </c>
      <c r="L971" s="8" t="n">
        <v>11</v>
      </c>
      <c r="M971" s="8">
        <f>H971*I971*(1-K971)</f>
        <v/>
      </c>
      <c r="N971" s="8">
        <f>H971*J971</f>
        <v/>
      </c>
      <c r="O971" s="8">
        <f>M971-N971-L971</f>
        <v/>
      </c>
      <c r="P971" s="10">
        <f>IFERROR(O971/M971,0)</f>
        <v/>
      </c>
      <c r="Q971" s="3">
        <f>IF(H971&lt;=0,"Review: quantity &lt;= 0",IF(K971&gt;0.3,"Review: discount &gt; 30%",IF(G971="","Review: missing customer type","OK")))</f>
        <v/>
      </c>
    </row>
    <row r="972">
      <c r="A972" s="3" t="inlineStr">
        <is>
          <t>ORD-10971</t>
        </is>
      </c>
      <c r="B972" s="7" t="n">
        <v>45780</v>
      </c>
      <c r="C972" s="3" t="inlineStr">
        <is>
          <t>Footwear</t>
        </is>
      </c>
      <c r="D972" s="3" t="inlineStr">
        <is>
          <t>Sneakers</t>
        </is>
      </c>
      <c r="E972" s="3" t="inlineStr">
        <is>
          <t>Western</t>
        </is>
      </c>
      <c r="F972" s="3" t="inlineStr">
        <is>
          <t>Retail Shop</t>
        </is>
      </c>
      <c r="G972" s="3" t="inlineStr">
        <is>
          <t>New</t>
        </is>
      </c>
      <c r="H972" s="3" t="n">
        <v>3</v>
      </c>
      <c r="I972" s="8" t="n">
        <v>280</v>
      </c>
      <c r="J972" s="8" t="n">
        <v>162.19</v>
      </c>
      <c r="K972" s="9" t="n">
        <v>0.05</v>
      </c>
      <c r="L972" s="8" t="n">
        <v>3.49</v>
      </c>
      <c r="M972" s="8">
        <f>H972*I972*(1-K972)</f>
        <v/>
      </c>
      <c r="N972" s="8">
        <f>H972*J972</f>
        <v/>
      </c>
      <c r="O972" s="8">
        <f>M972-N972-L972</f>
        <v/>
      </c>
      <c r="P972" s="10">
        <f>IFERROR(O972/M972,0)</f>
        <v/>
      </c>
      <c r="Q972" s="3">
        <f>IF(H972&lt;=0,"Review: quantity &lt;= 0",IF(K972&gt;0.3,"Review: discount &gt; 30%",IF(G972="","Review: missing customer type","OK")))</f>
        <v/>
      </c>
    </row>
    <row r="973">
      <c r="A973" s="3" t="inlineStr">
        <is>
          <t>ORD-10972</t>
        </is>
      </c>
      <c r="B973" s="7" t="n">
        <v>45732</v>
      </c>
      <c r="C973" s="3" t="inlineStr">
        <is>
          <t>Accessories</t>
        </is>
      </c>
      <c r="D973" s="3" t="inlineStr">
        <is>
          <t>Sunglasses</t>
        </is>
      </c>
      <c r="E973" s="3" t="inlineStr">
        <is>
          <t>Greater Accra</t>
        </is>
      </c>
      <c r="F973" s="3" t="inlineStr">
        <is>
          <t>Online</t>
        </is>
      </c>
      <c r="G973" s="3" t="inlineStr">
        <is>
          <t>New</t>
        </is>
      </c>
      <c r="H973" s="3" t="n">
        <v>3</v>
      </c>
      <c r="I973" s="8" t="n">
        <v>115</v>
      </c>
      <c r="J973" s="8" t="n">
        <v>49.19</v>
      </c>
      <c r="K973" s="9" t="n">
        <v>0</v>
      </c>
      <c r="L973" s="8" t="n">
        <v>12.96</v>
      </c>
      <c r="M973" s="8">
        <f>H973*I973*(1-K973)</f>
        <v/>
      </c>
      <c r="N973" s="8">
        <f>H973*J973</f>
        <v/>
      </c>
      <c r="O973" s="8">
        <f>M973-N973-L973</f>
        <v/>
      </c>
      <c r="P973" s="10">
        <f>IFERROR(O973/M973,0)</f>
        <v/>
      </c>
      <c r="Q973" s="3">
        <f>IF(H973&lt;=0,"Review: quantity &lt;= 0",IF(K973&gt;0.3,"Review: discount &gt; 30%",IF(G973="","Review: missing customer type","OK")))</f>
        <v/>
      </c>
    </row>
    <row r="974">
      <c r="A974" s="3" t="inlineStr">
        <is>
          <t>ORD-10973</t>
        </is>
      </c>
      <c r="B974" s="7" t="n">
        <v>45977</v>
      </c>
      <c r="C974" s="3" t="inlineStr">
        <is>
          <t>Footwear</t>
        </is>
      </c>
      <c r="D974" s="3" t="inlineStr">
        <is>
          <t>Sneakers</t>
        </is>
      </c>
      <c r="E974" s="3" t="inlineStr">
        <is>
          <t>Greater Accra</t>
        </is>
      </c>
      <c r="F974" s="3" t="inlineStr">
        <is>
          <t>Phone/WhatsApp</t>
        </is>
      </c>
      <c r="G974" s="3" t="inlineStr">
        <is>
          <t>Returning</t>
        </is>
      </c>
      <c r="H974" s="3" t="n">
        <v>1</v>
      </c>
      <c r="I974" s="8" t="n">
        <v>390</v>
      </c>
      <c r="J974" s="8" t="n">
        <v>246.66</v>
      </c>
      <c r="K974" s="9" t="n">
        <v>0.05</v>
      </c>
      <c r="L974" s="8" t="n">
        <v>42.87</v>
      </c>
      <c r="M974" s="8">
        <f>H974*I974*(1-K974)</f>
        <v/>
      </c>
      <c r="N974" s="8">
        <f>H974*J974</f>
        <v/>
      </c>
      <c r="O974" s="8">
        <f>M974-N974-L974</f>
        <v/>
      </c>
      <c r="P974" s="10">
        <f>IFERROR(O974/M974,0)</f>
        <v/>
      </c>
      <c r="Q974" s="3">
        <f>IF(H974&lt;=0,"Review: quantity &lt;= 0",IF(K974&gt;0.3,"Review: discount &gt; 30%",IF(G974="","Review: missing customer type","OK")))</f>
        <v/>
      </c>
    </row>
    <row r="975">
      <c r="A975" s="3" t="inlineStr">
        <is>
          <t>ORD-10974</t>
        </is>
      </c>
      <c r="B975" s="7" t="n">
        <v>45869</v>
      </c>
      <c r="C975" s="3" t="inlineStr">
        <is>
          <t>Footwear</t>
        </is>
      </c>
      <c r="D975" s="3" t="inlineStr">
        <is>
          <t>Boots</t>
        </is>
      </c>
      <c r="E975" s="3" t="inlineStr">
        <is>
          <t>Greater Accra</t>
        </is>
      </c>
      <c r="F975" s="3" t="inlineStr">
        <is>
          <t>Online</t>
        </is>
      </c>
      <c r="G975" s="3" t="inlineStr">
        <is>
          <t>Returning</t>
        </is>
      </c>
      <c r="H975" s="3" t="n">
        <v>1</v>
      </c>
      <c r="I975" s="8" t="n">
        <v>425</v>
      </c>
      <c r="J975" s="8" t="n">
        <v>228.38</v>
      </c>
      <c r="K975" s="9" t="n">
        <v>0.15</v>
      </c>
      <c r="L975" s="8" t="n">
        <v>33.31</v>
      </c>
      <c r="M975" s="8">
        <f>H975*I975*(1-K975)</f>
        <v/>
      </c>
      <c r="N975" s="8">
        <f>H975*J975</f>
        <v/>
      </c>
      <c r="O975" s="8">
        <f>M975-N975-L975</f>
        <v/>
      </c>
      <c r="P975" s="10">
        <f>IFERROR(O975/M975,0)</f>
        <v/>
      </c>
      <c r="Q975" s="3">
        <f>IF(H975&lt;=0,"Review: quantity &lt;= 0",IF(K975&gt;0.3,"Review: discount &gt; 30%",IF(G975="","Review: missing customer type","OK")))</f>
        <v/>
      </c>
    </row>
    <row r="976">
      <c r="A976" s="3" t="inlineStr">
        <is>
          <t>ORD-10975</t>
        </is>
      </c>
      <c r="B976" s="7" t="n">
        <v>45947</v>
      </c>
      <c r="C976" s="3" t="inlineStr">
        <is>
          <t>Footwear</t>
        </is>
      </c>
      <c r="D976" s="3" t="inlineStr">
        <is>
          <t>Formal Shoes</t>
        </is>
      </c>
      <c r="E976" s="3" t="inlineStr">
        <is>
          <t>Greater Accra</t>
        </is>
      </c>
      <c r="F976" s="3" t="inlineStr">
        <is>
          <t>Retail Shop</t>
        </is>
      </c>
      <c r="G976" s="3" t="inlineStr">
        <is>
          <t>Returning</t>
        </is>
      </c>
      <c r="H976" s="3" t="n">
        <v>4</v>
      </c>
      <c r="I976" s="8" t="n">
        <v>305</v>
      </c>
      <c r="J976" s="8" t="n">
        <v>167</v>
      </c>
      <c r="K976" s="9" t="n">
        <v>0</v>
      </c>
      <c r="L976" s="8" t="n">
        <v>6.43</v>
      </c>
      <c r="M976" s="8">
        <f>H976*I976*(1-K976)</f>
        <v/>
      </c>
      <c r="N976" s="8">
        <f>H976*J976</f>
        <v/>
      </c>
      <c r="O976" s="8">
        <f>M976-N976-L976</f>
        <v/>
      </c>
      <c r="P976" s="10">
        <f>IFERROR(O976/M976,0)</f>
        <v/>
      </c>
      <c r="Q976" s="3">
        <f>IF(H976&lt;=0,"Review: quantity &lt;= 0",IF(K976&gt;0.3,"Review: discount &gt; 30%",IF(G976="","Review: missing customer type","OK")))</f>
        <v/>
      </c>
    </row>
    <row r="977">
      <c r="A977" s="3" t="inlineStr">
        <is>
          <t>ORD-10976</t>
        </is>
      </c>
      <c r="B977" s="7" t="n">
        <v>45812</v>
      </c>
      <c r="C977" s="3" t="inlineStr">
        <is>
          <t>Clothing</t>
        </is>
      </c>
      <c r="D977" s="3" t="inlineStr">
        <is>
          <t>Shirts</t>
        </is>
      </c>
      <c r="E977" s="3" t="inlineStr">
        <is>
          <t>Ashanti</t>
        </is>
      </c>
      <c r="F977" s="3" t="inlineStr">
        <is>
          <t>Online</t>
        </is>
      </c>
      <c r="G977" s="3" t="inlineStr">
        <is>
          <t>Returning</t>
        </is>
      </c>
      <c r="H977" s="3" t="n">
        <v>1</v>
      </c>
      <c r="I977" s="8" t="n">
        <v>145</v>
      </c>
      <c r="J977" s="8" t="n">
        <v>77.67</v>
      </c>
      <c r="K977" s="9" t="n">
        <v>0.05</v>
      </c>
      <c r="L977" s="8" t="n">
        <v>15.14</v>
      </c>
      <c r="M977" s="8">
        <f>H977*I977*(1-K977)</f>
        <v/>
      </c>
      <c r="N977" s="8">
        <f>H977*J977</f>
        <v/>
      </c>
      <c r="O977" s="8">
        <f>M977-N977-L977</f>
        <v/>
      </c>
      <c r="P977" s="10">
        <f>IFERROR(O977/M977,0)</f>
        <v/>
      </c>
      <c r="Q977" s="3">
        <f>IF(H977&lt;=0,"Review: quantity &lt;= 0",IF(K977&gt;0.3,"Review: discount &gt; 30%",IF(G977="","Review: missing customer type","OK")))</f>
        <v/>
      </c>
    </row>
    <row r="978">
      <c r="A978" s="3" t="inlineStr">
        <is>
          <t>ORD-10977</t>
        </is>
      </c>
      <c r="B978" s="7" t="n">
        <v>45904</v>
      </c>
      <c r="C978" s="3" t="inlineStr">
        <is>
          <t>Home &amp; Lifestyle</t>
        </is>
      </c>
      <c r="D978" s="3" t="inlineStr">
        <is>
          <t>Small Home Goods</t>
        </is>
      </c>
      <c r="E978" s="3" t="inlineStr">
        <is>
          <t>Greater Accra</t>
        </is>
      </c>
      <c r="F978" s="3" t="inlineStr">
        <is>
          <t>Phone/WhatsApp</t>
        </is>
      </c>
      <c r="G978" s="3" t="inlineStr">
        <is>
          <t>Returning</t>
        </is>
      </c>
      <c r="H978" s="3" t="n">
        <v>3</v>
      </c>
      <c r="I978" s="8" t="n">
        <v>145</v>
      </c>
      <c r="J978" s="8" t="n">
        <v>77.14</v>
      </c>
      <c r="K978" s="9" t="n">
        <v>0</v>
      </c>
      <c r="L978" s="8" t="n">
        <v>28.55</v>
      </c>
      <c r="M978" s="8">
        <f>H978*I978*(1-K978)</f>
        <v/>
      </c>
      <c r="N978" s="8">
        <f>H978*J978</f>
        <v/>
      </c>
      <c r="O978" s="8">
        <f>M978-N978-L978</f>
        <v/>
      </c>
      <c r="P978" s="10">
        <f>IFERROR(O978/M978,0)</f>
        <v/>
      </c>
      <c r="Q978" s="3">
        <f>IF(H978&lt;=0,"Review: quantity &lt;= 0",IF(K978&gt;0.3,"Review: discount &gt; 30%",IF(G978="","Review: missing customer type","OK")))</f>
        <v/>
      </c>
    </row>
    <row r="979">
      <c r="A979" s="3" t="inlineStr">
        <is>
          <t>ORD-10978</t>
        </is>
      </c>
      <c r="B979" s="7" t="n">
        <v>45967</v>
      </c>
      <c r="C979" s="3" t="inlineStr">
        <is>
          <t>Clothing</t>
        </is>
      </c>
      <c r="D979" s="3" t="inlineStr">
        <is>
          <t>Jackets</t>
        </is>
      </c>
      <c r="E979" s="3" t="inlineStr">
        <is>
          <t>Greater Accra</t>
        </is>
      </c>
      <c r="F979" s="3" t="inlineStr">
        <is>
          <t>Retail Shop</t>
        </is>
      </c>
      <c r="G979" s="3" t="inlineStr">
        <is>
          <t>Returning</t>
        </is>
      </c>
      <c r="H979" s="3" t="n">
        <v>4</v>
      </c>
      <c r="I979" s="8" t="n">
        <v>160</v>
      </c>
      <c r="J979" s="8" t="n">
        <v>88.95999999999999</v>
      </c>
      <c r="K979" s="9" t="n">
        <v>0.1</v>
      </c>
      <c r="L979" s="8" t="n">
        <v>6.07</v>
      </c>
      <c r="M979" s="8">
        <f>H979*I979*(1-K979)</f>
        <v/>
      </c>
      <c r="N979" s="8">
        <f>H979*J979</f>
        <v/>
      </c>
      <c r="O979" s="8">
        <f>M979-N979-L979</f>
        <v/>
      </c>
      <c r="P979" s="10">
        <f>IFERROR(O979/M979,0)</f>
        <v/>
      </c>
      <c r="Q979" s="3">
        <f>IF(H979&lt;=0,"Review: quantity &lt;= 0",IF(K979&gt;0.3,"Review: discount &gt; 30%",IF(G979="","Review: missing customer type","OK")))</f>
        <v/>
      </c>
    </row>
    <row r="980">
      <c r="A980" s="3" t="inlineStr">
        <is>
          <t>ORD-10979</t>
        </is>
      </c>
      <c r="B980" s="7" t="n">
        <v>45915</v>
      </c>
      <c r="C980" s="3" t="inlineStr">
        <is>
          <t>Footwear</t>
        </is>
      </c>
      <c r="D980" s="3" t="inlineStr">
        <is>
          <t>Boots</t>
        </is>
      </c>
      <c r="E980" s="3" t="inlineStr">
        <is>
          <t>Northern</t>
        </is>
      </c>
      <c r="F980" s="3" t="inlineStr">
        <is>
          <t>Online</t>
        </is>
      </c>
      <c r="G980" s="3" t="inlineStr">
        <is>
          <t>New</t>
        </is>
      </c>
      <c r="H980" s="3" t="n">
        <v>1</v>
      </c>
      <c r="I980" s="8" t="n">
        <v>390</v>
      </c>
      <c r="J980" s="8" t="n">
        <v>210.99</v>
      </c>
      <c r="K980" s="9" t="n">
        <v>0</v>
      </c>
      <c r="L980" s="8" t="n">
        <v>12.24</v>
      </c>
      <c r="M980" s="8">
        <f>H980*I980*(1-K980)</f>
        <v/>
      </c>
      <c r="N980" s="8">
        <f>H980*J980</f>
        <v/>
      </c>
      <c r="O980" s="8">
        <f>M980-N980-L980</f>
        <v/>
      </c>
      <c r="P980" s="10">
        <f>IFERROR(O980/M980,0)</f>
        <v/>
      </c>
      <c r="Q980" s="3">
        <f>IF(H980&lt;=0,"Review: quantity &lt;= 0",IF(K980&gt;0.3,"Review: discount &gt; 30%",IF(G980="","Review: missing customer type","OK")))</f>
        <v/>
      </c>
    </row>
    <row r="981">
      <c r="A981" s="3" t="inlineStr">
        <is>
          <t>ORD-10980</t>
        </is>
      </c>
      <c r="B981" s="7" t="n">
        <v>45756</v>
      </c>
      <c r="C981" s="3" t="inlineStr">
        <is>
          <t>Clothing</t>
        </is>
      </c>
      <c r="D981" s="3" t="inlineStr">
        <is>
          <t>Dresses</t>
        </is>
      </c>
      <c r="E981" s="3" t="inlineStr">
        <is>
          <t>Ashanti</t>
        </is>
      </c>
      <c r="F981" s="3" t="inlineStr">
        <is>
          <t>Online</t>
        </is>
      </c>
      <c r="G981" s="3" t="inlineStr">
        <is>
          <t>Returning</t>
        </is>
      </c>
      <c r="H981" s="3" t="n">
        <v>10</v>
      </c>
      <c r="I981" s="8" t="n">
        <v>135</v>
      </c>
      <c r="J981" s="8" t="n">
        <v>64.33</v>
      </c>
      <c r="K981" s="9" t="n">
        <v>0.1</v>
      </c>
      <c r="L981" s="8" t="n">
        <v>17.47</v>
      </c>
      <c r="M981" s="8">
        <f>H981*I981*(1-K981)</f>
        <v/>
      </c>
      <c r="N981" s="8">
        <f>H981*J981</f>
        <v/>
      </c>
      <c r="O981" s="8">
        <f>M981-N981-L981</f>
        <v/>
      </c>
      <c r="P981" s="10">
        <f>IFERROR(O981/M981,0)</f>
        <v/>
      </c>
      <c r="Q981" s="3">
        <f>IF(H981&lt;=0,"Review: quantity &lt;= 0",IF(K981&gt;0.3,"Review: discount &gt; 30%",IF(G981="","Review: missing customer type","OK")))</f>
        <v/>
      </c>
    </row>
    <row r="982">
      <c r="A982" s="3" t="inlineStr">
        <is>
          <t>ORD-10981</t>
        </is>
      </c>
      <c r="B982" s="7" t="n">
        <v>45889</v>
      </c>
      <c r="C982" s="3" t="inlineStr">
        <is>
          <t>Footwear</t>
        </is>
      </c>
      <c r="D982" s="3" t="inlineStr">
        <is>
          <t>Sandals</t>
        </is>
      </c>
      <c r="E982" s="3" t="inlineStr">
        <is>
          <t>Central</t>
        </is>
      </c>
      <c r="F982" s="3" t="inlineStr">
        <is>
          <t>Online</t>
        </is>
      </c>
      <c r="G982" s="3" t="inlineStr">
        <is>
          <t>Returning</t>
        </is>
      </c>
      <c r="H982" s="3" t="n">
        <v>1</v>
      </c>
      <c r="I982" s="8" t="n">
        <v>230</v>
      </c>
      <c r="J982" s="8" t="n">
        <v>118.89</v>
      </c>
      <c r="K982" s="9" t="n">
        <v>0.1</v>
      </c>
      <c r="L982" s="8" t="n">
        <v>31.41</v>
      </c>
      <c r="M982" s="8">
        <f>H982*I982*(1-K982)</f>
        <v/>
      </c>
      <c r="N982" s="8">
        <f>H982*J982</f>
        <v/>
      </c>
      <c r="O982" s="8">
        <f>M982-N982-L982</f>
        <v/>
      </c>
      <c r="P982" s="10">
        <f>IFERROR(O982/M982,0)</f>
        <v/>
      </c>
      <c r="Q982" s="3">
        <f>IF(H982&lt;=0,"Review: quantity &lt;= 0",IF(K982&gt;0.3,"Review: discount &gt; 30%",IF(G982="","Review: missing customer type","OK")))</f>
        <v/>
      </c>
    </row>
    <row r="983">
      <c r="A983" s="3" t="inlineStr">
        <is>
          <t>ORD-10982</t>
        </is>
      </c>
      <c r="B983" s="7" t="n">
        <v>45921</v>
      </c>
      <c r="C983" s="3" t="inlineStr">
        <is>
          <t>Footwear</t>
        </is>
      </c>
      <c r="D983" s="3" t="inlineStr">
        <is>
          <t>Formal Shoes</t>
        </is>
      </c>
      <c r="E983" s="3" t="inlineStr">
        <is>
          <t>Ashanti</t>
        </is>
      </c>
      <c r="F983" s="3" t="inlineStr">
        <is>
          <t>Phone/WhatsApp</t>
        </is>
      </c>
      <c r="G983" s="3" t="inlineStr">
        <is>
          <t>New</t>
        </is>
      </c>
      <c r="H983" s="3" t="n">
        <v>1</v>
      </c>
      <c r="I983" s="8" t="n">
        <v>475</v>
      </c>
      <c r="J983" s="8" t="n">
        <v>275.71</v>
      </c>
      <c r="K983" s="9" t="n">
        <v>0.1</v>
      </c>
      <c r="L983" s="8" t="n">
        <v>19.51</v>
      </c>
      <c r="M983" s="8">
        <f>H983*I983*(1-K983)</f>
        <v/>
      </c>
      <c r="N983" s="8">
        <f>H983*J983</f>
        <v/>
      </c>
      <c r="O983" s="8">
        <f>M983-N983-L983</f>
        <v/>
      </c>
      <c r="P983" s="10">
        <f>IFERROR(O983/M983,0)</f>
        <v/>
      </c>
      <c r="Q983" s="3">
        <f>IF(H983&lt;=0,"Review: quantity &lt;= 0",IF(K983&gt;0.3,"Review: discount &gt; 30%",IF(G983="","Review: missing customer type","OK")))</f>
        <v/>
      </c>
    </row>
    <row r="984">
      <c r="A984" s="3" t="inlineStr">
        <is>
          <t>ORD-10983</t>
        </is>
      </c>
      <c r="B984" s="7" t="n">
        <v>45877</v>
      </c>
      <c r="C984" s="3" t="inlineStr">
        <is>
          <t>Accessories</t>
        </is>
      </c>
      <c r="D984" s="3" t="inlineStr">
        <is>
          <t>Bags</t>
        </is>
      </c>
      <c r="E984" s="3" t="inlineStr">
        <is>
          <t>Ashanti</t>
        </is>
      </c>
      <c r="F984" s="3" t="inlineStr">
        <is>
          <t>Phone/WhatsApp</t>
        </is>
      </c>
      <c r="G984" s="3" t="inlineStr">
        <is>
          <t>Returning</t>
        </is>
      </c>
      <c r="H984" s="3" t="n">
        <v>2</v>
      </c>
      <c r="I984" s="8" t="n">
        <v>75</v>
      </c>
      <c r="J984" s="8" t="n">
        <v>39.05</v>
      </c>
      <c r="K984" s="9" t="n">
        <v>0.1</v>
      </c>
      <c r="L984" s="8" t="n">
        <v>38.38</v>
      </c>
      <c r="M984" s="8">
        <f>H984*I984*(1-K984)</f>
        <v/>
      </c>
      <c r="N984" s="8">
        <f>H984*J984</f>
        <v/>
      </c>
      <c r="O984" s="8">
        <f>M984-N984-L984</f>
        <v/>
      </c>
      <c r="P984" s="10">
        <f>IFERROR(O984/M984,0)</f>
        <v/>
      </c>
      <c r="Q984" s="3">
        <f>IF(H984&lt;=0,"Review: quantity &lt;= 0",IF(K984&gt;0.3,"Review: discount &gt; 30%",IF(G984="","Review: missing customer type","OK")))</f>
        <v/>
      </c>
    </row>
    <row r="985">
      <c r="A985" s="3" t="inlineStr">
        <is>
          <t>ORD-10984</t>
        </is>
      </c>
      <c r="B985" s="7" t="n">
        <v>45763</v>
      </c>
      <c r="C985" s="3" t="inlineStr">
        <is>
          <t>Home &amp; Lifestyle</t>
        </is>
      </c>
      <c r="D985" s="3" t="inlineStr">
        <is>
          <t>Wallets</t>
        </is>
      </c>
      <c r="E985" s="3" t="inlineStr">
        <is>
          <t>Greater Accra</t>
        </is>
      </c>
      <c r="F985" s="3" t="inlineStr">
        <is>
          <t>Phone/WhatsApp</t>
        </is>
      </c>
      <c r="G985" s="3" t="inlineStr">
        <is>
          <t>New</t>
        </is>
      </c>
      <c r="H985" s="3" t="n">
        <v>3</v>
      </c>
      <c r="I985" s="8" t="n">
        <v>180</v>
      </c>
      <c r="J985" s="8" t="n">
        <v>108.13</v>
      </c>
      <c r="K985" s="9" t="n">
        <v>0.1</v>
      </c>
      <c r="L985" s="8" t="n">
        <v>15.19</v>
      </c>
      <c r="M985" s="8">
        <f>H985*I985*(1-K985)</f>
        <v/>
      </c>
      <c r="N985" s="8">
        <f>H985*J985</f>
        <v/>
      </c>
      <c r="O985" s="8">
        <f>M985-N985-L985</f>
        <v/>
      </c>
      <c r="P985" s="10">
        <f>IFERROR(O985/M985,0)</f>
        <v/>
      </c>
      <c r="Q985" s="3">
        <f>IF(H985&lt;=0,"Review: quantity &lt;= 0",IF(K985&gt;0.3,"Review: discount &gt; 30%",IF(G985="","Review: missing customer type","OK")))</f>
        <v/>
      </c>
    </row>
    <row r="986">
      <c r="A986" s="3" t="inlineStr">
        <is>
          <t>ORD-10985</t>
        </is>
      </c>
      <c r="B986" s="7" t="n">
        <v>45820</v>
      </c>
      <c r="C986" s="3" t="inlineStr">
        <is>
          <t>Footwear</t>
        </is>
      </c>
      <c r="D986" s="3" t="inlineStr">
        <is>
          <t>Formal Shoes</t>
        </is>
      </c>
      <c r="E986" s="3" t="inlineStr">
        <is>
          <t>Ashanti</t>
        </is>
      </c>
      <c r="F986" s="3" t="inlineStr">
        <is>
          <t>Online</t>
        </is>
      </c>
      <c r="G986" s="3" t="inlineStr">
        <is>
          <t>Returning</t>
        </is>
      </c>
      <c r="H986" s="3" t="n">
        <v>4</v>
      </c>
      <c r="I986" s="8" t="n">
        <v>270</v>
      </c>
      <c r="J986" s="8" t="n">
        <v>146.47</v>
      </c>
      <c r="K986" s="9" t="n">
        <v>0</v>
      </c>
      <c r="L986" s="8" t="n">
        <v>11.45</v>
      </c>
      <c r="M986" s="8">
        <f>H986*I986*(1-K986)</f>
        <v/>
      </c>
      <c r="N986" s="8">
        <f>H986*J986</f>
        <v/>
      </c>
      <c r="O986" s="8">
        <f>M986-N986-L986</f>
        <v/>
      </c>
      <c r="P986" s="10">
        <f>IFERROR(O986/M986,0)</f>
        <v/>
      </c>
      <c r="Q986" s="3">
        <f>IF(H986&lt;=0,"Review: quantity &lt;= 0",IF(K986&gt;0.3,"Review: discount &gt; 30%",IF(G986="","Review: missing customer type","OK")))</f>
        <v/>
      </c>
    </row>
    <row r="987">
      <c r="A987" s="3" t="inlineStr">
        <is>
          <t>ORD-10986</t>
        </is>
      </c>
      <c r="B987" s="7" t="n">
        <v>45805</v>
      </c>
      <c r="C987" s="3" t="inlineStr">
        <is>
          <t>Footwear</t>
        </is>
      </c>
      <c r="D987" s="3" t="inlineStr">
        <is>
          <t>Boots</t>
        </is>
      </c>
      <c r="E987" s="3" t="inlineStr">
        <is>
          <t>Northern</t>
        </is>
      </c>
      <c r="F987" s="3" t="inlineStr">
        <is>
          <t>Online</t>
        </is>
      </c>
      <c r="G987" s="3" t="inlineStr">
        <is>
          <t>New</t>
        </is>
      </c>
      <c r="H987" s="3" t="n">
        <v>1</v>
      </c>
      <c r="I987" s="8" t="n">
        <v>275</v>
      </c>
      <c r="J987" s="8" t="n">
        <v>173.43</v>
      </c>
      <c r="K987" s="9" t="n">
        <v>0</v>
      </c>
      <c r="L987" s="8" t="n">
        <v>39.27</v>
      </c>
      <c r="M987" s="8">
        <f>H987*I987*(1-K987)</f>
        <v/>
      </c>
      <c r="N987" s="8">
        <f>H987*J987</f>
        <v/>
      </c>
      <c r="O987" s="8">
        <f>M987-N987-L987</f>
        <v/>
      </c>
      <c r="P987" s="10">
        <f>IFERROR(O987/M987,0)</f>
        <v/>
      </c>
      <c r="Q987" s="3">
        <f>IF(H987&lt;=0,"Review: quantity &lt;= 0",IF(K987&gt;0.3,"Review: discount &gt; 30%",IF(G987="","Review: missing customer type","OK")))</f>
        <v/>
      </c>
    </row>
    <row r="988">
      <c r="A988" s="3" t="inlineStr">
        <is>
          <t>ORD-10987</t>
        </is>
      </c>
      <c r="B988" s="7" t="n">
        <v>45897</v>
      </c>
      <c r="C988" s="3" t="inlineStr">
        <is>
          <t>Footwear</t>
        </is>
      </c>
      <c r="D988" s="3" t="inlineStr">
        <is>
          <t>Boots</t>
        </is>
      </c>
      <c r="E988" s="3" t="inlineStr">
        <is>
          <t>Greater Accra</t>
        </is>
      </c>
      <c r="F988" s="3" t="inlineStr">
        <is>
          <t>Retail Shop</t>
        </is>
      </c>
      <c r="G988" s="3" t="inlineStr">
        <is>
          <t>New</t>
        </is>
      </c>
      <c r="H988" s="3" t="n">
        <v>1</v>
      </c>
      <c r="I988" s="8" t="n">
        <v>395</v>
      </c>
      <c r="J988" s="8" t="n">
        <v>218.43</v>
      </c>
      <c r="K988" s="9" t="n">
        <v>0.05</v>
      </c>
      <c r="L988" s="8" t="n">
        <v>9.109999999999999</v>
      </c>
      <c r="M988" s="8">
        <f>H988*I988*(1-K988)</f>
        <v/>
      </c>
      <c r="N988" s="8">
        <f>H988*J988</f>
        <v/>
      </c>
      <c r="O988" s="8">
        <f>M988-N988-L988</f>
        <v/>
      </c>
      <c r="P988" s="10">
        <f>IFERROR(O988/M988,0)</f>
        <v/>
      </c>
      <c r="Q988" s="3">
        <f>IF(H988&lt;=0,"Review: quantity &lt;= 0",IF(K988&gt;0.3,"Review: discount &gt; 30%",IF(G988="","Review: missing customer type","OK")))</f>
        <v/>
      </c>
    </row>
    <row r="989">
      <c r="A989" s="3" t="inlineStr">
        <is>
          <t>ORD-10988</t>
        </is>
      </c>
      <c r="B989" s="7" t="n">
        <v>45728</v>
      </c>
      <c r="C989" s="3" t="inlineStr">
        <is>
          <t>Footwear</t>
        </is>
      </c>
      <c r="D989" s="3" t="inlineStr">
        <is>
          <t>Boots</t>
        </is>
      </c>
      <c r="E989" s="3" t="inlineStr">
        <is>
          <t>Greater Accra</t>
        </is>
      </c>
      <c r="F989" s="3" t="inlineStr">
        <is>
          <t>Phone/WhatsApp</t>
        </is>
      </c>
      <c r="G989" s="3" t="inlineStr">
        <is>
          <t>Returning</t>
        </is>
      </c>
      <c r="H989" s="3" t="n">
        <v>3</v>
      </c>
      <c r="I989" s="8" t="n">
        <v>410</v>
      </c>
      <c r="J989" s="8" t="n">
        <v>216.92</v>
      </c>
      <c r="K989" s="9" t="n">
        <v>0</v>
      </c>
      <c r="L989" s="8" t="n">
        <v>23.04</v>
      </c>
      <c r="M989" s="8">
        <f>H989*I989*(1-K989)</f>
        <v/>
      </c>
      <c r="N989" s="8">
        <f>H989*J989</f>
        <v/>
      </c>
      <c r="O989" s="8">
        <f>M989-N989-L989</f>
        <v/>
      </c>
      <c r="P989" s="10">
        <f>IFERROR(O989/M989,0)</f>
        <v/>
      </c>
      <c r="Q989" s="3">
        <f>IF(H989&lt;=0,"Review: quantity &lt;= 0",IF(K989&gt;0.3,"Review: discount &gt; 30%",IF(G989="","Review: missing customer type","OK")))</f>
        <v/>
      </c>
    </row>
    <row r="990">
      <c r="A990" s="3" t="inlineStr">
        <is>
          <t>ORD-10989</t>
        </is>
      </c>
      <c r="B990" s="7" t="n">
        <v>45982</v>
      </c>
      <c r="C990" s="3" t="inlineStr">
        <is>
          <t>Clothing</t>
        </is>
      </c>
      <c r="D990" s="3" t="inlineStr">
        <is>
          <t>Trousers</t>
        </is>
      </c>
      <c r="E990" s="3" t="inlineStr">
        <is>
          <t>Ashanti</t>
        </is>
      </c>
      <c r="F990" s="3" t="inlineStr">
        <is>
          <t>Online</t>
        </is>
      </c>
      <c r="G990" s="3" t="inlineStr">
        <is>
          <t>Returning</t>
        </is>
      </c>
      <c r="H990" s="3" t="n">
        <v>2</v>
      </c>
      <c r="I990" s="8" t="n">
        <v>165</v>
      </c>
      <c r="J990" s="8" t="n">
        <v>88.86</v>
      </c>
      <c r="K990" s="9" t="n">
        <v>0.2</v>
      </c>
      <c r="L990" s="8" t="n">
        <v>23.86</v>
      </c>
      <c r="M990" s="8">
        <f>H990*I990*(1-K990)</f>
        <v/>
      </c>
      <c r="N990" s="8">
        <f>H990*J990</f>
        <v/>
      </c>
      <c r="O990" s="8">
        <f>M990-N990-L990</f>
        <v/>
      </c>
      <c r="P990" s="10">
        <f>IFERROR(O990/M990,0)</f>
        <v/>
      </c>
      <c r="Q990" s="3">
        <f>IF(H990&lt;=0,"Review: quantity &lt;= 0",IF(K990&gt;0.3,"Review: discount &gt; 30%",IF(G990="","Review: missing customer type","OK")))</f>
        <v/>
      </c>
    </row>
    <row r="991">
      <c r="A991" s="3" t="inlineStr">
        <is>
          <t>ORD-10990</t>
        </is>
      </c>
      <c r="B991" s="7" t="n">
        <v>45674</v>
      </c>
      <c r="C991" s="3" t="inlineStr">
        <is>
          <t>Home &amp; Lifestyle</t>
        </is>
      </c>
      <c r="D991" s="3" t="inlineStr">
        <is>
          <t>Travel Mugs</t>
        </is>
      </c>
      <c r="E991" s="3" t="inlineStr">
        <is>
          <t>Central</t>
        </is>
      </c>
      <c r="F991" s="3" t="inlineStr">
        <is>
          <t>Phone/WhatsApp</t>
        </is>
      </c>
      <c r="G991" s="3" t="inlineStr">
        <is>
          <t>New</t>
        </is>
      </c>
      <c r="H991" s="3" t="n">
        <v>4</v>
      </c>
      <c r="I991" s="8" t="n">
        <v>190</v>
      </c>
      <c r="J991" s="8" t="n">
        <v>114.67</v>
      </c>
      <c r="K991" s="9" t="n">
        <v>0.05</v>
      </c>
      <c r="L991" s="8" t="n">
        <v>33.08</v>
      </c>
      <c r="M991" s="8">
        <f>H991*I991*(1-K991)</f>
        <v/>
      </c>
      <c r="N991" s="8">
        <f>H991*J991</f>
        <v/>
      </c>
      <c r="O991" s="8">
        <f>M991-N991-L991</f>
        <v/>
      </c>
      <c r="P991" s="10">
        <f>IFERROR(O991/M991,0)</f>
        <v/>
      </c>
      <c r="Q991" s="3">
        <f>IF(H991&lt;=0,"Review: quantity &lt;= 0",IF(K991&gt;0.3,"Review: discount &gt; 30%",IF(G991="","Review: missing customer type","OK")))</f>
        <v/>
      </c>
    </row>
    <row r="992">
      <c r="A992" s="3" t="inlineStr">
        <is>
          <t>ORD-10991</t>
        </is>
      </c>
      <c r="B992" s="7" t="n">
        <v>45668</v>
      </c>
      <c r="C992" s="3" t="inlineStr">
        <is>
          <t>Clothing</t>
        </is>
      </c>
      <c r="D992" s="3" t="inlineStr">
        <is>
          <t>Dresses</t>
        </is>
      </c>
      <c r="E992" s="3" t="inlineStr">
        <is>
          <t>Western</t>
        </is>
      </c>
      <c r="F992" s="3" t="inlineStr">
        <is>
          <t>Online</t>
        </is>
      </c>
      <c r="G992" s="3" t="inlineStr">
        <is>
          <t>Returning</t>
        </is>
      </c>
      <c r="H992" s="3" t="n">
        <v>6</v>
      </c>
      <c r="I992" s="8" t="n">
        <v>85</v>
      </c>
      <c r="J992" s="8" t="n">
        <v>45.07</v>
      </c>
      <c r="K992" s="9" t="n">
        <v>0</v>
      </c>
      <c r="L992" s="8" t="n">
        <v>22.55</v>
      </c>
      <c r="M992" s="8">
        <f>H992*I992*(1-K992)</f>
        <v/>
      </c>
      <c r="N992" s="8">
        <f>H992*J992</f>
        <v/>
      </c>
      <c r="O992" s="8">
        <f>M992-N992-L992</f>
        <v/>
      </c>
      <c r="P992" s="10">
        <f>IFERROR(O992/M992,0)</f>
        <v/>
      </c>
      <c r="Q992" s="3">
        <f>IF(H992&lt;=0,"Review: quantity &lt;= 0",IF(K992&gt;0.3,"Review: discount &gt; 30%",IF(G992="","Review: missing customer type","OK")))</f>
        <v/>
      </c>
    </row>
    <row r="993">
      <c r="A993" s="3" t="inlineStr">
        <is>
          <t>ORD-10992</t>
        </is>
      </c>
      <c r="B993" s="7" t="n">
        <v>45776</v>
      </c>
      <c r="C993" s="3" t="inlineStr">
        <is>
          <t>Clothing</t>
        </is>
      </c>
      <c r="D993" s="3" t="inlineStr">
        <is>
          <t>Jackets</t>
        </is>
      </c>
      <c r="E993" s="3" t="inlineStr">
        <is>
          <t>Central</t>
        </is>
      </c>
      <c r="F993" s="3" t="inlineStr">
        <is>
          <t>Online</t>
        </is>
      </c>
      <c r="G993" s="3" t="inlineStr">
        <is>
          <t>Returning</t>
        </is>
      </c>
      <c r="H993" s="3" t="n">
        <v>4</v>
      </c>
      <c r="I993" s="8" t="n">
        <v>150</v>
      </c>
      <c r="J993" s="8" t="n">
        <v>80.95</v>
      </c>
      <c r="K993" s="9" t="n">
        <v>0.2</v>
      </c>
      <c r="L993" s="8" t="n">
        <v>29.66</v>
      </c>
      <c r="M993" s="8">
        <f>H993*I993*(1-K993)</f>
        <v/>
      </c>
      <c r="N993" s="8">
        <f>H993*J993</f>
        <v/>
      </c>
      <c r="O993" s="8">
        <f>M993-N993-L993</f>
        <v/>
      </c>
      <c r="P993" s="10">
        <f>IFERROR(O993/M993,0)</f>
        <v/>
      </c>
      <c r="Q993" s="3">
        <f>IF(H993&lt;=0,"Review: quantity &lt;= 0",IF(K993&gt;0.3,"Review: discount &gt; 30%",IF(G993="","Review: missing customer type","OK")))</f>
        <v/>
      </c>
    </row>
    <row r="994">
      <c r="A994" s="3" t="inlineStr">
        <is>
          <t>ORD-10993</t>
        </is>
      </c>
      <c r="B994" s="7" t="n">
        <v>45950</v>
      </c>
      <c r="C994" s="3" t="inlineStr">
        <is>
          <t>Footwear</t>
        </is>
      </c>
      <c r="D994" s="3" t="inlineStr">
        <is>
          <t>Boots</t>
        </is>
      </c>
      <c r="E994" s="3" t="inlineStr">
        <is>
          <t>Central</t>
        </is>
      </c>
      <c r="F994" s="3" t="inlineStr">
        <is>
          <t>Retail Shop</t>
        </is>
      </c>
      <c r="G994" s="3" t="inlineStr">
        <is>
          <t>New</t>
        </is>
      </c>
      <c r="H994" s="3" t="n">
        <v>1</v>
      </c>
      <c r="I994" s="8" t="n">
        <v>470</v>
      </c>
      <c r="J994" s="8" t="n">
        <v>269.23</v>
      </c>
      <c r="K994" s="9" t="n">
        <v>0.15</v>
      </c>
      <c r="L994" s="8" t="n">
        <v>0.62</v>
      </c>
      <c r="M994" s="8">
        <f>H994*I994*(1-K994)</f>
        <v/>
      </c>
      <c r="N994" s="8">
        <f>H994*J994</f>
        <v/>
      </c>
      <c r="O994" s="8">
        <f>M994-N994-L994</f>
        <v/>
      </c>
      <c r="P994" s="10">
        <f>IFERROR(O994/M994,0)</f>
        <v/>
      </c>
      <c r="Q994" s="3">
        <f>IF(H994&lt;=0,"Review: quantity &lt;= 0",IF(K994&gt;0.3,"Review: discount &gt; 30%",IF(G994="","Review: missing customer type","OK")))</f>
        <v/>
      </c>
    </row>
    <row r="995">
      <c r="A995" s="3" t="inlineStr">
        <is>
          <t>ORD-10994</t>
        </is>
      </c>
      <c r="B995" s="7" t="n">
        <v>45735</v>
      </c>
      <c r="C995" s="3" t="inlineStr">
        <is>
          <t>Home &amp; Lifestyle</t>
        </is>
      </c>
      <c r="D995" s="3" t="inlineStr">
        <is>
          <t>Backpacks</t>
        </is>
      </c>
      <c r="E995" s="3" t="inlineStr">
        <is>
          <t>Ashanti</t>
        </is>
      </c>
      <c r="F995" s="3" t="inlineStr">
        <is>
          <t>Online</t>
        </is>
      </c>
      <c r="G995" s="3" t="inlineStr">
        <is>
          <t>Returning</t>
        </is>
      </c>
      <c r="H995" s="3" t="n">
        <v>6</v>
      </c>
      <c r="I995" s="8" t="n">
        <v>130</v>
      </c>
      <c r="J995" s="8" t="n">
        <v>63.32</v>
      </c>
      <c r="K995" s="9" t="n">
        <v>0</v>
      </c>
      <c r="L995" s="8" t="n">
        <v>10.61</v>
      </c>
      <c r="M995" s="8">
        <f>H995*I995*(1-K995)</f>
        <v/>
      </c>
      <c r="N995" s="8">
        <f>H995*J995</f>
        <v/>
      </c>
      <c r="O995" s="8">
        <f>M995-N995-L995</f>
        <v/>
      </c>
      <c r="P995" s="10">
        <f>IFERROR(O995/M995,0)</f>
        <v/>
      </c>
      <c r="Q995" s="3">
        <f>IF(H995&lt;=0,"Review: quantity &lt;= 0",IF(K995&gt;0.3,"Review: discount &gt; 30%",IF(G995="","Review: missing customer type","OK")))</f>
        <v/>
      </c>
    </row>
    <row r="996">
      <c r="A996" s="3" t="inlineStr">
        <is>
          <t>ORD-10995</t>
        </is>
      </c>
      <c r="B996" s="7" t="n">
        <v>45832</v>
      </c>
      <c r="C996" s="3" t="inlineStr">
        <is>
          <t>Accessories</t>
        </is>
      </c>
      <c r="D996" s="3" t="inlineStr">
        <is>
          <t>Watches</t>
        </is>
      </c>
      <c r="E996" s="3" t="inlineStr">
        <is>
          <t>Central</t>
        </is>
      </c>
      <c r="F996" s="3" t="inlineStr">
        <is>
          <t>Retail Shop</t>
        </is>
      </c>
      <c r="G996" s="3" t="inlineStr">
        <is>
          <t>Returning</t>
        </is>
      </c>
      <c r="H996" s="3" t="n">
        <v>2</v>
      </c>
      <c r="I996" s="8" t="n">
        <v>120</v>
      </c>
      <c r="J996" s="8" t="n">
        <v>53.46</v>
      </c>
      <c r="K996" s="9" t="n">
        <v>0.05</v>
      </c>
      <c r="L996" s="8" t="n">
        <v>7.84</v>
      </c>
      <c r="M996" s="8">
        <f>H996*I996*(1-K996)</f>
        <v/>
      </c>
      <c r="N996" s="8">
        <f>H996*J996</f>
        <v/>
      </c>
      <c r="O996" s="8">
        <f>M996-N996-L996</f>
        <v/>
      </c>
      <c r="P996" s="10">
        <f>IFERROR(O996/M996,0)</f>
        <v/>
      </c>
      <c r="Q996" s="3">
        <f>IF(H996&lt;=0,"Review: quantity &lt;= 0",IF(K996&gt;0.3,"Review: discount &gt; 30%",IF(G996="","Review: missing customer type","OK")))</f>
        <v/>
      </c>
    </row>
    <row r="997">
      <c r="A997" s="3" t="inlineStr">
        <is>
          <t>ORD-10996</t>
        </is>
      </c>
      <c r="B997" s="7" t="n">
        <v>46006</v>
      </c>
      <c r="C997" s="3" t="inlineStr">
        <is>
          <t>Home &amp; Lifestyle</t>
        </is>
      </c>
      <c r="D997" s="3" t="inlineStr">
        <is>
          <t>Small Home Goods</t>
        </is>
      </c>
      <c r="E997" s="3" t="inlineStr">
        <is>
          <t>Greater Accra</t>
        </is>
      </c>
      <c r="F997" s="3" t="inlineStr">
        <is>
          <t>Phone/WhatsApp</t>
        </is>
      </c>
      <c r="G997" s="3" t="inlineStr">
        <is>
          <t>Returning</t>
        </is>
      </c>
      <c r="H997" s="3" t="n">
        <v>5</v>
      </c>
      <c r="I997" s="8" t="n">
        <v>185</v>
      </c>
      <c r="J997" s="8" t="n">
        <v>94.22</v>
      </c>
      <c r="K997" s="9" t="n">
        <v>0</v>
      </c>
      <c r="L997" s="8" t="n">
        <v>43.38</v>
      </c>
      <c r="M997" s="8">
        <f>H997*I997*(1-K997)</f>
        <v/>
      </c>
      <c r="N997" s="8">
        <f>H997*J997</f>
        <v/>
      </c>
      <c r="O997" s="8">
        <f>M997-N997-L997</f>
        <v/>
      </c>
      <c r="P997" s="10">
        <f>IFERROR(O997/M997,0)</f>
        <v/>
      </c>
      <c r="Q997" s="3">
        <f>IF(H997&lt;=0,"Review: quantity &lt;= 0",IF(K997&gt;0.3,"Review: discount &gt; 30%",IF(G997="","Review: missing customer type","OK")))</f>
        <v/>
      </c>
    </row>
    <row r="998">
      <c r="A998" s="3" t="inlineStr">
        <is>
          <t>ORD-10997</t>
        </is>
      </c>
      <c r="B998" s="7" t="n">
        <v>45912</v>
      </c>
      <c r="C998" s="3" t="inlineStr">
        <is>
          <t>Home &amp; Lifestyle</t>
        </is>
      </c>
      <c r="D998" s="3" t="inlineStr">
        <is>
          <t>Travel Mugs</t>
        </is>
      </c>
      <c r="E998" s="3" t="inlineStr">
        <is>
          <t>Central</t>
        </is>
      </c>
      <c r="F998" s="3" t="inlineStr">
        <is>
          <t>Retail Shop</t>
        </is>
      </c>
      <c r="G998" s="3" t="inlineStr">
        <is>
          <t>New</t>
        </is>
      </c>
      <c r="H998" s="3" t="n">
        <v>4</v>
      </c>
      <c r="I998" s="8" t="n">
        <v>95</v>
      </c>
      <c r="J998" s="8" t="n">
        <v>46.9</v>
      </c>
      <c r="K998" s="9" t="n">
        <v>0</v>
      </c>
      <c r="L998" s="8" t="n">
        <v>2.36</v>
      </c>
      <c r="M998" s="8">
        <f>H998*I998*(1-K998)</f>
        <v/>
      </c>
      <c r="N998" s="8">
        <f>H998*J998</f>
        <v/>
      </c>
      <c r="O998" s="8">
        <f>M998-N998-L998</f>
        <v/>
      </c>
      <c r="P998" s="10">
        <f>IFERROR(O998/M998,0)</f>
        <v/>
      </c>
      <c r="Q998" s="3">
        <f>IF(H998&lt;=0,"Review: quantity &lt;= 0",IF(K998&gt;0.3,"Review: discount &gt; 30%",IF(G998="","Review: missing customer type","OK")))</f>
        <v/>
      </c>
    </row>
    <row r="999">
      <c r="A999" s="3" t="inlineStr">
        <is>
          <t>ORD-10998</t>
        </is>
      </c>
      <c r="B999" s="7" t="n">
        <v>45860</v>
      </c>
      <c r="C999" s="3" t="inlineStr">
        <is>
          <t>Home &amp; Lifestyle</t>
        </is>
      </c>
      <c r="D999" s="3" t="inlineStr">
        <is>
          <t>Wallets</t>
        </is>
      </c>
      <c r="E999" s="3" t="inlineStr">
        <is>
          <t>Ashanti</t>
        </is>
      </c>
      <c r="F999" s="3" t="inlineStr">
        <is>
          <t>Phone/WhatsApp</t>
        </is>
      </c>
      <c r="G999" s="3" t="inlineStr">
        <is>
          <t>Returning</t>
        </is>
      </c>
      <c r="H999" s="3" t="n">
        <v>1</v>
      </c>
      <c r="I999" s="8" t="n">
        <v>280</v>
      </c>
      <c r="J999" s="8" t="n">
        <v>165.1</v>
      </c>
      <c r="K999" s="9" t="n">
        <v>0.2</v>
      </c>
      <c r="L999" s="8" t="n">
        <v>22.42</v>
      </c>
      <c r="M999" s="8">
        <f>H999*I999*(1-K999)</f>
        <v/>
      </c>
      <c r="N999" s="8">
        <f>H999*J999</f>
        <v/>
      </c>
      <c r="O999" s="8">
        <f>M999-N999-L999</f>
        <v/>
      </c>
      <c r="P999" s="10">
        <f>IFERROR(O999/M999,0)</f>
        <v/>
      </c>
      <c r="Q999" s="3">
        <f>IF(H999&lt;=0,"Review: quantity &lt;= 0",IF(K999&gt;0.3,"Review: discount &gt; 30%",IF(G999="","Review: missing customer type","OK")))</f>
        <v/>
      </c>
    </row>
    <row r="1000">
      <c r="A1000" s="3" t="inlineStr">
        <is>
          <t>ORD-10999</t>
        </is>
      </c>
      <c r="B1000" s="7" t="n">
        <v>45920</v>
      </c>
      <c r="C1000" s="3" t="inlineStr">
        <is>
          <t>Footwear</t>
        </is>
      </c>
      <c r="D1000" s="3" t="inlineStr">
        <is>
          <t>Sandals</t>
        </is>
      </c>
      <c r="E1000" s="3" t="inlineStr">
        <is>
          <t>Western</t>
        </is>
      </c>
      <c r="F1000" s="3" t="inlineStr">
        <is>
          <t>Retail Shop</t>
        </is>
      </c>
      <c r="G1000" s="3" t="inlineStr">
        <is>
          <t>Returning</t>
        </is>
      </c>
      <c r="H1000" s="3" t="n">
        <v>4</v>
      </c>
      <c r="I1000" s="8" t="n">
        <v>280</v>
      </c>
      <c r="J1000" s="8" t="n">
        <v>154.33</v>
      </c>
      <c r="K1000" s="9" t="n">
        <v>0</v>
      </c>
      <c r="L1000" s="8" t="n">
        <v>10.5</v>
      </c>
      <c r="M1000" s="8">
        <f>H1000*I1000*(1-K1000)</f>
        <v/>
      </c>
      <c r="N1000" s="8">
        <f>H1000*J1000</f>
        <v/>
      </c>
      <c r="O1000" s="8">
        <f>M1000-N1000-L1000</f>
        <v/>
      </c>
      <c r="P1000" s="10">
        <f>IFERROR(O1000/M1000,0)</f>
        <v/>
      </c>
      <c r="Q1000" s="3">
        <f>IF(H1000&lt;=0,"Review: quantity &lt;= 0",IF(K1000&gt;0.3,"Review: discount &gt; 30%",IF(G1000="","Review: missing customer type","OK")))</f>
        <v/>
      </c>
    </row>
    <row r="1001">
      <c r="A1001" s="3" t="inlineStr">
        <is>
          <t>ORD-11000</t>
        </is>
      </c>
      <c r="B1001" s="7" t="n">
        <v>45961</v>
      </c>
      <c r="C1001" s="3" t="inlineStr">
        <is>
          <t>Footwear</t>
        </is>
      </c>
      <c r="D1001" s="3" t="inlineStr">
        <is>
          <t>Sneakers</t>
        </is>
      </c>
      <c r="E1001" s="3" t="inlineStr">
        <is>
          <t>Ashanti</t>
        </is>
      </c>
      <c r="F1001" s="3" t="inlineStr">
        <is>
          <t>Retail Shop</t>
        </is>
      </c>
      <c r="G1001" s="3" t="inlineStr">
        <is>
          <t>Returning</t>
        </is>
      </c>
      <c r="H1001" s="3" t="n">
        <v>3</v>
      </c>
      <c r="I1001" s="8" t="n">
        <v>370</v>
      </c>
      <c r="J1001" s="8" t="n">
        <v>190.22</v>
      </c>
      <c r="K1001" s="9" t="n">
        <v>0</v>
      </c>
      <c r="L1001" s="8" t="n">
        <v>7.87</v>
      </c>
      <c r="M1001" s="8">
        <f>H1001*I1001*(1-K1001)</f>
        <v/>
      </c>
      <c r="N1001" s="8">
        <f>H1001*J1001</f>
        <v/>
      </c>
      <c r="O1001" s="8">
        <f>M1001-N1001-L1001</f>
        <v/>
      </c>
      <c r="P1001" s="10">
        <f>IFERROR(O1001/M1001,0)</f>
        <v/>
      </c>
      <c r="Q1001" s="3">
        <f>IF(H1001&lt;=0,"Review: quantity &lt;= 0",IF(K1001&gt;0.3,"Review: discount &gt; 30%",IF(G1001="","Review: missing customer type","OK")))</f>
        <v/>
      </c>
    </row>
    <row r="1002">
      <c r="A1002" s="3" t="inlineStr">
        <is>
          <t>ORD-11001</t>
        </is>
      </c>
      <c r="B1002" s="7" t="n">
        <v>45983</v>
      </c>
      <c r="C1002" s="3" t="inlineStr">
        <is>
          <t>Clothing</t>
        </is>
      </c>
      <c r="D1002" s="3" t="inlineStr">
        <is>
          <t>Jackets</t>
        </is>
      </c>
      <c r="E1002" s="3" t="inlineStr">
        <is>
          <t>Northern</t>
        </is>
      </c>
      <c r="F1002" s="3" t="inlineStr">
        <is>
          <t>Online</t>
        </is>
      </c>
      <c r="G1002" s="3" t="inlineStr">
        <is>
          <t>Returning</t>
        </is>
      </c>
      <c r="H1002" s="3" t="n">
        <v>1</v>
      </c>
      <c r="I1002" s="8" t="n">
        <v>280</v>
      </c>
      <c r="J1002" s="8" t="n">
        <v>132.72</v>
      </c>
      <c r="K1002" s="9" t="n">
        <v>0.1</v>
      </c>
      <c r="L1002" s="8" t="n">
        <v>17.89</v>
      </c>
      <c r="M1002" s="8">
        <f>H1002*I1002*(1-K1002)</f>
        <v/>
      </c>
      <c r="N1002" s="8">
        <f>H1002*J1002</f>
        <v/>
      </c>
      <c r="O1002" s="8">
        <f>M1002-N1002-L1002</f>
        <v/>
      </c>
      <c r="P1002" s="10">
        <f>IFERROR(O1002/M1002,0)</f>
        <v/>
      </c>
      <c r="Q1002" s="3">
        <f>IF(H1002&lt;=0,"Review: quantity &lt;= 0",IF(K1002&gt;0.3,"Review: discount &gt; 30%",IF(G1002="","Review: missing customer type","OK")))</f>
        <v/>
      </c>
    </row>
    <row r="1003">
      <c r="A1003" s="3" t="inlineStr">
        <is>
          <t>ORD-11002</t>
        </is>
      </c>
      <c r="B1003" s="7" t="n">
        <v>45711</v>
      </c>
      <c r="C1003" s="3" t="inlineStr">
        <is>
          <t>Accessories</t>
        </is>
      </c>
      <c r="D1003" s="3" t="inlineStr">
        <is>
          <t>Bags</t>
        </is>
      </c>
      <c r="E1003" s="3" t="inlineStr">
        <is>
          <t>Central</t>
        </is>
      </c>
      <c r="F1003" s="3" t="inlineStr">
        <is>
          <t>Retail Shop</t>
        </is>
      </c>
      <c r="G1003" s="3" t="inlineStr">
        <is>
          <t>New</t>
        </is>
      </c>
      <c r="H1003" s="3" t="n">
        <v>1</v>
      </c>
      <c r="I1003" s="8" t="n">
        <v>105</v>
      </c>
      <c r="J1003" s="8" t="n">
        <v>54.2</v>
      </c>
      <c r="K1003" s="9" t="n">
        <v>0.1</v>
      </c>
      <c r="L1003" s="8" t="n">
        <v>6.17</v>
      </c>
      <c r="M1003" s="8">
        <f>H1003*I1003*(1-K1003)</f>
        <v/>
      </c>
      <c r="N1003" s="8">
        <f>H1003*J1003</f>
        <v/>
      </c>
      <c r="O1003" s="8">
        <f>M1003-N1003-L1003</f>
        <v/>
      </c>
      <c r="P1003" s="10">
        <f>IFERROR(O1003/M1003,0)</f>
        <v/>
      </c>
      <c r="Q1003" s="3">
        <f>IF(H1003&lt;=0,"Review: quantity &lt;= 0",IF(K1003&gt;0.3,"Review: discount &gt; 30%",IF(G1003="","Review: missing customer type","OK")))</f>
        <v/>
      </c>
    </row>
    <row r="1004">
      <c r="A1004" s="3" t="inlineStr">
        <is>
          <t>ORD-11003</t>
        </is>
      </c>
      <c r="B1004" s="7" t="n">
        <v>45674</v>
      </c>
      <c r="C1004" s="3" t="inlineStr">
        <is>
          <t>Clothing</t>
        </is>
      </c>
      <c r="D1004" s="3" t="inlineStr">
        <is>
          <t>Trousers</t>
        </is>
      </c>
      <c r="E1004" s="3" t="inlineStr">
        <is>
          <t>Ashanti</t>
        </is>
      </c>
      <c r="F1004" s="3" t="inlineStr">
        <is>
          <t>Online</t>
        </is>
      </c>
      <c r="G1004" s="3" t="inlineStr">
        <is>
          <t>Returning</t>
        </is>
      </c>
      <c r="H1004" s="3" t="n">
        <v>1</v>
      </c>
      <c r="I1004" s="8" t="n">
        <v>95</v>
      </c>
      <c r="J1004" s="8" t="n">
        <v>53.86</v>
      </c>
      <c r="K1004" s="9" t="n">
        <v>0.05</v>
      </c>
      <c r="L1004" s="8" t="n">
        <v>42.34</v>
      </c>
      <c r="M1004" s="8">
        <f>H1004*I1004*(1-K1004)</f>
        <v/>
      </c>
      <c r="N1004" s="8">
        <f>H1004*J1004</f>
        <v/>
      </c>
      <c r="O1004" s="8">
        <f>M1004-N1004-L1004</f>
        <v/>
      </c>
      <c r="P1004" s="10">
        <f>IFERROR(O1004/M1004,0)</f>
        <v/>
      </c>
      <c r="Q1004" s="3">
        <f>IF(H1004&lt;=0,"Review: quantity &lt;= 0",IF(K1004&gt;0.3,"Review: discount &gt; 30%",IF(G1004="","Review: missing customer type","OK")))</f>
        <v/>
      </c>
    </row>
    <row r="1005">
      <c r="A1005" s="3" t="inlineStr">
        <is>
          <t>ORD-11004</t>
        </is>
      </c>
      <c r="B1005" s="7" t="n">
        <v>45848</v>
      </c>
      <c r="C1005" s="3" t="inlineStr">
        <is>
          <t>Clothing</t>
        </is>
      </c>
      <c r="D1005" s="3" t="inlineStr">
        <is>
          <t>Shirts</t>
        </is>
      </c>
      <c r="E1005" s="3" t="inlineStr">
        <is>
          <t>Western</t>
        </is>
      </c>
      <c r="F1005" s="3" t="inlineStr">
        <is>
          <t>Retail Shop</t>
        </is>
      </c>
      <c r="G1005" s="3" t="inlineStr">
        <is>
          <t>Returning</t>
        </is>
      </c>
      <c r="H1005" s="3" t="n">
        <v>4</v>
      </c>
      <c r="I1005" s="8" t="n">
        <v>75</v>
      </c>
      <c r="J1005" s="8" t="n">
        <v>41.33</v>
      </c>
      <c r="K1005" s="9" t="n">
        <v>0.1</v>
      </c>
      <c r="L1005" s="8" t="n">
        <v>0.39</v>
      </c>
      <c r="M1005" s="8">
        <f>H1005*I1005*(1-K1005)</f>
        <v/>
      </c>
      <c r="N1005" s="8">
        <f>H1005*J1005</f>
        <v/>
      </c>
      <c r="O1005" s="8">
        <f>M1005-N1005-L1005</f>
        <v/>
      </c>
      <c r="P1005" s="10">
        <f>IFERROR(O1005/M1005,0)</f>
        <v/>
      </c>
      <c r="Q1005" s="3">
        <f>IF(H1005&lt;=0,"Review: quantity &lt;= 0",IF(K1005&gt;0.3,"Review: discount &gt; 30%",IF(G1005="","Review: missing customer type","OK")))</f>
        <v/>
      </c>
    </row>
    <row r="1006">
      <c r="A1006" s="3" t="inlineStr">
        <is>
          <t>ORD-11005</t>
        </is>
      </c>
      <c r="B1006" s="7" t="n">
        <v>45861</v>
      </c>
      <c r="C1006" s="3" t="inlineStr">
        <is>
          <t>Accessories</t>
        </is>
      </c>
      <c r="D1006" s="3" t="inlineStr">
        <is>
          <t>Bags</t>
        </is>
      </c>
      <c r="E1006" s="3" t="inlineStr">
        <is>
          <t>Greater Accra</t>
        </is>
      </c>
      <c r="F1006" s="3" t="inlineStr">
        <is>
          <t>Retail Shop</t>
        </is>
      </c>
      <c r="G1006" s="3" t="inlineStr">
        <is>
          <t>Returning</t>
        </is>
      </c>
      <c r="H1006" s="3" t="n">
        <v>3</v>
      </c>
      <c r="I1006" s="8" t="n">
        <v>70</v>
      </c>
      <c r="J1006" s="8" t="n">
        <v>33.28</v>
      </c>
      <c r="K1006" s="9" t="n">
        <v>0.1</v>
      </c>
      <c r="L1006" s="8" t="n">
        <v>0.41</v>
      </c>
      <c r="M1006" s="8">
        <f>H1006*I1006*(1-K1006)</f>
        <v/>
      </c>
      <c r="N1006" s="8">
        <f>H1006*J1006</f>
        <v/>
      </c>
      <c r="O1006" s="8">
        <f>M1006-N1006-L1006</f>
        <v/>
      </c>
      <c r="P1006" s="10">
        <f>IFERROR(O1006/M1006,0)</f>
        <v/>
      </c>
      <c r="Q1006" s="3">
        <f>IF(H1006&lt;=0,"Review: quantity &lt;= 0",IF(K1006&gt;0.3,"Review: discount &gt; 30%",IF(G1006="","Review: missing customer type","OK")))</f>
        <v/>
      </c>
    </row>
    <row r="1007">
      <c r="A1007" s="3" t="inlineStr">
        <is>
          <t>ORD-11006</t>
        </is>
      </c>
      <c r="B1007" s="7" t="n">
        <v>45746</v>
      </c>
      <c r="C1007" s="3" t="inlineStr">
        <is>
          <t>Clothing</t>
        </is>
      </c>
      <c r="D1007" s="3" t="inlineStr">
        <is>
          <t>Trousers</t>
        </is>
      </c>
      <c r="E1007" s="3" t="inlineStr">
        <is>
          <t>Central</t>
        </is>
      </c>
      <c r="F1007" s="3" t="inlineStr">
        <is>
          <t>Online</t>
        </is>
      </c>
      <c r="G1007" s="3" t="inlineStr">
        <is>
          <t>New</t>
        </is>
      </c>
      <c r="H1007" s="3" t="n">
        <v>1</v>
      </c>
      <c r="I1007" s="8" t="n">
        <v>150</v>
      </c>
      <c r="J1007" s="8" t="n">
        <v>75.67</v>
      </c>
      <c r="K1007" s="9" t="n">
        <v>0</v>
      </c>
      <c r="L1007" s="8" t="n">
        <v>26.4</v>
      </c>
      <c r="M1007" s="8">
        <f>H1007*I1007*(1-K1007)</f>
        <v/>
      </c>
      <c r="N1007" s="8">
        <f>H1007*J1007</f>
        <v/>
      </c>
      <c r="O1007" s="8">
        <f>M1007-N1007-L1007</f>
        <v/>
      </c>
      <c r="P1007" s="10">
        <f>IFERROR(O1007/M1007,0)</f>
        <v/>
      </c>
      <c r="Q1007" s="3">
        <f>IF(H1007&lt;=0,"Review: quantity &lt;= 0",IF(K1007&gt;0.3,"Review: discount &gt; 30%",IF(G1007="","Review: missing customer type","OK")))</f>
        <v/>
      </c>
    </row>
    <row r="1008">
      <c r="A1008" s="3" t="inlineStr">
        <is>
          <t>ORD-11007</t>
        </is>
      </c>
      <c r="B1008" s="7" t="n">
        <v>45672</v>
      </c>
      <c r="C1008" s="3" t="inlineStr">
        <is>
          <t>Footwear</t>
        </is>
      </c>
      <c r="D1008" s="3" t="inlineStr">
        <is>
          <t>Boots</t>
        </is>
      </c>
      <c r="E1008" s="3" t="inlineStr">
        <is>
          <t>Central</t>
        </is>
      </c>
      <c r="F1008" s="3" t="inlineStr">
        <is>
          <t>Retail Shop</t>
        </is>
      </c>
      <c r="G1008" s="3" t="inlineStr">
        <is>
          <t>Returning</t>
        </is>
      </c>
      <c r="H1008" s="3" t="n">
        <v>1</v>
      </c>
      <c r="I1008" s="8" t="n">
        <v>210</v>
      </c>
      <c r="J1008" s="8" t="n">
        <v>121.52</v>
      </c>
      <c r="K1008" s="9" t="n">
        <v>0.15</v>
      </c>
      <c r="L1008" s="8" t="n">
        <v>0.57</v>
      </c>
      <c r="M1008" s="8">
        <f>H1008*I1008*(1-K1008)</f>
        <v/>
      </c>
      <c r="N1008" s="8">
        <f>H1008*J1008</f>
        <v/>
      </c>
      <c r="O1008" s="8">
        <f>M1008-N1008-L1008</f>
        <v/>
      </c>
      <c r="P1008" s="10">
        <f>IFERROR(O1008/M1008,0)</f>
        <v/>
      </c>
      <c r="Q1008" s="3">
        <f>IF(H1008&lt;=0,"Review: quantity &lt;= 0",IF(K1008&gt;0.3,"Review: discount &gt; 30%",IF(G1008="","Review: missing customer type","OK")))</f>
        <v/>
      </c>
    </row>
    <row r="1009">
      <c r="A1009" s="3" t="inlineStr">
        <is>
          <t>ORD-11008</t>
        </is>
      </c>
      <c r="B1009" s="7" t="n">
        <v>45998</v>
      </c>
      <c r="C1009" s="3" t="inlineStr">
        <is>
          <t>Clothing</t>
        </is>
      </c>
      <c r="D1009" s="3" t="inlineStr">
        <is>
          <t>Jackets</t>
        </is>
      </c>
      <c r="E1009" s="3" t="inlineStr">
        <is>
          <t>Greater Accra</t>
        </is>
      </c>
      <c r="F1009" s="3" t="inlineStr">
        <is>
          <t>Online</t>
        </is>
      </c>
      <c r="G1009" s="3" t="inlineStr">
        <is>
          <t>Returning</t>
        </is>
      </c>
      <c r="H1009" s="3" t="n">
        <v>1</v>
      </c>
      <c r="I1009" s="8" t="n">
        <v>125</v>
      </c>
      <c r="J1009" s="8" t="n">
        <v>68.05</v>
      </c>
      <c r="K1009" s="9" t="n">
        <v>0</v>
      </c>
      <c r="L1009" s="8" t="n">
        <v>36.69</v>
      </c>
      <c r="M1009" s="8">
        <f>H1009*I1009*(1-K1009)</f>
        <v/>
      </c>
      <c r="N1009" s="8">
        <f>H1009*J1009</f>
        <v/>
      </c>
      <c r="O1009" s="8">
        <f>M1009-N1009-L1009</f>
        <v/>
      </c>
      <c r="P1009" s="10">
        <f>IFERROR(O1009/M1009,0)</f>
        <v/>
      </c>
      <c r="Q1009" s="3">
        <f>IF(H1009&lt;=0,"Review: quantity &lt;= 0",IF(K1009&gt;0.3,"Review: discount &gt; 30%",IF(G1009="","Review: missing customer type","OK")))</f>
        <v/>
      </c>
    </row>
    <row r="1010">
      <c r="A1010" s="3" t="inlineStr">
        <is>
          <t>ORD-11009</t>
        </is>
      </c>
      <c r="B1010" s="7" t="n">
        <v>45869</v>
      </c>
      <c r="C1010" s="3" t="inlineStr">
        <is>
          <t>Clothing</t>
        </is>
      </c>
      <c r="D1010" s="3" t="inlineStr">
        <is>
          <t>Jackets</t>
        </is>
      </c>
      <c r="E1010" s="3" t="inlineStr">
        <is>
          <t>Greater Accra</t>
        </is>
      </c>
      <c r="F1010" s="3" t="inlineStr">
        <is>
          <t>Online</t>
        </is>
      </c>
      <c r="G1010" s="3" t="inlineStr">
        <is>
          <t>Returning</t>
        </is>
      </c>
      <c r="H1010" s="3" t="n">
        <v>3</v>
      </c>
      <c r="I1010" s="8" t="n">
        <v>195</v>
      </c>
      <c r="J1010" s="8" t="n">
        <v>102.61</v>
      </c>
      <c r="K1010" s="9" t="n">
        <v>0.05</v>
      </c>
      <c r="L1010" s="8" t="n">
        <v>44.92</v>
      </c>
      <c r="M1010" s="8">
        <f>H1010*I1010*(1-K1010)</f>
        <v/>
      </c>
      <c r="N1010" s="8">
        <f>H1010*J1010</f>
        <v/>
      </c>
      <c r="O1010" s="8">
        <f>M1010-N1010-L1010</f>
        <v/>
      </c>
      <c r="P1010" s="10">
        <f>IFERROR(O1010/M1010,0)</f>
        <v/>
      </c>
      <c r="Q1010" s="3">
        <f>IF(H1010&lt;=0,"Review: quantity &lt;= 0",IF(K1010&gt;0.3,"Review: discount &gt; 30%",IF(G1010="","Review: missing customer type","OK")))</f>
        <v/>
      </c>
    </row>
    <row r="1011">
      <c r="A1011" s="3" t="inlineStr">
        <is>
          <t>ORD-11010</t>
        </is>
      </c>
      <c r="B1011" s="7" t="n">
        <v>45979</v>
      </c>
      <c r="C1011" s="3" t="inlineStr">
        <is>
          <t>Clothing</t>
        </is>
      </c>
      <c r="D1011" s="3" t="inlineStr">
        <is>
          <t>Jackets</t>
        </is>
      </c>
      <c r="E1011" s="3" t="inlineStr">
        <is>
          <t>Western</t>
        </is>
      </c>
      <c r="F1011" s="3" t="inlineStr">
        <is>
          <t>Retail Shop</t>
        </is>
      </c>
      <c r="G1011" s="3" t="inlineStr">
        <is>
          <t>New</t>
        </is>
      </c>
      <c r="H1011" s="3" t="n">
        <v>1</v>
      </c>
      <c r="I1011" s="8" t="n">
        <v>220</v>
      </c>
      <c r="J1011" s="8" t="n">
        <v>110.98</v>
      </c>
      <c r="K1011" s="9" t="n">
        <v>0.05</v>
      </c>
      <c r="L1011" s="8" t="n">
        <v>2.08</v>
      </c>
      <c r="M1011" s="8">
        <f>H1011*I1011*(1-K1011)</f>
        <v/>
      </c>
      <c r="N1011" s="8">
        <f>H1011*J1011</f>
        <v/>
      </c>
      <c r="O1011" s="8">
        <f>M1011-N1011-L1011</f>
        <v/>
      </c>
      <c r="P1011" s="10">
        <f>IFERROR(O1011/M1011,0)</f>
        <v/>
      </c>
      <c r="Q1011" s="3">
        <f>IF(H1011&lt;=0,"Review: quantity &lt;= 0",IF(K1011&gt;0.3,"Review: discount &gt; 30%",IF(G1011="","Review: missing customer type","OK")))</f>
        <v/>
      </c>
    </row>
    <row r="1012">
      <c r="A1012" s="3" t="inlineStr">
        <is>
          <t>ORD-11011</t>
        </is>
      </c>
      <c r="B1012" s="7" t="n">
        <v>45810</v>
      </c>
      <c r="C1012" s="3" t="inlineStr">
        <is>
          <t>Clothing</t>
        </is>
      </c>
      <c r="D1012" s="3" t="inlineStr">
        <is>
          <t>Shirts</t>
        </is>
      </c>
      <c r="E1012" s="3" t="inlineStr">
        <is>
          <t>Central</t>
        </is>
      </c>
      <c r="F1012" s="3" t="inlineStr">
        <is>
          <t>Phone/WhatsApp</t>
        </is>
      </c>
      <c r="G1012" s="3" t="inlineStr">
        <is>
          <t>New</t>
        </is>
      </c>
      <c r="H1012" s="3" t="n">
        <v>1</v>
      </c>
      <c r="I1012" s="8" t="n">
        <v>255</v>
      </c>
      <c r="J1012" s="8" t="n">
        <v>145</v>
      </c>
      <c r="K1012" s="9" t="n">
        <v>0.1</v>
      </c>
      <c r="L1012" s="8" t="n">
        <v>32.62</v>
      </c>
      <c r="M1012" s="8">
        <f>H1012*I1012*(1-K1012)</f>
        <v/>
      </c>
      <c r="N1012" s="8">
        <f>H1012*J1012</f>
        <v/>
      </c>
      <c r="O1012" s="8">
        <f>M1012-N1012-L1012</f>
        <v/>
      </c>
      <c r="P1012" s="10">
        <f>IFERROR(O1012/M1012,0)</f>
        <v/>
      </c>
      <c r="Q1012" s="3">
        <f>IF(H1012&lt;=0,"Review: quantity &lt;= 0",IF(K1012&gt;0.3,"Review: discount &gt; 30%",IF(G1012="","Review: missing customer type","OK")))</f>
        <v/>
      </c>
    </row>
    <row r="1013">
      <c r="A1013" s="3" t="inlineStr">
        <is>
          <t>ORD-11012</t>
        </is>
      </c>
      <c r="B1013" s="7" t="n">
        <v>45956</v>
      </c>
      <c r="C1013" s="3" t="inlineStr">
        <is>
          <t>Footwear</t>
        </is>
      </c>
      <c r="D1013" s="3" t="inlineStr">
        <is>
          <t>Formal Shoes</t>
        </is>
      </c>
      <c r="E1013" s="3" t="inlineStr">
        <is>
          <t>Greater Accra</t>
        </is>
      </c>
      <c r="F1013" s="3" t="inlineStr">
        <is>
          <t>Retail Shop</t>
        </is>
      </c>
      <c r="G1013" s="3" t="inlineStr">
        <is>
          <t>Returning</t>
        </is>
      </c>
      <c r="H1013" s="3" t="n">
        <v>5</v>
      </c>
      <c r="I1013" s="8" t="n">
        <v>270</v>
      </c>
      <c r="J1013" s="8" t="n">
        <v>139.12</v>
      </c>
      <c r="K1013" s="9" t="n">
        <v>0</v>
      </c>
      <c r="L1013" s="8" t="n">
        <v>10.03</v>
      </c>
      <c r="M1013" s="8">
        <f>H1013*I1013*(1-K1013)</f>
        <v/>
      </c>
      <c r="N1013" s="8">
        <f>H1013*J1013</f>
        <v/>
      </c>
      <c r="O1013" s="8">
        <f>M1013-N1013-L1013</f>
        <v/>
      </c>
      <c r="P1013" s="10">
        <f>IFERROR(O1013/M1013,0)</f>
        <v/>
      </c>
      <c r="Q1013" s="3">
        <f>IF(H1013&lt;=0,"Review: quantity &lt;= 0",IF(K1013&gt;0.3,"Review: discount &gt; 30%",IF(G1013="","Review: missing customer type","OK")))</f>
        <v/>
      </c>
    </row>
    <row r="1014">
      <c r="A1014" s="3" t="inlineStr">
        <is>
          <t>ORD-11013</t>
        </is>
      </c>
      <c r="B1014" s="7" t="n">
        <v>45769</v>
      </c>
      <c r="C1014" s="3" t="inlineStr">
        <is>
          <t>Home &amp; Lifestyle</t>
        </is>
      </c>
      <c r="D1014" s="3" t="inlineStr">
        <is>
          <t>Backpacks</t>
        </is>
      </c>
      <c r="E1014" s="3" t="inlineStr">
        <is>
          <t>Central</t>
        </is>
      </c>
      <c r="F1014" s="3" t="inlineStr">
        <is>
          <t>Online</t>
        </is>
      </c>
      <c r="G1014" s="3" t="inlineStr">
        <is>
          <t>Returning</t>
        </is>
      </c>
      <c r="H1014" s="3" t="n">
        <v>2</v>
      </c>
      <c r="I1014" s="8" t="n">
        <v>175</v>
      </c>
      <c r="J1014" s="8" t="n">
        <v>107.74</v>
      </c>
      <c r="K1014" s="9" t="n">
        <v>0.05</v>
      </c>
      <c r="L1014" s="8" t="n">
        <v>29.53</v>
      </c>
      <c r="M1014" s="8">
        <f>H1014*I1014*(1-K1014)</f>
        <v/>
      </c>
      <c r="N1014" s="8">
        <f>H1014*J1014</f>
        <v/>
      </c>
      <c r="O1014" s="8">
        <f>M1014-N1014-L1014</f>
        <v/>
      </c>
      <c r="P1014" s="10">
        <f>IFERROR(O1014/M1014,0)</f>
        <v/>
      </c>
      <c r="Q1014" s="3">
        <f>IF(H1014&lt;=0,"Review: quantity &lt;= 0",IF(K1014&gt;0.3,"Review: discount &gt; 30%",IF(G1014="","Review: missing customer type","OK")))</f>
        <v/>
      </c>
    </row>
    <row r="1015">
      <c r="A1015" s="3" t="inlineStr">
        <is>
          <t>ORD-11014</t>
        </is>
      </c>
      <c r="B1015" s="7" t="n">
        <v>45674</v>
      </c>
      <c r="C1015" s="3" t="inlineStr">
        <is>
          <t>Clothing</t>
        </is>
      </c>
      <c r="D1015" s="3" t="inlineStr">
        <is>
          <t>Jackets</t>
        </is>
      </c>
      <c r="E1015" s="3" t="inlineStr">
        <is>
          <t>Ashanti</t>
        </is>
      </c>
      <c r="F1015" s="3" t="inlineStr">
        <is>
          <t>Retail Shop</t>
        </is>
      </c>
      <c r="G1015" s="3" t="inlineStr">
        <is>
          <t>New</t>
        </is>
      </c>
      <c r="H1015" s="3" t="n">
        <v>3</v>
      </c>
      <c r="I1015" s="8" t="n">
        <v>175</v>
      </c>
      <c r="J1015" s="8" t="n">
        <v>98.47</v>
      </c>
      <c r="K1015" s="9" t="n">
        <v>0</v>
      </c>
      <c r="L1015" s="8" t="n">
        <v>10.54</v>
      </c>
      <c r="M1015" s="8">
        <f>H1015*I1015*(1-K1015)</f>
        <v/>
      </c>
      <c r="N1015" s="8">
        <f>H1015*J1015</f>
        <v/>
      </c>
      <c r="O1015" s="8">
        <f>M1015-N1015-L1015</f>
        <v/>
      </c>
      <c r="P1015" s="10">
        <f>IFERROR(O1015/M1015,0)</f>
        <v/>
      </c>
      <c r="Q1015" s="3">
        <f>IF(H1015&lt;=0,"Review: quantity &lt;= 0",IF(K1015&gt;0.3,"Review: discount &gt; 30%",IF(G1015="","Review: missing customer type","OK")))</f>
        <v/>
      </c>
    </row>
    <row r="1016">
      <c r="A1016" s="3" t="inlineStr">
        <is>
          <t>ORD-11015</t>
        </is>
      </c>
      <c r="B1016" s="7" t="n">
        <v>45871</v>
      </c>
      <c r="C1016" s="3" t="inlineStr">
        <is>
          <t>Clothing</t>
        </is>
      </c>
      <c r="D1016" s="3" t="inlineStr">
        <is>
          <t>Jackets</t>
        </is>
      </c>
      <c r="E1016" s="3" t="inlineStr">
        <is>
          <t>Western</t>
        </is>
      </c>
      <c r="F1016" s="3" t="inlineStr">
        <is>
          <t>Online</t>
        </is>
      </c>
      <c r="G1016" s="3" t="inlineStr">
        <is>
          <t>Returning</t>
        </is>
      </c>
      <c r="H1016" s="3" t="n">
        <v>1</v>
      </c>
      <c r="I1016" s="8" t="n">
        <v>105</v>
      </c>
      <c r="J1016" s="8" t="n">
        <v>49.52</v>
      </c>
      <c r="K1016" s="9" t="n">
        <v>0.05</v>
      </c>
      <c r="L1016" s="8" t="n">
        <v>19.83</v>
      </c>
      <c r="M1016" s="8">
        <f>H1016*I1016*(1-K1016)</f>
        <v/>
      </c>
      <c r="N1016" s="8">
        <f>H1016*J1016</f>
        <v/>
      </c>
      <c r="O1016" s="8">
        <f>M1016-N1016-L1016</f>
        <v/>
      </c>
      <c r="P1016" s="10">
        <f>IFERROR(O1016/M1016,0)</f>
        <v/>
      </c>
      <c r="Q1016" s="3">
        <f>IF(H1016&lt;=0,"Review: quantity &lt;= 0",IF(K1016&gt;0.3,"Review: discount &gt; 30%",IF(G1016="","Review: missing customer type","OK")))</f>
        <v/>
      </c>
    </row>
    <row r="1017">
      <c r="A1017" s="3" t="inlineStr">
        <is>
          <t>ORD-11016</t>
        </is>
      </c>
      <c r="B1017" s="7" t="n">
        <v>45855</v>
      </c>
      <c r="C1017" s="3" t="inlineStr">
        <is>
          <t>Clothing</t>
        </is>
      </c>
      <c r="D1017" s="3" t="inlineStr">
        <is>
          <t>Jackets</t>
        </is>
      </c>
      <c r="E1017" s="3" t="inlineStr">
        <is>
          <t>Ashanti</t>
        </is>
      </c>
      <c r="F1017" s="3" t="inlineStr">
        <is>
          <t>Online</t>
        </is>
      </c>
      <c r="G1017" s="3" t="inlineStr">
        <is>
          <t>Returning</t>
        </is>
      </c>
      <c r="H1017" s="3" t="n">
        <v>1</v>
      </c>
      <c r="I1017" s="8" t="n">
        <v>165</v>
      </c>
      <c r="J1017" s="8" t="n">
        <v>90.98999999999999</v>
      </c>
      <c r="K1017" s="9" t="n">
        <v>0.05</v>
      </c>
      <c r="L1017" s="8" t="n">
        <v>13.39</v>
      </c>
      <c r="M1017" s="8">
        <f>H1017*I1017*(1-K1017)</f>
        <v/>
      </c>
      <c r="N1017" s="8">
        <f>H1017*J1017</f>
        <v/>
      </c>
      <c r="O1017" s="8">
        <f>M1017-N1017-L1017</f>
        <v/>
      </c>
      <c r="P1017" s="10">
        <f>IFERROR(O1017/M1017,0)</f>
        <v/>
      </c>
      <c r="Q1017" s="3">
        <f>IF(H1017&lt;=0,"Review: quantity &lt;= 0",IF(K1017&gt;0.3,"Review: discount &gt; 30%",IF(G1017="","Review: missing customer type","OK")))</f>
        <v/>
      </c>
    </row>
    <row r="1018">
      <c r="A1018" s="3" t="inlineStr">
        <is>
          <t>ORD-11017</t>
        </is>
      </c>
      <c r="B1018" s="7" t="n">
        <v>45695</v>
      </c>
      <c r="C1018" s="3" t="inlineStr">
        <is>
          <t>Home &amp; Lifestyle</t>
        </is>
      </c>
      <c r="D1018" s="3" t="inlineStr">
        <is>
          <t>Backpacks</t>
        </is>
      </c>
      <c r="E1018" s="3" t="inlineStr">
        <is>
          <t>Western</t>
        </is>
      </c>
      <c r="F1018" s="3" t="inlineStr">
        <is>
          <t>Retail Shop</t>
        </is>
      </c>
      <c r="G1018" s="3" t="inlineStr">
        <is>
          <t>New</t>
        </is>
      </c>
      <c r="H1018" s="3" t="n">
        <v>1</v>
      </c>
      <c r="I1018" s="8" t="n">
        <v>195</v>
      </c>
      <c r="J1018" s="8" t="n">
        <v>99.14</v>
      </c>
      <c r="K1018" s="9" t="n">
        <v>0.15</v>
      </c>
      <c r="L1018" s="8" t="n">
        <v>6.44</v>
      </c>
      <c r="M1018" s="8">
        <f>H1018*I1018*(1-K1018)</f>
        <v/>
      </c>
      <c r="N1018" s="8">
        <f>H1018*J1018</f>
        <v/>
      </c>
      <c r="O1018" s="8">
        <f>M1018-N1018-L1018</f>
        <v/>
      </c>
      <c r="P1018" s="10">
        <f>IFERROR(O1018/M1018,0)</f>
        <v/>
      </c>
      <c r="Q1018" s="3">
        <f>IF(H1018&lt;=0,"Review: quantity &lt;= 0",IF(K1018&gt;0.3,"Review: discount &gt; 30%",IF(G1018="","Review: missing customer type","OK")))</f>
        <v/>
      </c>
    </row>
    <row r="1019">
      <c r="A1019" s="3" t="inlineStr">
        <is>
          <t>ORD-11018</t>
        </is>
      </c>
      <c r="B1019" s="7" t="n">
        <v>45947</v>
      </c>
      <c r="C1019" s="3" t="inlineStr">
        <is>
          <t>Accessories</t>
        </is>
      </c>
      <c r="D1019" s="3" t="inlineStr">
        <is>
          <t>Watches</t>
        </is>
      </c>
      <c r="E1019" s="3" t="inlineStr">
        <is>
          <t>Western</t>
        </is>
      </c>
      <c r="F1019" s="3" t="inlineStr">
        <is>
          <t>Retail Shop</t>
        </is>
      </c>
      <c r="G1019" s="3" t="inlineStr">
        <is>
          <t>New</t>
        </is>
      </c>
      <c r="H1019" s="3" t="n">
        <v>5</v>
      </c>
      <c r="I1019" s="8" t="n">
        <v>195</v>
      </c>
      <c r="J1019" s="8" t="n">
        <v>84.8</v>
      </c>
      <c r="K1019" s="9" t="n">
        <v>0</v>
      </c>
      <c r="L1019" s="8" t="n">
        <v>7.11</v>
      </c>
      <c r="M1019" s="8">
        <f>H1019*I1019*(1-K1019)</f>
        <v/>
      </c>
      <c r="N1019" s="8">
        <f>H1019*J1019</f>
        <v/>
      </c>
      <c r="O1019" s="8">
        <f>M1019-N1019-L1019</f>
        <v/>
      </c>
      <c r="P1019" s="10">
        <f>IFERROR(O1019/M1019,0)</f>
        <v/>
      </c>
      <c r="Q1019" s="3">
        <f>IF(H1019&lt;=0,"Review: quantity &lt;= 0",IF(K1019&gt;0.3,"Review: discount &gt; 30%",IF(G1019="","Review: missing customer type","OK")))</f>
        <v/>
      </c>
    </row>
    <row r="1020">
      <c r="A1020" s="3" t="inlineStr">
        <is>
          <t>ORD-11019</t>
        </is>
      </c>
      <c r="B1020" s="7" t="n">
        <v>45789</v>
      </c>
      <c r="C1020" s="3" t="inlineStr">
        <is>
          <t>Home &amp; Lifestyle</t>
        </is>
      </c>
      <c r="D1020" s="3" t="inlineStr">
        <is>
          <t>Backpacks</t>
        </is>
      </c>
      <c r="E1020" s="3" t="inlineStr">
        <is>
          <t>Central</t>
        </is>
      </c>
      <c r="F1020" s="3" t="inlineStr">
        <is>
          <t>Online</t>
        </is>
      </c>
      <c r="G1020" s="3" t="inlineStr">
        <is>
          <t>New</t>
        </is>
      </c>
      <c r="H1020" s="3" t="n">
        <v>2</v>
      </c>
      <c r="I1020" s="8" t="n">
        <v>105</v>
      </c>
      <c r="J1020" s="8" t="n">
        <v>52.07</v>
      </c>
      <c r="K1020" s="9" t="n">
        <v>0.1</v>
      </c>
      <c r="L1020" s="8" t="n">
        <v>39.44</v>
      </c>
      <c r="M1020" s="8">
        <f>H1020*I1020*(1-K1020)</f>
        <v/>
      </c>
      <c r="N1020" s="8">
        <f>H1020*J1020</f>
        <v/>
      </c>
      <c r="O1020" s="8">
        <f>M1020-N1020-L1020</f>
        <v/>
      </c>
      <c r="P1020" s="10">
        <f>IFERROR(O1020/M1020,0)</f>
        <v/>
      </c>
      <c r="Q1020" s="3">
        <f>IF(H1020&lt;=0,"Review: quantity &lt;= 0",IF(K1020&gt;0.3,"Review: discount &gt; 30%",IF(G1020="","Review: missing customer type","OK")))</f>
        <v/>
      </c>
    </row>
    <row r="1021">
      <c r="A1021" s="3" t="inlineStr">
        <is>
          <t>ORD-11020</t>
        </is>
      </c>
      <c r="B1021" s="7" t="n">
        <v>46022</v>
      </c>
      <c r="C1021" s="3" t="inlineStr">
        <is>
          <t>Home &amp; Lifestyle</t>
        </is>
      </c>
      <c r="D1021" s="3" t="inlineStr">
        <is>
          <t>Travel Mugs</t>
        </is>
      </c>
      <c r="E1021" s="3" t="inlineStr">
        <is>
          <t>Ashanti</t>
        </is>
      </c>
      <c r="F1021" s="3" t="inlineStr">
        <is>
          <t>Retail Shop</t>
        </is>
      </c>
      <c r="G1021" s="3" t="inlineStr">
        <is>
          <t>Returning</t>
        </is>
      </c>
      <c r="H1021" s="3" t="n">
        <v>3</v>
      </c>
      <c r="I1021" s="8" t="n">
        <v>65</v>
      </c>
      <c r="J1021" s="8" t="n">
        <v>32.07</v>
      </c>
      <c r="K1021" s="9" t="n">
        <v>0.2</v>
      </c>
      <c r="L1021" s="8" t="n">
        <v>8.84</v>
      </c>
      <c r="M1021" s="8">
        <f>H1021*I1021*(1-K1021)</f>
        <v/>
      </c>
      <c r="N1021" s="8">
        <f>H1021*J1021</f>
        <v/>
      </c>
      <c r="O1021" s="8">
        <f>M1021-N1021-L1021</f>
        <v/>
      </c>
      <c r="P1021" s="10">
        <f>IFERROR(O1021/M1021,0)</f>
        <v/>
      </c>
      <c r="Q1021" s="3">
        <f>IF(H1021&lt;=0,"Review: quantity &lt;= 0",IF(K1021&gt;0.3,"Review: discount &gt; 30%",IF(G1021="","Review: missing customer type","OK")))</f>
        <v/>
      </c>
    </row>
    <row r="1022">
      <c r="A1022" s="3" t="inlineStr">
        <is>
          <t>ORD-11021</t>
        </is>
      </c>
      <c r="B1022" s="7" t="n">
        <v>45803</v>
      </c>
      <c r="C1022" s="3" t="inlineStr">
        <is>
          <t>Clothing</t>
        </is>
      </c>
      <c r="D1022" s="3" t="inlineStr">
        <is>
          <t>Jackets</t>
        </is>
      </c>
      <c r="E1022" s="3" t="inlineStr">
        <is>
          <t>Ashanti</t>
        </is>
      </c>
      <c r="F1022" s="3" t="inlineStr">
        <is>
          <t>Retail Shop</t>
        </is>
      </c>
      <c r="G1022" s="3" t="inlineStr">
        <is>
          <t>New</t>
        </is>
      </c>
      <c r="H1022" s="3" t="n">
        <v>1</v>
      </c>
      <c r="I1022" s="8" t="n">
        <v>135</v>
      </c>
      <c r="J1022" s="8" t="n">
        <v>65.13</v>
      </c>
      <c r="K1022" s="9" t="n">
        <v>0.1</v>
      </c>
      <c r="L1022" s="8" t="n">
        <v>5.11</v>
      </c>
      <c r="M1022" s="8">
        <f>H1022*I1022*(1-K1022)</f>
        <v/>
      </c>
      <c r="N1022" s="8">
        <f>H1022*J1022</f>
        <v/>
      </c>
      <c r="O1022" s="8">
        <f>M1022-N1022-L1022</f>
        <v/>
      </c>
      <c r="P1022" s="10">
        <f>IFERROR(O1022/M1022,0)</f>
        <v/>
      </c>
      <c r="Q1022" s="3">
        <f>IF(H1022&lt;=0,"Review: quantity &lt;= 0",IF(K1022&gt;0.3,"Review: discount &gt; 30%",IF(G1022="","Review: missing customer type","OK")))</f>
        <v/>
      </c>
    </row>
    <row r="1023">
      <c r="A1023" s="3" t="inlineStr">
        <is>
          <t>ORD-11022</t>
        </is>
      </c>
      <c r="B1023" s="7" t="n">
        <v>45837</v>
      </c>
      <c r="C1023" s="3" t="inlineStr">
        <is>
          <t>Clothing</t>
        </is>
      </c>
      <c r="D1023" s="3" t="inlineStr">
        <is>
          <t>Trousers</t>
        </is>
      </c>
      <c r="E1023" s="3" t="inlineStr">
        <is>
          <t>Greater Accra</t>
        </is>
      </c>
      <c r="F1023" s="3" t="inlineStr">
        <is>
          <t>Phone/WhatsApp</t>
        </is>
      </c>
      <c r="G1023" s="3" t="inlineStr">
        <is>
          <t>New</t>
        </is>
      </c>
      <c r="H1023" s="3" t="n">
        <v>2</v>
      </c>
      <c r="I1023" s="8" t="n">
        <v>150</v>
      </c>
      <c r="J1023" s="8" t="n">
        <v>79.20999999999999</v>
      </c>
      <c r="K1023" s="9" t="n">
        <v>0</v>
      </c>
      <c r="L1023" s="8" t="n">
        <v>25.05</v>
      </c>
      <c r="M1023" s="8">
        <f>H1023*I1023*(1-K1023)</f>
        <v/>
      </c>
      <c r="N1023" s="8">
        <f>H1023*J1023</f>
        <v/>
      </c>
      <c r="O1023" s="8">
        <f>M1023-N1023-L1023</f>
        <v/>
      </c>
      <c r="P1023" s="10">
        <f>IFERROR(O1023/M1023,0)</f>
        <v/>
      </c>
      <c r="Q1023" s="3">
        <f>IF(H1023&lt;=0,"Review: quantity &lt;= 0",IF(K1023&gt;0.3,"Review: discount &gt; 30%",IF(G1023="","Review: missing customer type","OK")))</f>
        <v/>
      </c>
    </row>
    <row r="1024">
      <c r="A1024" s="3" t="inlineStr">
        <is>
          <t>ORD-11023</t>
        </is>
      </c>
      <c r="B1024" s="7" t="n">
        <v>45711</v>
      </c>
      <c r="C1024" s="3" t="inlineStr">
        <is>
          <t>Footwear</t>
        </is>
      </c>
      <c r="D1024" s="3" t="inlineStr">
        <is>
          <t>Boots</t>
        </is>
      </c>
      <c r="E1024" s="3" t="inlineStr">
        <is>
          <t>Central</t>
        </is>
      </c>
      <c r="F1024" s="3" t="inlineStr">
        <is>
          <t>Online</t>
        </is>
      </c>
      <c r="G1024" s="3" t="inlineStr">
        <is>
          <t>New</t>
        </is>
      </c>
      <c r="H1024" s="3" t="n">
        <v>1</v>
      </c>
      <c r="I1024" s="8" t="n">
        <v>430</v>
      </c>
      <c r="J1024" s="8" t="n">
        <v>273.09</v>
      </c>
      <c r="K1024" s="9" t="n">
        <v>0.05</v>
      </c>
      <c r="L1024" s="8" t="n">
        <v>22.6</v>
      </c>
      <c r="M1024" s="8">
        <f>H1024*I1024*(1-K1024)</f>
        <v/>
      </c>
      <c r="N1024" s="8">
        <f>H1024*J1024</f>
        <v/>
      </c>
      <c r="O1024" s="8">
        <f>M1024-N1024-L1024</f>
        <v/>
      </c>
      <c r="P1024" s="10">
        <f>IFERROR(O1024/M1024,0)</f>
        <v/>
      </c>
      <c r="Q1024" s="3">
        <f>IF(H1024&lt;=0,"Review: quantity &lt;= 0",IF(K1024&gt;0.3,"Review: discount &gt; 30%",IF(G1024="","Review: missing customer type","OK")))</f>
        <v/>
      </c>
    </row>
    <row r="1025">
      <c r="A1025" s="3" t="inlineStr">
        <is>
          <t>ORD-11024</t>
        </is>
      </c>
      <c r="B1025" s="7" t="n">
        <v>45740</v>
      </c>
      <c r="C1025" s="3" t="inlineStr">
        <is>
          <t>Clothing</t>
        </is>
      </c>
      <c r="D1025" s="3" t="inlineStr">
        <is>
          <t>Shirts</t>
        </is>
      </c>
      <c r="E1025" s="3" t="inlineStr">
        <is>
          <t>Greater Accra</t>
        </is>
      </c>
      <c r="F1025" s="3" t="inlineStr">
        <is>
          <t>Phone/WhatsApp</t>
        </is>
      </c>
      <c r="G1025" s="3" t="inlineStr">
        <is>
          <t>Returning</t>
        </is>
      </c>
      <c r="H1025" s="3" t="n">
        <v>1</v>
      </c>
      <c r="I1025" s="8" t="n">
        <v>185</v>
      </c>
      <c r="J1025" s="8" t="n">
        <v>99.98999999999999</v>
      </c>
      <c r="K1025" s="9" t="n">
        <v>0.15</v>
      </c>
      <c r="L1025" s="8" t="n">
        <v>13.27</v>
      </c>
      <c r="M1025" s="8">
        <f>H1025*I1025*(1-K1025)</f>
        <v/>
      </c>
      <c r="N1025" s="8">
        <f>H1025*J1025</f>
        <v/>
      </c>
      <c r="O1025" s="8">
        <f>M1025-N1025-L1025</f>
        <v/>
      </c>
      <c r="P1025" s="10">
        <f>IFERROR(O1025/M1025,0)</f>
        <v/>
      </c>
      <c r="Q1025" s="3">
        <f>IF(H1025&lt;=0,"Review: quantity &lt;= 0",IF(K1025&gt;0.3,"Review: discount &gt; 30%",IF(G1025="","Review: missing customer type","OK")))</f>
        <v/>
      </c>
    </row>
    <row r="1026">
      <c r="A1026" s="3" t="inlineStr">
        <is>
          <t>ORD-11025</t>
        </is>
      </c>
      <c r="B1026" s="7" t="n">
        <v>45975</v>
      </c>
      <c r="C1026" s="3" t="inlineStr">
        <is>
          <t>Footwear</t>
        </is>
      </c>
      <c r="D1026" s="3" t="inlineStr">
        <is>
          <t>Sandals</t>
        </is>
      </c>
      <c r="E1026" s="3" t="inlineStr">
        <is>
          <t>Western</t>
        </is>
      </c>
      <c r="F1026" s="3" t="inlineStr">
        <is>
          <t>Online</t>
        </is>
      </c>
      <c r="G1026" s="3" t="inlineStr">
        <is>
          <t>New</t>
        </is>
      </c>
      <c r="H1026" s="3" t="n">
        <v>5</v>
      </c>
      <c r="I1026" s="8" t="n">
        <v>245</v>
      </c>
      <c r="J1026" s="8" t="n">
        <v>142.68</v>
      </c>
      <c r="K1026" s="9" t="n">
        <v>0.15</v>
      </c>
      <c r="L1026" s="8" t="n">
        <v>9.789999999999999</v>
      </c>
      <c r="M1026" s="8">
        <f>H1026*I1026*(1-K1026)</f>
        <v/>
      </c>
      <c r="N1026" s="8">
        <f>H1026*J1026</f>
        <v/>
      </c>
      <c r="O1026" s="8">
        <f>M1026-N1026-L1026</f>
        <v/>
      </c>
      <c r="P1026" s="10">
        <f>IFERROR(O1026/M1026,0)</f>
        <v/>
      </c>
      <c r="Q1026" s="3">
        <f>IF(H1026&lt;=0,"Review: quantity &lt;= 0",IF(K1026&gt;0.3,"Review: discount &gt; 30%",IF(G1026="","Review: missing customer type","OK")))</f>
        <v/>
      </c>
    </row>
    <row r="1027">
      <c r="A1027" s="3" t="inlineStr">
        <is>
          <t>ORD-11026</t>
        </is>
      </c>
      <c r="B1027" s="7" t="n">
        <v>45776</v>
      </c>
      <c r="C1027" s="3" t="inlineStr">
        <is>
          <t>Clothing</t>
        </is>
      </c>
      <c r="D1027" s="3" t="inlineStr">
        <is>
          <t>Dresses</t>
        </is>
      </c>
      <c r="E1027" s="3" t="inlineStr">
        <is>
          <t>Northern</t>
        </is>
      </c>
      <c r="F1027" s="3" t="inlineStr">
        <is>
          <t>Phone/WhatsApp</t>
        </is>
      </c>
      <c r="G1027" s="3" t="inlineStr">
        <is>
          <t>New</t>
        </is>
      </c>
      <c r="H1027" s="3" t="n">
        <v>3</v>
      </c>
      <c r="I1027" s="8" t="n">
        <v>270</v>
      </c>
      <c r="J1027" s="8" t="n">
        <v>152.21</v>
      </c>
      <c r="K1027" s="9" t="n">
        <v>0</v>
      </c>
      <c r="L1027" s="8" t="n">
        <v>40.37</v>
      </c>
      <c r="M1027" s="8">
        <f>H1027*I1027*(1-K1027)</f>
        <v/>
      </c>
      <c r="N1027" s="8">
        <f>H1027*J1027</f>
        <v/>
      </c>
      <c r="O1027" s="8">
        <f>M1027-N1027-L1027</f>
        <v/>
      </c>
      <c r="P1027" s="10">
        <f>IFERROR(O1027/M1027,0)</f>
        <v/>
      </c>
      <c r="Q1027" s="3">
        <f>IF(H1027&lt;=0,"Review: quantity &lt;= 0",IF(K1027&gt;0.3,"Review: discount &gt; 30%",IF(G1027="","Review: missing customer type","OK")))</f>
        <v/>
      </c>
    </row>
    <row r="1028">
      <c r="A1028" s="3" t="inlineStr">
        <is>
          <t>ORD-11027</t>
        </is>
      </c>
      <c r="B1028" s="7" t="n">
        <v>45970</v>
      </c>
      <c r="C1028" s="3" t="inlineStr">
        <is>
          <t>Accessories</t>
        </is>
      </c>
      <c r="D1028" s="3" t="inlineStr">
        <is>
          <t>Bags</t>
        </is>
      </c>
      <c r="E1028" s="3" t="inlineStr">
        <is>
          <t>Greater Accra</t>
        </is>
      </c>
      <c r="F1028" s="3" t="inlineStr">
        <is>
          <t>Online</t>
        </is>
      </c>
      <c r="G1028" s="3" t="inlineStr">
        <is>
          <t>Returning</t>
        </is>
      </c>
      <c r="H1028" s="3" t="n">
        <v>3</v>
      </c>
      <c r="I1028" s="8" t="n">
        <v>60</v>
      </c>
      <c r="J1028" s="8" t="n">
        <v>27.12</v>
      </c>
      <c r="K1028" s="9" t="n">
        <v>0.15</v>
      </c>
      <c r="L1028" s="8" t="n">
        <v>37.69</v>
      </c>
      <c r="M1028" s="8">
        <f>H1028*I1028*(1-K1028)</f>
        <v/>
      </c>
      <c r="N1028" s="8">
        <f>H1028*J1028</f>
        <v/>
      </c>
      <c r="O1028" s="8">
        <f>M1028-N1028-L1028</f>
        <v/>
      </c>
      <c r="P1028" s="10">
        <f>IFERROR(O1028/M1028,0)</f>
        <v/>
      </c>
      <c r="Q1028" s="3">
        <f>IF(H1028&lt;=0,"Review: quantity &lt;= 0",IF(K1028&gt;0.3,"Review: discount &gt; 30%",IF(G1028="","Review: missing customer type","OK")))</f>
        <v/>
      </c>
    </row>
    <row r="1029">
      <c r="A1029" s="3" t="inlineStr">
        <is>
          <t>ORD-11028</t>
        </is>
      </c>
      <c r="B1029" s="7" t="n">
        <v>46020</v>
      </c>
      <c r="C1029" s="3" t="inlineStr">
        <is>
          <t>Clothing</t>
        </is>
      </c>
      <c r="D1029" s="3" t="inlineStr">
        <is>
          <t>Jackets</t>
        </is>
      </c>
      <c r="E1029" s="3" t="inlineStr">
        <is>
          <t>Greater Accra</t>
        </is>
      </c>
      <c r="F1029" s="3" t="inlineStr">
        <is>
          <t>Online</t>
        </is>
      </c>
      <c r="G1029" s="3" t="inlineStr">
        <is>
          <t>Returning</t>
        </is>
      </c>
      <c r="H1029" s="3" t="n">
        <v>10</v>
      </c>
      <c r="I1029" s="8" t="n">
        <v>105</v>
      </c>
      <c r="J1029" s="8" t="n">
        <v>57.13</v>
      </c>
      <c r="K1029" s="9" t="n">
        <v>0.05</v>
      </c>
      <c r="L1029" s="8" t="n">
        <v>11.92</v>
      </c>
      <c r="M1029" s="8">
        <f>H1029*I1029*(1-K1029)</f>
        <v/>
      </c>
      <c r="N1029" s="8">
        <f>H1029*J1029</f>
        <v/>
      </c>
      <c r="O1029" s="8">
        <f>M1029-N1029-L1029</f>
        <v/>
      </c>
      <c r="P1029" s="10">
        <f>IFERROR(O1029/M1029,0)</f>
        <v/>
      </c>
      <c r="Q1029" s="3">
        <f>IF(H1029&lt;=0,"Review: quantity &lt;= 0",IF(K1029&gt;0.3,"Review: discount &gt; 30%",IF(G1029="","Review: missing customer type","OK")))</f>
        <v/>
      </c>
    </row>
    <row r="1030">
      <c r="A1030" s="3" t="inlineStr">
        <is>
          <t>ORD-11029</t>
        </is>
      </c>
      <c r="B1030" s="7" t="n">
        <v>45750</v>
      </c>
      <c r="C1030" s="3" t="inlineStr">
        <is>
          <t>Footwear</t>
        </is>
      </c>
      <c r="D1030" s="3" t="inlineStr">
        <is>
          <t>Sandals</t>
        </is>
      </c>
      <c r="E1030" s="3" t="inlineStr">
        <is>
          <t>Ashanti</t>
        </is>
      </c>
      <c r="F1030" s="3" t="inlineStr">
        <is>
          <t>Online</t>
        </is>
      </c>
      <c r="G1030" s="3" t="inlineStr">
        <is>
          <t>Returning</t>
        </is>
      </c>
      <c r="H1030" s="3" t="n">
        <v>1</v>
      </c>
      <c r="I1030" s="8" t="n">
        <v>85</v>
      </c>
      <c r="J1030" s="8" t="n">
        <v>49.29</v>
      </c>
      <c r="K1030" s="9" t="n">
        <v>0.15</v>
      </c>
      <c r="L1030" s="8" t="n">
        <v>14.98</v>
      </c>
      <c r="M1030" s="8">
        <f>H1030*I1030*(1-K1030)</f>
        <v/>
      </c>
      <c r="N1030" s="8">
        <f>H1030*J1030</f>
        <v/>
      </c>
      <c r="O1030" s="8">
        <f>M1030-N1030-L1030</f>
        <v/>
      </c>
      <c r="P1030" s="10">
        <f>IFERROR(O1030/M1030,0)</f>
        <v/>
      </c>
      <c r="Q1030" s="3">
        <f>IF(H1030&lt;=0,"Review: quantity &lt;= 0",IF(K1030&gt;0.3,"Review: discount &gt; 30%",IF(G1030="","Review: missing customer type","OK")))</f>
        <v/>
      </c>
    </row>
    <row r="1031">
      <c r="A1031" s="3" t="inlineStr">
        <is>
          <t>ORD-11030</t>
        </is>
      </c>
      <c r="B1031" s="7" t="n">
        <v>45776</v>
      </c>
      <c r="C1031" s="3" t="inlineStr">
        <is>
          <t>Clothing</t>
        </is>
      </c>
      <c r="D1031" s="3" t="inlineStr">
        <is>
          <t>Shirts</t>
        </is>
      </c>
      <c r="E1031" s="3" t="inlineStr">
        <is>
          <t>Greater Accra</t>
        </is>
      </c>
      <c r="F1031" s="3" t="inlineStr">
        <is>
          <t>Retail Shop</t>
        </is>
      </c>
      <c r="G1031" s="3" t="inlineStr">
        <is>
          <t>Returning</t>
        </is>
      </c>
      <c r="H1031" s="3" t="n">
        <v>1</v>
      </c>
      <c r="I1031" s="8" t="n">
        <v>175</v>
      </c>
      <c r="J1031" s="8" t="n">
        <v>81.62</v>
      </c>
      <c r="K1031" s="9" t="n">
        <v>0.1</v>
      </c>
      <c r="L1031" s="8" t="n">
        <v>6.71</v>
      </c>
      <c r="M1031" s="8">
        <f>H1031*I1031*(1-K1031)</f>
        <v/>
      </c>
      <c r="N1031" s="8">
        <f>H1031*J1031</f>
        <v/>
      </c>
      <c r="O1031" s="8">
        <f>M1031-N1031-L1031</f>
        <v/>
      </c>
      <c r="P1031" s="10">
        <f>IFERROR(O1031/M1031,0)</f>
        <v/>
      </c>
      <c r="Q1031" s="3">
        <f>IF(H1031&lt;=0,"Review: quantity &lt;= 0",IF(K1031&gt;0.3,"Review: discount &gt; 30%",IF(G1031="","Review: missing customer type","OK")))</f>
        <v/>
      </c>
    </row>
    <row r="1032">
      <c r="A1032" s="3" t="inlineStr">
        <is>
          <t>ORD-11031</t>
        </is>
      </c>
      <c r="B1032" s="7" t="n">
        <v>45801</v>
      </c>
      <c r="C1032" s="3" t="inlineStr">
        <is>
          <t>Clothing</t>
        </is>
      </c>
      <c r="D1032" s="3" t="inlineStr">
        <is>
          <t>Shirts</t>
        </is>
      </c>
      <c r="E1032" s="3" t="inlineStr">
        <is>
          <t>Greater Accra</t>
        </is>
      </c>
      <c r="F1032" s="3" t="inlineStr">
        <is>
          <t>Retail Shop</t>
        </is>
      </c>
      <c r="G1032" s="3" t="inlineStr">
        <is>
          <t>Returning</t>
        </is>
      </c>
      <c r="H1032" s="3" t="n">
        <v>2</v>
      </c>
      <c r="I1032" s="8" t="n">
        <v>115</v>
      </c>
      <c r="J1032" s="8" t="n">
        <v>56.04</v>
      </c>
      <c r="K1032" s="9" t="n">
        <v>0</v>
      </c>
      <c r="L1032" s="8" t="n">
        <v>2.44</v>
      </c>
      <c r="M1032" s="8">
        <f>H1032*I1032*(1-K1032)</f>
        <v/>
      </c>
      <c r="N1032" s="8">
        <f>H1032*J1032</f>
        <v/>
      </c>
      <c r="O1032" s="8">
        <f>M1032-N1032-L1032</f>
        <v/>
      </c>
      <c r="P1032" s="10">
        <f>IFERROR(O1032/M1032,0)</f>
        <v/>
      </c>
      <c r="Q1032" s="3">
        <f>IF(H1032&lt;=0,"Review: quantity &lt;= 0",IF(K1032&gt;0.3,"Review: discount &gt; 30%",IF(G1032="","Review: missing customer type","OK")))</f>
        <v/>
      </c>
    </row>
    <row r="1033">
      <c r="A1033" s="3" t="inlineStr">
        <is>
          <t>ORD-11032</t>
        </is>
      </c>
      <c r="B1033" s="7" t="n">
        <v>46002</v>
      </c>
      <c r="C1033" s="3" t="inlineStr">
        <is>
          <t>Footwear</t>
        </is>
      </c>
      <c r="D1033" s="3" t="inlineStr">
        <is>
          <t>Formal Shoes</t>
        </is>
      </c>
      <c r="E1033" s="3" t="inlineStr">
        <is>
          <t>Greater Accra</t>
        </is>
      </c>
      <c r="F1033" s="3" t="inlineStr">
        <is>
          <t>Retail Shop</t>
        </is>
      </c>
      <c r="G1033" s="3" t="inlineStr">
        <is>
          <t>Returning</t>
        </is>
      </c>
      <c r="H1033" s="3" t="n">
        <v>8</v>
      </c>
      <c r="I1033" s="8" t="n">
        <v>470</v>
      </c>
      <c r="J1033" s="8" t="n">
        <v>262.48</v>
      </c>
      <c r="K1033" s="9" t="n">
        <v>0.15</v>
      </c>
      <c r="L1033" s="8" t="n">
        <v>7.74</v>
      </c>
      <c r="M1033" s="8">
        <f>H1033*I1033*(1-K1033)</f>
        <v/>
      </c>
      <c r="N1033" s="8">
        <f>H1033*J1033</f>
        <v/>
      </c>
      <c r="O1033" s="8">
        <f>M1033-N1033-L1033</f>
        <v/>
      </c>
      <c r="P1033" s="10">
        <f>IFERROR(O1033/M1033,0)</f>
        <v/>
      </c>
      <c r="Q1033" s="3">
        <f>IF(H1033&lt;=0,"Review: quantity &lt;= 0",IF(K1033&gt;0.3,"Review: discount &gt; 30%",IF(G1033="","Review: missing customer type","OK")))</f>
        <v/>
      </c>
    </row>
    <row r="1034">
      <c r="A1034" s="3" t="inlineStr">
        <is>
          <t>ORD-11033</t>
        </is>
      </c>
      <c r="B1034" s="7" t="n">
        <v>45950</v>
      </c>
      <c r="C1034" s="3" t="inlineStr">
        <is>
          <t>Clothing</t>
        </is>
      </c>
      <c r="D1034" s="3" t="inlineStr">
        <is>
          <t>Shirts</t>
        </is>
      </c>
      <c r="E1034" s="3" t="inlineStr">
        <is>
          <t>Greater Accra</t>
        </is>
      </c>
      <c r="F1034" s="3" t="inlineStr">
        <is>
          <t>Phone/WhatsApp</t>
        </is>
      </c>
      <c r="G1034" s="3" t="inlineStr">
        <is>
          <t>Returning</t>
        </is>
      </c>
      <c r="H1034" s="3" t="n">
        <v>3</v>
      </c>
      <c r="I1034" s="8" t="n">
        <v>210</v>
      </c>
      <c r="J1034" s="8" t="n">
        <v>103.05</v>
      </c>
      <c r="K1034" s="9" t="n">
        <v>0.2</v>
      </c>
      <c r="L1034" s="8" t="n">
        <v>18.17</v>
      </c>
      <c r="M1034" s="8">
        <f>H1034*I1034*(1-K1034)</f>
        <v/>
      </c>
      <c r="N1034" s="8">
        <f>H1034*J1034</f>
        <v/>
      </c>
      <c r="O1034" s="8">
        <f>M1034-N1034-L1034</f>
        <v/>
      </c>
      <c r="P1034" s="10">
        <f>IFERROR(O1034/M1034,0)</f>
        <v/>
      </c>
      <c r="Q1034" s="3">
        <f>IF(H1034&lt;=0,"Review: quantity &lt;= 0",IF(K1034&gt;0.3,"Review: discount &gt; 30%",IF(G1034="","Review: missing customer type","OK")))</f>
        <v/>
      </c>
    </row>
    <row r="1035">
      <c r="A1035" s="3" t="inlineStr">
        <is>
          <t>ORD-11034</t>
        </is>
      </c>
      <c r="B1035" s="7" t="n">
        <v>45877</v>
      </c>
      <c r="C1035" s="3" t="inlineStr">
        <is>
          <t>Footwear</t>
        </is>
      </c>
      <c r="D1035" s="3" t="inlineStr">
        <is>
          <t>Sandals</t>
        </is>
      </c>
      <c r="E1035" s="3" t="inlineStr">
        <is>
          <t>Greater Accra</t>
        </is>
      </c>
      <c r="F1035" s="3" t="inlineStr">
        <is>
          <t>Phone/WhatsApp</t>
        </is>
      </c>
      <c r="G1035" s="3" t="inlineStr">
        <is>
          <t>Returning</t>
        </is>
      </c>
      <c r="H1035" s="3" t="n">
        <v>3</v>
      </c>
      <c r="I1035" s="8" t="n">
        <v>355</v>
      </c>
      <c r="J1035" s="8" t="n">
        <v>200.78</v>
      </c>
      <c r="K1035" s="9" t="n">
        <v>0.1</v>
      </c>
      <c r="L1035" s="8" t="n">
        <v>9.69</v>
      </c>
      <c r="M1035" s="8">
        <f>H1035*I1035*(1-K1035)</f>
        <v/>
      </c>
      <c r="N1035" s="8">
        <f>H1035*J1035</f>
        <v/>
      </c>
      <c r="O1035" s="8">
        <f>M1035-N1035-L1035</f>
        <v/>
      </c>
      <c r="P1035" s="10">
        <f>IFERROR(O1035/M1035,0)</f>
        <v/>
      </c>
      <c r="Q1035" s="3">
        <f>IF(H1035&lt;=0,"Review: quantity &lt;= 0",IF(K1035&gt;0.3,"Review: discount &gt; 30%",IF(G1035="","Review: missing customer type","OK")))</f>
        <v/>
      </c>
    </row>
    <row r="1036">
      <c r="A1036" s="3" t="inlineStr">
        <is>
          <t>ORD-11035</t>
        </is>
      </c>
      <c r="B1036" s="7" t="n">
        <v>45928</v>
      </c>
      <c r="C1036" s="3" t="inlineStr">
        <is>
          <t>Accessories</t>
        </is>
      </c>
      <c r="D1036" s="3" t="inlineStr">
        <is>
          <t>Sunglasses</t>
        </is>
      </c>
      <c r="E1036" s="3" t="inlineStr">
        <is>
          <t>Greater Accra</t>
        </is>
      </c>
      <c r="F1036" s="3" t="inlineStr">
        <is>
          <t>Retail Shop</t>
        </is>
      </c>
      <c r="G1036" s="3" t="inlineStr">
        <is>
          <t>New</t>
        </is>
      </c>
      <c r="H1036" s="3" t="n">
        <v>1</v>
      </c>
      <c r="I1036" s="8" t="n">
        <v>70</v>
      </c>
      <c r="J1036" s="8" t="n">
        <v>34.88</v>
      </c>
      <c r="K1036" s="9" t="n">
        <v>0</v>
      </c>
      <c r="L1036" s="8" t="n">
        <v>6.66</v>
      </c>
      <c r="M1036" s="8">
        <f>H1036*I1036*(1-K1036)</f>
        <v/>
      </c>
      <c r="N1036" s="8">
        <f>H1036*J1036</f>
        <v/>
      </c>
      <c r="O1036" s="8">
        <f>M1036-N1036-L1036</f>
        <v/>
      </c>
      <c r="P1036" s="10">
        <f>IFERROR(O1036/M1036,0)</f>
        <v/>
      </c>
      <c r="Q1036" s="3">
        <f>IF(H1036&lt;=0,"Review: quantity &lt;= 0",IF(K1036&gt;0.3,"Review: discount &gt; 30%",IF(G1036="","Review: missing customer type","OK")))</f>
        <v/>
      </c>
    </row>
    <row r="1037">
      <c r="A1037" s="3" t="inlineStr">
        <is>
          <t>ORD-11036</t>
        </is>
      </c>
      <c r="B1037" s="7" t="n">
        <v>45800</v>
      </c>
      <c r="C1037" s="3" t="inlineStr">
        <is>
          <t>Footwear</t>
        </is>
      </c>
      <c r="D1037" s="3" t="inlineStr">
        <is>
          <t>Boots</t>
        </is>
      </c>
      <c r="E1037" s="3" t="inlineStr">
        <is>
          <t>Greater Accra</t>
        </is>
      </c>
      <c r="F1037" s="3" t="inlineStr">
        <is>
          <t>Retail Shop</t>
        </is>
      </c>
      <c r="G1037" s="3" t="inlineStr">
        <is>
          <t>Returning</t>
        </is>
      </c>
      <c r="H1037" s="3" t="n">
        <v>2</v>
      </c>
      <c r="I1037" s="8" t="n">
        <v>245</v>
      </c>
      <c r="J1037" s="8" t="n">
        <v>134.33</v>
      </c>
      <c r="K1037" s="9" t="n">
        <v>0</v>
      </c>
      <c r="L1037" s="8" t="n">
        <v>0.83</v>
      </c>
      <c r="M1037" s="8">
        <f>H1037*I1037*(1-K1037)</f>
        <v/>
      </c>
      <c r="N1037" s="8">
        <f>H1037*J1037</f>
        <v/>
      </c>
      <c r="O1037" s="8">
        <f>M1037-N1037-L1037</f>
        <v/>
      </c>
      <c r="P1037" s="10">
        <f>IFERROR(O1037/M1037,0)</f>
        <v/>
      </c>
      <c r="Q1037" s="3">
        <f>IF(H1037&lt;=0,"Review: quantity &lt;= 0",IF(K1037&gt;0.3,"Review: discount &gt; 30%",IF(G1037="","Review: missing customer type","OK")))</f>
        <v/>
      </c>
    </row>
    <row r="1038">
      <c r="A1038" s="3" t="inlineStr">
        <is>
          <t>ORD-11037</t>
        </is>
      </c>
      <c r="B1038" s="7" t="n">
        <v>45838</v>
      </c>
      <c r="C1038" s="3" t="inlineStr">
        <is>
          <t>Home &amp; Lifestyle</t>
        </is>
      </c>
      <c r="D1038" s="3" t="inlineStr">
        <is>
          <t>Travel Mugs</t>
        </is>
      </c>
      <c r="E1038" s="3" t="inlineStr">
        <is>
          <t>Ashanti</t>
        </is>
      </c>
      <c r="F1038" s="3" t="inlineStr">
        <is>
          <t>Online</t>
        </is>
      </c>
      <c r="G1038" s="3" t="inlineStr">
        <is>
          <t>Returning</t>
        </is>
      </c>
      <c r="H1038" s="3" t="n">
        <v>1</v>
      </c>
      <c r="I1038" s="8" t="n">
        <v>85</v>
      </c>
      <c r="J1038" s="8" t="n">
        <v>46.07</v>
      </c>
      <c r="K1038" s="9" t="n">
        <v>0.1</v>
      </c>
      <c r="L1038" s="8" t="n">
        <v>39.49</v>
      </c>
      <c r="M1038" s="8">
        <f>H1038*I1038*(1-K1038)</f>
        <v/>
      </c>
      <c r="N1038" s="8">
        <f>H1038*J1038</f>
        <v/>
      </c>
      <c r="O1038" s="8">
        <f>M1038-N1038-L1038</f>
        <v/>
      </c>
      <c r="P1038" s="10">
        <f>IFERROR(O1038/M1038,0)</f>
        <v/>
      </c>
      <c r="Q1038" s="3">
        <f>IF(H1038&lt;=0,"Review: quantity &lt;= 0",IF(K1038&gt;0.3,"Review: discount &gt; 30%",IF(G1038="","Review: missing customer type","OK")))</f>
        <v/>
      </c>
    </row>
    <row r="1039">
      <c r="A1039" s="3" t="inlineStr">
        <is>
          <t>ORD-11038</t>
        </is>
      </c>
      <c r="B1039" s="7" t="n">
        <v>45728</v>
      </c>
      <c r="C1039" s="3" t="inlineStr">
        <is>
          <t>Accessories</t>
        </is>
      </c>
      <c r="D1039" s="3" t="inlineStr">
        <is>
          <t>Bags</t>
        </is>
      </c>
      <c r="E1039" s="3" t="inlineStr">
        <is>
          <t>Greater Accra</t>
        </is>
      </c>
      <c r="F1039" s="3" t="inlineStr">
        <is>
          <t>Retail Shop</t>
        </is>
      </c>
      <c r="G1039" s="3" t="inlineStr">
        <is>
          <t>New</t>
        </is>
      </c>
      <c r="H1039" s="3" t="n">
        <v>1</v>
      </c>
      <c r="I1039" s="8" t="n">
        <v>100</v>
      </c>
      <c r="J1039" s="8" t="n">
        <v>51.55</v>
      </c>
      <c r="K1039" s="9" t="n">
        <v>0</v>
      </c>
      <c r="L1039" s="8" t="n">
        <v>3.7</v>
      </c>
      <c r="M1039" s="8">
        <f>H1039*I1039*(1-K1039)</f>
        <v/>
      </c>
      <c r="N1039" s="8">
        <f>H1039*J1039</f>
        <v/>
      </c>
      <c r="O1039" s="8">
        <f>M1039-N1039-L1039</f>
        <v/>
      </c>
      <c r="P1039" s="10">
        <f>IFERROR(O1039/M1039,0)</f>
        <v/>
      </c>
      <c r="Q1039" s="3">
        <f>IF(H1039&lt;=0,"Review: quantity &lt;= 0",IF(K1039&gt;0.3,"Review: discount &gt; 30%",IF(G1039="","Review: missing customer type","OK")))</f>
        <v/>
      </c>
    </row>
    <row r="1040">
      <c r="A1040" s="3" t="inlineStr">
        <is>
          <t>ORD-11039</t>
        </is>
      </c>
      <c r="B1040" s="7" t="n">
        <v>45761</v>
      </c>
      <c r="C1040" s="3" t="inlineStr">
        <is>
          <t>Footwear</t>
        </is>
      </c>
      <c r="D1040" s="3" t="inlineStr">
        <is>
          <t>Sandals</t>
        </is>
      </c>
      <c r="E1040" s="3" t="inlineStr">
        <is>
          <t>Greater Accra</t>
        </is>
      </c>
      <c r="F1040" s="3" t="inlineStr">
        <is>
          <t>Retail Shop</t>
        </is>
      </c>
      <c r="G1040" s="3" t="inlineStr">
        <is>
          <t>Returning</t>
        </is>
      </c>
      <c r="H1040" s="3" t="n">
        <v>3</v>
      </c>
      <c r="I1040" s="8" t="n">
        <v>325</v>
      </c>
      <c r="J1040" s="8" t="n">
        <v>169.61</v>
      </c>
      <c r="K1040" s="9" t="n">
        <v>0.15</v>
      </c>
      <c r="L1040" s="8" t="n">
        <v>8.17</v>
      </c>
      <c r="M1040" s="8">
        <f>H1040*I1040*(1-K1040)</f>
        <v/>
      </c>
      <c r="N1040" s="8">
        <f>H1040*J1040</f>
        <v/>
      </c>
      <c r="O1040" s="8">
        <f>M1040-N1040-L1040</f>
        <v/>
      </c>
      <c r="P1040" s="10">
        <f>IFERROR(O1040/M1040,0)</f>
        <v/>
      </c>
      <c r="Q1040" s="3">
        <f>IF(H1040&lt;=0,"Review: quantity &lt;= 0",IF(K1040&gt;0.3,"Review: discount &gt; 30%",IF(G1040="","Review: missing customer type","OK")))</f>
        <v/>
      </c>
    </row>
    <row r="1041">
      <c r="A1041" s="3" t="inlineStr">
        <is>
          <t>ORD-11040</t>
        </is>
      </c>
      <c r="B1041" s="7" t="n">
        <v>45854</v>
      </c>
      <c r="C1041" s="3" t="inlineStr">
        <is>
          <t>Home &amp; Lifestyle</t>
        </is>
      </c>
      <c r="D1041" s="3" t="inlineStr">
        <is>
          <t>Small Home Goods</t>
        </is>
      </c>
      <c r="E1041" s="3" t="inlineStr">
        <is>
          <t>Central</t>
        </is>
      </c>
      <c r="F1041" s="3" t="inlineStr">
        <is>
          <t>Phone/WhatsApp</t>
        </is>
      </c>
      <c r="G1041" s="3" t="inlineStr">
        <is>
          <t>New</t>
        </is>
      </c>
      <c r="H1041" s="3" t="n">
        <v>1</v>
      </c>
      <c r="I1041" s="8" t="n">
        <v>125</v>
      </c>
      <c r="J1041" s="8" t="n">
        <v>69.56</v>
      </c>
      <c r="K1041" s="9" t="n">
        <v>0.2</v>
      </c>
      <c r="L1041" s="8" t="n">
        <v>8.09</v>
      </c>
      <c r="M1041" s="8">
        <f>H1041*I1041*(1-K1041)</f>
        <v/>
      </c>
      <c r="N1041" s="8">
        <f>H1041*J1041</f>
        <v/>
      </c>
      <c r="O1041" s="8">
        <f>M1041-N1041-L1041</f>
        <v/>
      </c>
      <c r="P1041" s="10">
        <f>IFERROR(O1041/M1041,0)</f>
        <v/>
      </c>
      <c r="Q1041" s="3">
        <f>IF(H1041&lt;=0,"Review: quantity &lt;= 0",IF(K1041&gt;0.3,"Review: discount &gt; 30%",IF(G1041="","Review: missing customer type","OK")))</f>
        <v/>
      </c>
    </row>
    <row r="1042">
      <c r="A1042" s="3" t="inlineStr">
        <is>
          <t>ORD-11041</t>
        </is>
      </c>
      <c r="B1042" s="7" t="n">
        <v>45888</v>
      </c>
      <c r="C1042" s="3" t="inlineStr">
        <is>
          <t>Accessories</t>
        </is>
      </c>
      <c r="D1042" s="3" t="inlineStr">
        <is>
          <t>Bags</t>
        </is>
      </c>
      <c r="E1042" s="3" t="inlineStr">
        <is>
          <t>Greater Accra</t>
        </is>
      </c>
      <c r="F1042" s="3" t="inlineStr">
        <is>
          <t>Retail Shop</t>
        </is>
      </c>
      <c r="G1042" s="3" t="inlineStr">
        <is>
          <t>Returning</t>
        </is>
      </c>
      <c r="H1042" s="3" t="n">
        <v>2</v>
      </c>
      <c r="I1042" s="8" t="n">
        <v>75</v>
      </c>
      <c r="J1042" s="8" t="n">
        <v>33.91</v>
      </c>
      <c r="K1042" s="9" t="n">
        <v>0</v>
      </c>
      <c r="L1042" s="8" t="n">
        <v>3.14</v>
      </c>
      <c r="M1042" s="8">
        <f>H1042*I1042*(1-K1042)</f>
        <v/>
      </c>
      <c r="N1042" s="8">
        <f>H1042*J1042</f>
        <v/>
      </c>
      <c r="O1042" s="8">
        <f>M1042-N1042-L1042</f>
        <v/>
      </c>
      <c r="P1042" s="10">
        <f>IFERROR(O1042/M1042,0)</f>
        <v/>
      </c>
      <c r="Q1042" s="3">
        <f>IF(H1042&lt;=0,"Review: quantity &lt;= 0",IF(K1042&gt;0.3,"Review: discount &gt; 30%",IF(G1042="","Review: missing customer type","OK")))</f>
        <v/>
      </c>
    </row>
    <row r="1043">
      <c r="A1043" s="3" t="inlineStr">
        <is>
          <t>ORD-11042</t>
        </is>
      </c>
      <c r="B1043" s="7" t="n">
        <v>45977</v>
      </c>
      <c r="C1043" s="3" t="inlineStr">
        <is>
          <t>Footwear</t>
        </is>
      </c>
      <c r="D1043" s="3" t="inlineStr">
        <is>
          <t>Formal Shoes</t>
        </is>
      </c>
      <c r="E1043" s="3" t="inlineStr">
        <is>
          <t>Greater Accra</t>
        </is>
      </c>
      <c r="F1043" s="3" t="inlineStr">
        <is>
          <t>Retail Shop</t>
        </is>
      </c>
      <c r="G1043" s="3" t="inlineStr">
        <is>
          <t>New</t>
        </is>
      </c>
      <c r="H1043" s="3" t="n">
        <v>6</v>
      </c>
      <c r="I1043" s="8" t="n">
        <v>260</v>
      </c>
      <c r="J1043" s="8" t="n">
        <v>130.71</v>
      </c>
      <c r="K1043" s="9" t="n">
        <v>0.1</v>
      </c>
      <c r="L1043" s="8" t="n">
        <v>9.630000000000001</v>
      </c>
      <c r="M1043" s="8">
        <f>H1043*I1043*(1-K1043)</f>
        <v/>
      </c>
      <c r="N1043" s="8">
        <f>H1043*J1043</f>
        <v/>
      </c>
      <c r="O1043" s="8">
        <f>M1043-N1043-L1043</f>
        <v/>
      </c>
      <c r="P1043" s="10">
        <f>IFERROR(O1043/M1043,0)</f>
        <v/>
      </c>
      <c r="Q1043" s="3">
        <f>IF(H1043&lt;=0,"Review: quantity &lt;= 0",IF(K1043&gt;0.3,"Review: discount &gt; 30%",IF(G1043="","Review: missing customer type","OK")))</f>
        <v/>
      </c>
    </row>
    <row r="1044">
      <c r="A1044" s="3" t="inlineStr">
        <is>
          <t>ORD-11043</t>
        </is>
      </c>
      <c r="B1044" s="7" t="n">
        <v>45686</v>
      </c>
      <c r="C1044" s="3" t="inlineStr">
        <is>
          <t>Footwear</t>
        </is>
      </c>
      <c r="D1044" s="3" t="inlineStr">
        <is>
          <t>Sandals</t>
        </is>
      </c>
      <c r="E1044" s="3" t="inlineStr">
        <is>
          <t>Greater Accra</t>
        </is>
      </c>
      <c r="F1044" s="3" t="inlineStr">
        <is>
          <t>Online</t>
        </is>
      </c>
      <c r="G1044" s="3" t="inlineStr">
        <is>
          <t>Returning</t>
        </is>
      </c>
      <c r="H1044" s="3" t="n">
        <v>3</v>
      </c>
      <c r="I1044" s="8" t="n">
        <v>160</v>
      </c>
      <c r="J1044" s="8" t="n">
        <v>100</v>
      </c>
      <c r="K1044" s="9" t="n">
        <v>0</v>
      </c>
      <c r="L1044" s="8" t="n">
        <v>19.57</v>
      </c>
      <c r="M1044" s="8">
        <f>H1044*I1044*(1-K1044)</f>
        <v/>
      </c>
      <c r="N1044" s="8">
        <f>H1044*J1044</f>
        <v/>
      </c>
      <c r="O1044" s="8">
        <f>M1044-N1044-L1044</f>
        <v/>
      </c>
      <c r="P1044" s="10">
        <f>IFERROR(O1044/M1044,0)</f>
        <v/>
      </c>
      <c r="Q1044" s="3">
        <f>IF(H1044&lt;=0,"Review: quantity &lt;= 0",IF(K1044&gt;0.3,"Review: discount &gt; 30%",IF(G1044="","Review: missing customer type","OK")))</f>
        <v/>
      </c>
    </row>
    <row r="1045">
      <c r="A1045" s="3" t="inlineStr">
        <is>
          <t>ORD-11044</t>
        </is>
      </c>
      <c r="B1045" s="7" t="n">
        <v>45734</v>
      </c>
      <c r="C1045" s="3" t="inlineStr">
        <is>
          <t>Accessories</t>
        </is>
      </c>
      <c r="D1045" s="3" t="inlineStr">
        <is>
          <t>Belts</t>
        </is>
      </c>
      <c r="E1045" s="3" t="inlineStr">
        <is>
          <t>Northern</t>
        </is>
      </c>
      <c r="F1045" s="3" t="inlineStr">
        <is>
          <t>Online</t>
        </is>
      </c>
      <c r="G1045" s="3" t="inlineStr">
        <is>
          <t>Returning</t>
        </is>
      </c>
      <c r="H1045" s="3" t="n">
        <v>8</v>
      </c>
      <c r="I1045" s="8" t="n">
        <v>65</v>
      </c>
      <c r="J1045" s="8" t="n">
        <v>30.86</v>
      </c>
      <c r="K1045" s="9" t="n">
        <v>0.2</v>
      </c>
      <c r="L1045" s="8" t="n">
        <v>13.12</v>
      </c>
      <c r="M1045" s="8">
        <f>H1045*I1045*(1-K1045)</f>
        <v/>
      </c>
      <c r="N1045" s="8">
        <f>H1045*J1045</f>
        <v/>
      </c>
      <c r="O1045" s="8">
        <f>M1045-N1045-L1045</f>
        <v/>
      </c>
      <c r="P1045" s="10">
        <f>IFERROR(O1045/M1045,0)</f>
        <v/>
      </c>
      <c r="Q1045" s="3">
        <f>IF(H1045&lt;=0,"Review: quantity &lt;= 0",IF(K1045&gt;0.3,"Review: discount &gt; 30%",IF(G1045="","Review: missing customer type","OK")))</f>
        <v/>
      </c>
    </row>
    <row r="1046">
      <c r="A1046" s="3" t="inlineStr">
        <is>
          <t>ORD-11045</t>
        </is>
      </c>
      <c r="B1046" s="7" t="n">
        <v>45854</v>
      </c>
      <c r="C1046" s="3" t="inlineStr">
        <is>
          <t>Clothing</t>
        </is>
      </c>
      <c r="D1046" s="3" t="inlineStr">
        <is>
          <t>Shirts</t>
        </is>
      </c>
      <c r="E1046" s="3" t="inlineStr">
        <is>
          <t>Greater Accra</t>
        </is>
      </c>
      <c r="F1046" s="3" t="inlineStr">
        <is>
          <t>Retail Shop</t>
        </is>
      </c>
      <c r="G1046" s="3" t="inlineStr">
        <is>
          <t>Returning</t>
        </is>
      </c>
      <c r="H1046" s="3" t="n">
        <v>8</v>
      </c>
      <c r="I1046" s="8" t="n">
        <v>90</v>
      </c>
      <c r="J1046" s="8" t="n">
        <v>41.82</v>
      </c>
      <c r="K1046" s="9" t="n">
        <v>0</v>
      </c>
      <c r="L1046" s="8" t="n">
        <v>8.07</v>
      </c>
      <c r="M1046" s="8">
        <f>H1046*I1046*(1-K1046)</f>
        <v/>
      </c>
      <c r="N1046" s="8">
        <f>H1046*J1046</f>
        <v/>
      </c>
      <c r="O1046" s="8">
        <f>M1046-N1046-L1046</f>
        <v/>
      </c>
      <c r="P1046" s="10">
        <f>IFERROR(O1046/M1046,0)</f>
        <v/>
      </c>
      <c r="Q1046" s="3">
        <f>IF(H1046&lt;=0,"Review: quantity &lt;= 0",IF(K1046&gt;0.3,"Review: discount &gt; 30%",IF(G1046="","Review: missing customer type","OK")))</f>
        <v/>
      </c>
    </row>
    <row r="1047">
      <c r="A1047" s="3" t="inlineStr">
        <is>
          <t>ORD-11046</t>
        </is>
      </c>
      <c r="B1047" s="7" t="n">
        <v>45746</v>
      </c>
      <c r="C1047" s="3" t="inlineStr">
        <is>
          <t>Footwear</t>
        </is>
      </c>
      <c r="D1047" s="3" t="inlineStr">
        <is>
          <t>Sandals</t>
        </is>
      </c>
      <c r="E1047" s="3" t="inlineStr">
        <is>
          <t>Greater Accra</t>
        </is>
      </c>
      <c r="F1047" s="3" t="inlineStr">
        <is>
          <t>Retail Shop</t>
        </is>
      </c>
      <c r="G1047" s="3" t="inlineStr">
        <is>
          <t>Returning</t>
        </is>
      </c>
      <c r="H1047" s="3" t="n">
        <v>1</v>
      </c>
      <c r="I1047" s="8" t="n">
        <v>240</v>
      </c>
      <c r="J1047" s="8" t="n">
        <v>128.94</v>
      </c>
      <c r="K1047" s="9" t="n">
        <v>0</v>
      </c>
      <c r="L1047" s="8" t="n">
        <v>0.46</v>
      </c>
      <c r="M1047" s="8">
        <f>H1047*I1047*(1-K1047)</f>
        <v/>
      </c>
      <c r="N1047" s="8">
        <f>H1047*J1047</f>
        <v/>
      </c>
      <c r="O1047" s="8">
        <f>M1047-N1047-L1047</f>
        <v/>
      </c>
      <c r="P1047" s="10">
        <f>IFERROR(O1047/M1047,0)</f>
        <v/>
      </c>
      <c r="Q1047" s="3">
        <f>IF(H1047&lt;=0,"Review: quantity &lt;= 0",IF(K1047&gt;0.3,"Review: discount &gt; 30%",IF(G1047="","Review: missing customer type","OK")))</f>
        <v/>
      </c>
    </row>
    <row r="1048">
      <c r="A1048" s="3" t="inlineStr">
        <is>
          <t>ORD-11047</t>
        </is>
      </c>
      <c r="B1048" s="7" t="n">
        <v>45866</v>
      </c>
      <c r="C1048" s="3" t="inlineStr">
        <is>
          <t>Clothing</t>
        </is>
      </c>
      <c r="D1048" s="3" t="inlineStr">
        <is>
          <t>Trousers</t>
        </is>
      </c>
      <c r="E1048" s="3" t="inlineStr">
        <is>
          <t>Greater Accra</t>
        </is>
      </c>
      <c r="F1048" s="3" t="inlineStr">
        <is>
          <t>Retail Shop</t>
        </is>
      </c>
      <c r="G1048" s="3" t="inlineStr">
        <is>
          <t>Returning</t>
        </is>
      </c>
      <c r="H1048" s="3" t="n">
        <v>2</v>
      </c>
      <c r="I1048" s="8" t="n">
        <v>85</v>
      </c>
      <c r="J1048" s="8" t="n">
        <v>45.45</v>
      </c>
      <c r="K1048" s="9" t="n">
        <v>0</v>
      </c>
      <c r="L1048" s="8" t="n">
        <v>7.75</v>
      </c>
      <c r="M1048" s="8">
        <f>H1048*I1048*(1-K1048)</f>
        <v/>
      </c>
      <c r="N1048" s="8">
        <f>H1048*J1048</f>
        <v/>
      </c>
      <c r="O1048" s="8">
        <f>M1048-N1048-L1048</f>
        <v/>
      </c>
      <c r="P1048" s="10">
        <f>IFERROR(O1048/M1048,0)</f>
        <v/>
      </c>
      <c r="Q1048" s="3">
        <f>IF(H1048&lt;=0,"Review: quantity &lt;= 0",IF(K1048&gt;0.3,"Review: discount &gt; 30%",IF(G1048="","Review: missing customer type","OK")))</f>
        <v/>
      </c>
    </row>
    <row r="1049">
      <c r="A1049" s="3" t="inlineStr">
        <is>
          <t>ORD-11048</t>
        </is>
      </c>
      <c r="B1049" s="7" t="n">
        <v>45768</v>
      </c>
      <c r="C1049" s="3" t="inlineStr">
        <is>
          <t>Home &amp; Lifestyle</t>
        </is>
      </c>
      <c r="D1049" s="3" t="inlineStr">
        <is>
          <t>Backpacks</t>
        </is>
      </c>
      <c r="E1049" s="3" t="inlineStr">
        <is>
          <t>Greater Accra</t>
        </is>
      </c>
      <c r="F1049" s="3" t="inlineStr">
        <is>
          <t>Online</t>
        </is>
      </c>
      <c r="G1049" s="3" t="inlineStr">
        <is>
          <t>Returning</t>
        </is>
      </c>
      <c r="H1049" s="3" t="n">
        <v>2</v>
      </c>
      <c r="I1049" s="8" t="n">
        <v>110</v>
      </c>
      <c r="J1049" s="8" t="n">
        <v>63.79</v>
      </c>
      <c r="K1049" s="9" t="n">
        <v>0</v>
      </c>
      <c r="L1049" s="8" t="n">
        <v>10.5</v>
      </c>
      <c r="M1049" s="8">
        <f>H1049*I1049*(1-K1049)</f>
        <v/>
      </c>
      <c r="N1049" s="8">
        <f>H1049*J1049</f>
        <v/>
      </c>
      <c r="O1049" s="8">
        <f>M1049-N1049-L1049</f>
        <v/>
      </c>
      <c r="P1049" s="10">
        <f>IFERROR(O1049/M1049,0)</f>
        <v/>
      </c>
      <c r="Q1049" s="3">
        <f>IF(H1049&lt;=0,"Review: quantity &lt;= 0",IF(K1049&gt;0.3,"Review: discount &gt; 30%",IF(G1049="","Review: missing customer type","OK")))</f>
        <v/>
      </c>
    </row>
    <row r="1050">
      <c r="A1050" s="3" t="inlineStr">
        <is>
          <t>ORD-11049</t>
        </is>
      </c>
      <c r="B1050" s="7" t="n">
        <v>45673</v>
      </c>
      <c r="C1050" s="3" t="inlineStr">
        <is>
          <t>Footwear</t>
        </is>
      </c>
      <c r="D1050" s="3" t="inlineStr">
        <is>
          <t>Sneakers</t>
        </is>
      </c>
      <c r="E1050" s="3" t="inlineStr">
        <is>
          <t>Ashanti</t>
        </is>
      </c>
      <c r="F1050" s="3" t="inlineStr">
        <is>
          <t>Phone/WhatsApp</t>
        </is>
      </c>
      <c r="G1050" s="3" t="inlineStr">
        <is>
          <t>Returning</t>
        </is>
      </c>
      <c r="H1050" s="3" t="n">
        <v>3</v>
      </c>
      <c r="I1050" s="8" t="n">
        <v>225</v>
      </c>
      <c r="J1050" s="8" t="n">
        <v>121.78</v>
      </c>
      <c r="K1050" s="9" t="n">
        <v>0</v>
      </c>
      <c r="L1050" s="8" t="n">
        <v>38.73</v>
      </c>
      <c r="M1050" s="8">
        <f>H1050*I1050*(1-K1050)</f>
        <v/>
      </c>
      <c r="N1050" s="8">
        <f>H1050*J1050</f>
        <v/>
      </c>
      <c r="O1050" s="8">
        <f>M1050-N1050-L1050</f>
        <v/>
      </c>
      <c r="P1050" s="10">
        <f>IFERROR(O1050/M1050,0)</f>
        <v/>
      </c>
      <c r="Q1050" s="3">
        <f>IF(H1050&lt;=0,"Review: quantity &lt;= 0",IF(K1050&gt;0.3,"Review: discount &gt; 30%",IF(G1050="","Review: missing customer type","OK")))</f>
        <v/>
      </c>
    </row>
    <row r="1051">
      <c r="A1051" s="3" t="inlineStr">
        <is>
          <t>ORD-11050</t>
        </is>
      </c>
      <c r="B1051" s="7" t="n">
        <v>45732</v>
      </c>
      <c r="C1051" s="3" t="inlineStr">
        <is>
          <t>Footwear</t>
        </is>
      </c>
      <c r="D1051" s="3" t="inlineStr">
        <is>
          <t>Sandals</t>
        </is>
      </c>
      <c r="E1051" s="3" t="inlineStr">
        <is>
          <t>Greater Accra</t>
        </is>
      </c>
      <c r="F1051" s="3" t="inlineStr">
        <is>
          <t>Phone/WhatsApp</t>
        </is>
      </c>
      <c r="G1051" s="3" t="inlineStr">
        <is>
          <t>Returning</t>
        </is>
      </c>
      <c r="H1051" s="3" t="n">
        <v>3</v>
      </c>
      <c r="I1051" s="8" t="n">
        <v>430</v>
      </c>
      <c r="J1051" s="8" t="n">
        <v>257.71</v>
      </c>
      <c r="K1051" s="9" t="n">
        <v>0</v>
      </c>
      <c r="L1051" s="8" t="n">
        <v>21.11</v>
      </c>
      <c r="M1051" s="8">
        <f>H1051*I1051*(1-K1051)</f>
        <v/>
      </c>
      <c r="N1051" s="8">
        <f>H1051*J1051</f>
        <v/>
      </c>
      <c r="O1051" s="8">
        <f>M1051-N1051-L1051</f>
        <v/>
      </c>
      <c r="P1051" s="10">
        <f>IFERROR(O1051/M1051,0)</f>
        <v/>
      </c>
      <c r="Q1051" s="3">
        <f>IF(H1051&lt;=0,"Review: quantity &lt;= 0",IF(K1051&gt;0.3,"Review: discount &gt; 30%",IF(G1051="","Review: missing customer type","OK")))</f>
        <v/>
      </c>
    </row>
    <row r="1052">
      <c r="A1052" s="3" t="inlineStr">
        <is>
          <t>ORD-11051</t>
        </is>
      </c>
      <c r="B1052" s="7" t="n">
        <v>45916</v>
      </c>
      <c r="C1052" s="3" t="inlineStr">
        <is>
          <t>Clothing</t>
        </is>
      </c>
      <c r="D1052" s="3" t="inlineStr">
        <is>
          <t>Shirts</t>
        </is>
      </c>
      <c r="E1052" s="3" t="inlineStr">
        <is>
          <t>Greater Accra</t>
        </is>
      </c>
      <c r="F1052" s="3" t="inlineStr">
        <is>
          <t>Retail Shop</t>
        </is>
      </c>
      <c r="G1052" s="3" t="inlineStr">
        <is>
          <t>New</t>
        </is>
      </c>
      <c r="H1052" s="3" t="n">
        <v>3</v>
      </c>
      <c r="I1052" s="8" t="n">
        <v>165</v>
      </c>
      <c r="J1052" s="8" t="n">
        <v>78.06999999999999</v>
      </c>
      <c r="K1052" s="9" t="n">
        <v>0.05</v>
      </c>
      <c r="L1052" s="8" t="n">
        <v>10.13</v>
      </c>
      <c r="M1052" s="8">
        <f>H1052*I1052*(1-K1052)</f>
        <v/>
      </c>
      <c r="N1052" s="8">
        <f>H1052*J1052</f>
        <v/>
      </c>
      <c r="O1052" s="8">
        <f>M1052-N1052-L1052</f>
        <v/>
      </c>
      <c r="P1052" s="10">
        <f>IFERROR(O1052/M1052,0)</f>
        <v/>
      </c>
      <c r="Q1052" s="3">
        <f>IF(H1052&lt;=0,"Review: quantity &lt;= 0",IF(K1052&gt;0.3,"Review: discount &gt; 30%",IF(G1052="","Review: missing customer type","OK")))</f>
        <v/>
      </c>
    </row>
    <row r="1053">
      <c r="A1053" s="3" t="inlineStr">
        <is>
          <t>ORD-11052</t>
        </is>
      </c>
      <c r="B1053" s="7" t="n">
        <v>45911</v>
      </c>
      <c r="C1053" s="3" t="inlineStr">
        <is>
          <t>Clothing</t>
        </is>
      </c>
      <c r="D1053" s="3" t="inlineStr">
        <is>
          <t>Trousers</t>
        </is>
      </c>
      <c r="E1053" s="3" t="inlineStr">
        <is>
          <t>Ashanti</t>
        </is>
      </c>
      <c r="F1053" s="3" t="inlineStr">
        <is>
          <t>Retail Shop</t>
        </is>
      </c>
      <c r="G1053" s="3" t="inlineStr">
        <is>
          <t>Returning</t>
        </is>
      </c>
      <c r="H1053" s="3" t="n">
        <v>4</v>
      </c>
      <c r="I1053" s="8" t="n">
        <v>85</v>
      </c>
      <c r="J1053" s="8" t="n">
        <v>40.65</v>
      </c>
      <c r="K1053" s="9" t="n">
        <v>0.1</v>
      </c>
      <c r="L1053" s="8" t="n">
        <v>9.199999999999999</v>
      </c>
      <c r="M1053" s="8">
        <f>H1053*I1053*(1-K1053)</f>
        <v/>
      </c>
      <c r="N1053" s="8">
        <f>H1053*J1053</f>
        <v/>
      </c>
      <c r="O1053" s="8">
        <f>M1053-N1053-L1053</f>
        <v/>
      </c>
      <c r="P1053" s="10">
        <f>IFERROR(O1053/M1053,0)</f>
        <v/>
      </c>
      <c r="Q1053" s="3">
        <f>IF(H1053&lt;=0,"Review: quantity &lt;= 0",IF(K1053&gt;0.3,"Review: discount &gt; 30%",IF(G1053="","Review: missing customer type","OK")))</f>
        <v/>
      </c>
    </row>
    <row r="1054">
      <c r="A1054" s="3" t="inlineStr">
        <is>
          <t>ORD-11053</t>
        </is>
      </c>
      <c r="B1054" s="7" t="n">
        <v>45809</v>
      </c>
      <c r="C1054" s="3" t="inlineStr">
        <is>
          <t>Footwear</t>
        </is>
      </c>
      <c r="D1054" s="3" t="inlineStr">
        <is>
          <t>Formal Shoes</t>
        </is>
      </c>
      <c r="E1054" s="3" t="inlineStr">
        <is>
          <t>Western</t>
        </is>
      </c>
      <c r="F1054" s="3" t="inlineStr">
        <is>
          <t>Online</t>
        </is>
      </c>
      <c r="G1054" s="3" t="inlineStr">
        <is>
          <t>Returning</t>
        </is>
      </c>
      <c r="H1054" s="3" t="n">
        <v>1</v>
      </c>
      <c r="I1054" s="8" t="n">
        <v>240</v>
      </c>
      <c r="J1054" s="8" t="n">
        <v>131.74</v>
      </c>
      <c r="K1054" s="9" t="n">
        <v>0.05</v>
      </c>
      <c r="L1054" s="8" t="n">
        <v>29.29</v>
      </c>
      <c r="M1054" s="8">
        <f>H1054*I1054*(1-K1054)</f>
        <v/>
      </c>
      <c r="N1054" s="8">
        <f>H1054*J1054</f>
        <v/>
      </c>
      <c r="O1054" s="8">
        <f>M1054-N1054-L1054</f>
        <v/>
      </c>
      <c r="P1054" s="10">
        <f>IFERROR(O1054/M1054,0)</f>
        <v/>
      </c>
      <c r="Q1054" s="3">
        <f>IF(H1054&lt;=0,"Review: quantity &lt;= 0",IF(K1054&gt;0.3,"Review: discount &gt; 30%",IF(G1054="","Review: missing customer type","OK")))</f>
        <v/>
      </c>
    </row>
    <row r="1055">
      <c r="A1055" s="3" t="inlineStr">
        <is>
          <t>ORD-11054</t>
        </is>
      </c>
      <c r="B1055" s="7" t="n">
        <v>45684</v>
      </c>
      <c r="C1055" s="3" t="inlineStr">
        <is>
          <t>Accessories</t>
        </is>
      </c>
      <c r="D1055" s="3" t="inlineStr">
        <is>
          <t>Belts</t>
        </is>
      </c>
      <c r="E1055" s="3" t="inlineStr">
        <is>
          <t>Western</t>
        </is>
      </c>
      <c r="F1055" s="3" t="inlineStr">
        <is>
          <t>Online</t>
        </is>
      </c>
      <c r="G1055" s="3" t="inlineStr">
        <is>
          <t>Returning</t>
        </is>
      </c>
      <c r="H1055" s="3" t="n">
        <v>3</v>
      </c>
      <c r="I1055" s="8" t="n">
        <v>165</v>
      </c>
      <c r="J1055" s="8" t="n">
        <v>82.26000000000001</v>
      </c>
      <c r="K1055" s="9" t="n">
        <v>0.15</v>
      </c>
      <c r="L1055" s="8" t="n">
        <v>40.44</v>
      </c>
      <c r="M1055" s="8">
        <f>H1055*I1055*(1-K1055)</f>
        <v/>
      </c>
      <c r="N1055" s="8">
        <f>H1055*J1055</f>
        <v/>
      </c>
      <c r="O1055" s="8">
        <f>M1055-N1055-L1055</f>
        <v/>
      </c>
      <c r="P1055" s="10">
        <f>IFERROR(O1055/M1055,0)</f>
        <v/>
      </c>
      <c r="Q1055" s="3">
        <f>IF(H1055&lt;=0,"Review: quantity &lt;= 0",IF(K1055&gt;0.3,"Review: discount &gt; 30%",IF(G1055="","Review: missing customer type","OK")))</f>
        <v/>
      </c>
    </row>
    <row r="1056">
      <c r="A1056" s="3" t="inlineStr">
        <is>
          <t>ORD-11055</t>
        </is>
      </c>
      <c r="B1056" s="7" t="n">
        <v>45832</v>
      </c>
      <c r="C1056" s="3" t="inlineStr">
        <is>
          <t>Home &amp; Lifestyle</t>
        </is>
      </c>
      <c r="D1056" s="3" t="inlineStr">
        <is>
          <t>Wallets</t>
        </is>
      </c>
      <c r="E1056" s="3" t="inlineStr">
        <is>
          <t>Ashanti</t>
        </is>
      </c>
      <c r="F1056" s="3" t="inlineStr">
        <is>
          <t>Phone/WhatsApp</t>
        </is>
      </c>
      <c r="G1056" s="3" t="inlineStr">
        <is>
          <t>Returning</t>
        </is>
      </c>
      <c r="H1056" s="3" t="n">
        <v>1</v>
      </c>
      <c r="I1056" s="8" t="n">
        <v>160</v>
      </c>
      <c r="J1056" s="8" t="n">
        <v>80.04000000000001</v>
      </c>
      <c r="K1056" s="9" t="n">
        <v>0</v>
      </c>
      <c r="L1056" s="8" t="n">
        <v>13.76</v>
      </c>
      <c r="M1056" s="8">
        <f>H1056*I1056*(1-K1056)</f>
        <v/>
      </c>
      <c r="N1056" s="8">
        <f>H1056*J1056</f>
        <v/>
      </c>
      <c r="O1056" s="8">
        <f>M1056-N1056-L1056</f>
        <v/>
      </c>
      <c r="P1056" s="10">
        <f>IFERROR(O1056/M1056,0)</f>
        <v/>
      </c>
      <c r="Q1056" s="3">
        <f>IF(H1056&lt;=0,"Review: quantity &lt;= 0",IF(K1056&gt;0.3,"Review: discount &gt; 30%",IF(G1056="","Review: missing customer type","OK")))</f>
        <v/>
      </c>
    </row>
    <row r="1057">
      <c r="A1057" s="3" t="inlineStr">
        <is>
          <t>ORD-11056</t>
        </is>
      </c>
      <c r="B1057" s="7" t="n">
        <v>45918</v>
      </c>
      <c r="C1057" s="3" t="inlineStr">
        <is>
          <t>Home &amp; Lifestyle</t>
        </is>
      </c>
      <c r="D1057" s="3" t="inlineStr">
        <is>
          <t>Wallets</t>
        </is>
      </c>
      <c r="E1057" s="3" t="inlineStr">
        <is>
          <t>Greater Accra</t>
        </is>
      </c>
      <c r="F1057" s="3" t="inlineStr">
        <is>
          <t>Retail Shop</t>
        </is>
      </c>
      <c r="G1057" s="3" t="inlineStr">
        <is>
          <t>Returning</t>
        </is>
      </c>
      <c r="H1057" s="3" t="n">
        <v>2</v>
      </c>
      <c r="I1057" s="8" t="n">
        <v>160</v>
      </c>
      <c r="J1057" s="8" t="n">
        <v>87.40000000000001</v>
      </c>
      <c r="K1057" s="9" t="n">
        <v>0</v>
      </c>
      <c r="L1057" s="8" t="n">
        <v>9.449999999999999</v>
      </c>
      <c r="M1057" s="8">
        <f>H1057*I1057*(1-K1057)</f>
        <v/>
      </c>
      <c r="N1057" s="8">
        <f>H1057*J1057</f>
        <v/>
      </c>
      <c r="O1057" s="8">
        <f>M1057-N1057-L1057</f>
        <v/>
      </c>
      <c r="P1057" s="10">
        <f>IFERROR(O1057/M1057,0)</f>
        <v/>
      </c>
      <c r="Q1057" s="3">
        <f>IF(H1057&lt;=0,"Review: quantity &lt;= 0",IF(K1057&gt;0.3,"Review: discount &gt; 30%",IF(G1057="","Review: missing customer type","OK")))</f>
        <v/>
      </c>
    </row>
    <row r="1058">
      <c r="A1058" s="3" t="inlineStr">
        <is>
          <t>ORD-11057</t>
        </is>
      </c>
      <c r="B1058" s="7" t="n">
        <v>45729</v>
      </c>
      <c r="C1058" s="3" t="inlineStr">
        <is>
          <t>Footwear</t>
        </is>
      </c>
      <c r="D1058" s="3" t="inlineStr">
        <is>
          <t>Boots</t>
        </is>
      </c>
      <c r="E1058" s="3" t="inlineStr">
        <is>
          <t>Greater Accra</t>
        </is>
      </c>
      <c r="F1058" s="3" t="inlineStr">
        <is>
          <t>Phone/WhatsApp</t>
        </is>
      </c>
      <c r="G1058" s="3" t="inlineStr">
        <is>
          <t>New</t>
        </is>
      </c>
      <c r="H1058" s="3" t="n">
        <v>3</v>
      </c>
      <c r="I1058" s="8" t="n">
        <v>415</v>
      </c>
      <c r="J1058" s="8" t="n">
        <v>213.07</v>
      </c>
      <c r="K1058" s="9" t="n">
        <v>0.15</v>
      </c>
      <c r="L1058" s="8" t="n">
        <v>38.66</v>
      </c>
      <c r="M1058" s="8">
        <f>H1058*I1058*(1-K1058)</f>
        <v/>
      </c>
      <c r="N1058" s="8">
        <f>H1058*J1058</f>
        <v/>
      </c>
      <c r="O1058" s="8">
        <f>M1058-N1058-L1058</f>
        <v/>
      </c>
      <c r="P1058" s="10">
        <f>IFERROR(O1058/M1058,0)</f>
        <v/>
      </c>
      <c r="Q1058" s="3">
        <f>IF(H1058&lt;=0,"Review: quantity &lt;= 0",IF(K1058&gt;0.3,"Review: discount &gt; 30%",IF(G1058="","Review: missing customer type","OK")))</f>
        <v/>
      </c>
    </row>
    <row r="1059">
      <c r="A1059" s="3" t="inlineStr">
        <is>
          <t>ORD-11058</t>
        </is>
      </c>
      <c r="B1059" s="7" t="n">
        <v>46022</v>
      </c>
      <c r="C1059" s="3" t="inlineStr">
        <is>
          <t>Clothing</t>
        </is>
      </c>
      <c r="D1059" s="3" t="inlineStr">
        <is>
          <t>Trousers</t>
        </is>
      </c>
      <c r="E1059" s="3" t="inlineStr">
        <is>
          <t>Greater Accra</t>
        </is>
      </c>
      <c r="F1059" s="3" t="inlineStr">
        <is>
          <t>Phone/WhatsApp</t>
        </is>
      </c>
      <c r="G1059" s="3" t="inlineStr">
        <is>
          <t>New</t>
        </is>
      </c>
      <c r="H1059" s="3" t="n">
        <v>4</v>
      </c>
      <c r="I1059" s="8" t="n">
        <v>130</v>
      </c>
      <c r="J1059" s="8" t="n">
        <v>73.41</v>
      </c>
      <c r="K1059" s="9" t="n">
        <v>0.1</v>
      </c>
      <c r="L1059" s="8" t="n">
        <v>23.63</v>
      </c>
      <c r="M1059" s="8">
        <f>H1059*I1059*(1-K1059)</f>
        <v/>
      </c>
      <c r="N1059" s="8">
        <f>H1059*J1059</f>
        <v/>
      </c>
      <c r="O1059" s="8">
        <f>M1059-N1059-L1059</f>
        <v/>
      </c>
      <c r="P1059" s="10">
        <f>IFERROR(O1059/M1059,0)</f>
        <v/>
      </c>
      <c r="Q1059" s="3">
        <f>IF(H1059&lt;=0,"Review: quantity &lt;= 0",IF(K1059&gt;0.3,"Review: discount &gt; 30%",IF(G1059="","Review: missing customer type","OK")))</f>
        <v/>
      </c>
    </row>
    <row r="1060">
      <c r="A1060" s="3" t="inlineStr">
        <is>
          <t>ORD-11059</t>
        </is>
      </c>
      <c r="B1060" s="7" t="n">
        <v>45697</v>
      </c>
      <c r="C1060" s="3" t="inlineStr">
        <is>
          <t>Clothing</t>
        </is>
      </c>
      <c r="D1060" s="3" t="inlineStr">
        <is>
          <t>Dresses</t>
        </is>
      </c>
      <c r="E1060" s="3" t="inlineStr">
        <is>
          <t>Northern</t>
        </is>
      </c>
      <c r="F1060" s="3" t="inlineStr">
        <is>
          <t>Online</t>
        </is>
      </c>
      <c r="G1060" s="3" t="inlineStr">
        <is>
          <t>New</t>
        </is>
      </c>
      <c r="H1060" s="3" t="n">
        <v>2</v>
      </c>
      <c r="I1060" s="8" t="n">
        <v>135</v>
      </c>
      <c r="J1060" s="8" t="n">
        <v>65.31</v>
      </c>
      <c r="K1060" s="9" t="n">
        <v>0.05</v>
      </c>
      <c r="L1060" s="8" t="n">
        <v>41.56</v>
      </c>
      <c r="M1060" s="8">
        <f>H1060*I1060*(1-K1060)</f>
        <v/>
      </c>
      <c r="N1060" s="8">
        <f>H1060*J1060</f>
        <v/>
      </c>
      <c r="O1060" s="8">
        <f>M1060-N1060-L1060</f>
        <v/>
      </c>
      <c r="P1060" s="10">
        <f>IFERROR(O1060/M1060,0)</f>
        <v/>
      </c>
      <c r="Q1060" s="3">
        <f>IF(H1060&lt;=0,"Review: quantity &lt;= 0",IF(K1060&gt;0.3,"Review: discount &gt; 30%",IF(G1060="","Review: missing customer type","OK")))</f>
        <v/>
      </c>
    </row>
    <row r="1061">
      <c r="A1061" s="3" t="inlineStr">
        <is>
          <t>ORD-11060</t>
        </is>
      </c>
      <c r="B1061" s="7" t="n">
        <v>45892</v>
      </c>
      <c r="C1061" s="3" t="inlineStr">
        <is>
          <t>Footwear</t>
        </is>
      </c>
      <c r="D1061" s="3" t="inlineStr">
        <is>
          <t>Sneakers</t>
        </is>
      </c>
      <c r="E1061" s="3" t="inlineStr">
        <is>
          <t>Central</t>
        </is>
      </c>
      <c r="F1061" s="3" t="inlineStr">
        <is>
          <t>Online</t>
        </is>
      </c>
      <c r="G1061" s="3" t="inlineStr">
        <is>
          <t>Returning</t>
        </is>
      </c>
      <c r="H1061" s="3" t="n">
        <v>1</v>
      </c>
      <c r="I1061" s="8" t="n">
        <v>255</v>
      </c>
      <c r="J1061" s="8" t="n">
        <v>129.52</v>
      </c>
      <c r="K1061" s="9" t="n">
        <v>0</v>
      </c>
      <c r="L1061" s="8" t="n">
        <v>19.46</v>
      </c>
      <c r="M1061" s="8">
        <f>H1061*I1061*(1-K1061)</f>
        <v/>
      </c>
      <c r="N1061" s="8">
        <f>H1061*J1061</f>
        <v/>
      </c>
      <c r="O1061" s="8">
        <f>M1061-N1061-L1061</f>
        <v/>
      </c>
      <c r="P1061" s="10">
        <f>IFERROR(O1061/M1061,0)</f>
        <v/>
      </c>
      <c r="Q1061" s="3">
        <f>IF(H1061&lt;=0,"Review: quantity &lt;= 0",IF(K1061&gt;0.3,"Review: discount &gt; 30%",IF(G1061="","Review: missing customer type","OK")))</f>
        <v/>
      </c>
    </row>
    <row r="1062">
      <c r="A1062" s="3" t="inlineStr">
        <is>
          <t>ORD-11061</t>
        </is>
      </c>
      <c r="B1062" s="7" t="n">
        <v>45814</v>
      </c>
      <c r="C1062" s="3" t="inlineStr">
        <is>
          <t>Clothing</t>
        </is>
      </c>
      <c r="D1062" s="3" t="inlineStr">
        <is>
          <t>Jackets</t>
        </is>
      </c>
      <c r="E1062" s="3" t="inlineStr">
        <is>
          <t>Greater Accra</t>
        </is>
      </c>
      <c r="F1062" s="3" t="inlineStr">
        <is>
          <t>Phone/WhatsApp</t>
        </is>
      </c>
      <c r="G1062" s="3" t="inlineStr">
        <is>
          <t>New</t>
        </is>
      </c>
      <c r="H1062" s="3" t="n">
        <v>1</v>
      </c>
      <c r="I1062" s="8" t="n">
        <v>230</v>
      </c>
      <c r="J1062" s="8" t="n">
        <v>116.69</v>
      </c>
      <c r="K1062" s="9" t="n">
        <v>0.05</v>
      </c>
      <c r="L1062" s="8" t="n">
        <v>18.06</v>
      </c>
      <c r="M1062" s="8">
        <f>H1062*I1062*(1-K1062)</f>
        <v/>
      </c>
      <c r="N1062" s="8">
        <f>H1062*J1062</f>
        <v/>
      </c>
      <c r="O1062" s="8">
        <f>M1062-N1062-L1062</f>
        <v/>
      </c>
      <c r="P1062" s="10">
        <f>IFERROR(O1062/M1062,0)</f>
        <v/>
      </c>
      <c r="Q1062" s="3">
        <f>IF(H1062&lt;=0,"Review: quantity &lt;= 0",IF(K1062&gt;0.3,"Review: discount &gt; 30%",IF(G1062="","Review: missing customer type","OK")))</f>
        <v/>
      </c>
    </row>
    <row r="1063">
      <c r="A1063" s="3" t="inlineStr">
        <is>
          <t>ORD-11062</t>
        </is>
      </c>
      <c r="B1063" s="7" t="n">
        <v>46013</v>
      </c>
      <c r="C1063" s="3" t="inlineStr">
        <is>
          <t>Clothing</t>
        </is>
      </c>
      <c r="D1063" s="3" t="inlineStr">
        <is>
          <t>Jackets</t>
        </is>
      </c>
      <c r="E1063" s="3" t="inlineStr">
        <is>
          <t>Western</t>
        </is>
      </c>
      <c r="F1063" s="3" t="inlineStr">
        <is>
          <t>Retail Shop</t>
        </is>
      </c>
      <c r="G1063" s="3" t="inlineStr">
        <is>
          <t>Returning</t>
        </is>
      </c>
      <c r="H1063" s="3" t="n">
        <v>4</v>
      </c>
      <c r="I1063" s="8" t="n">
        <v>175</v>
      </c>
      <c r="J1063" s="8" t="n">
        <v>94.5</v>
      </c>
      <c r="K1063" s="9" t="n">
        <v>0</v>
      </c>
      <c r="L1063" s="8" t="n">
        <v>1.98</v>
      </c>
      <c r="M1063" s="8">
        <f>H1063*I1063*(1-K1063)</f>
        <v/>
      </c>
      <c r="N1063" s="8">
        <f>H1063*J1063</f>
        <v/>
      </c>
      <c r="O1063" s="8">
        <f>M1063-N1063-L1063</f>
        <v/>
      </c>
      <c r="P1063" s="10">
        <f>IFERROR(O1063/M1063,0)</f>
        <v/>
      </c>
      <c r="Q1063" s="3">
        <f>IF(H1063&lt;=0,"Review: quantity &lt;= 0",IF(K1063&gt;0.3,"Review: discount &gt; 30%",IF(G1063="","Review: missing customer type","OK")))</f>
        <v/>
      </c>
    </row>
    <row r="1064">
      <c r="A1064" s="3" t="inlineStr">
        <is>
          <t>ORD-11063</t>
        </is>
      </c>
      <c r="B1064" s="7" t="n">
        <v>46003</v>
      </c>
      <c r="C1064" s="3" t="inlineStr">
        <is>
          <t>Accessories</t>
        </is>
      </c>
      <c r="D1064" s="3" t="inlineStr">
        <is>
          <t>Bags</t>
        </is>
      </c>
      <c r="E1064" s="3" t="inlineStr">
        <is>
          <t>Western</t>
        </is>
      </c>
      <c r="F1064" s="3" t="inlineStr">
        <is>
          <t>Retail Shop</t>
        </is>
      </c>
      <c r="G1064" s="3" t="inlineStr">
        <is>
          <t>Returning</t>
        </is>
      </c>
      <c r="H1064" s="3" t="n">
        <v>1</v>
      </c>
      <c r="I1064" s="8" t="n">
        <v>85</v>
      </c>
      <c r="J1064" s="8" t="n">
        <v>42.35</v>
      </c>
      <c r="K1064" s="9" t="n">
        <v>0</v>
      </c>
      <c r="L1064" s="8" t="n">
        <v>2.76</v>
      </c>
      <c r="M1064" s="8">
        <f>H1064*I1064*(1-K1064)</f>
        <v/>
      </c>
      <c r="N1064" s="8">
        <f>H1064*J1064</f>
        <v/>
      </c>
      <c r="O1064" s="8">
        <f>M1064-N1064-L1064</f>
        <v/>
      </c>
      <c r="P1064" s="10">
        <f>IFERROR(O1064/M1064,0)</f>
        <v/>
      </c>
      <c r="Q1064" s="3">
        <f>IF(H1064&lt;=0,"Review: quantity &lt;= 0",IF(K1064&gt;0.3,"Review: discount &gt; 30%",IF(G1064="","Review: missing customer type","OK")))</f>
        <v/>
      </c>
    </row>
    <row r="1065">
      <c r="A1065" s="3" t="inlineStr">
        <is>
          <t>ORD-11064</t>
        </is>
      </c>
      <c r="B1065" s="7" t="n">
        <v>46019</v>
      </c>
      <c r="C1065" s="3" t="inlineStr">
        <is>
          <t>Footwear</t>
        </is>
      </c>
      <c r="D1065" s="3" t="inlineStr">
        <is>
          <t>Formal Shoes</t>
        </is>
      </c>
      <c r="E1065" s="3" t="inlineStr">
        <is>
          <t>Western</t>
        </is>
      </c>
      <c r="F1065" s="3" t="inlineStr">
        <is>
          <t>Retail Shop</t>
        </is>
      </c>
      <c r="G1065" s="3" t="inlineStr">
        <is>
          <t>New</t>
        </is>
      </c>
      <c r="H1065" s="3" t="n">
        <v>1</v>
      </c>
      <c r="I1065" s="8" t="n">
        <v>285</v>
      </c>
      <c r="J1065" s="8" t="n">
        <v>148.78</v>
      </c>
      <c r="K1065" s="9" t="n">
        <v>0.15</v>
      </c>
      <c r="L1065" s="8" t="n">
        <v>6.45</v>
      </c>
      <c r="M1065" s="8">
        <f>H1065*I1065*(1-K1065)</f>
        <v/>
      </c>
      <c r="N1065" s="8">
        <f>H1065*J1065</f>
        <v/>
      </c>
      <c r="O1065" s="8">
        <f>M1065-N1065-L1065</f>
        <v/>
      </c>
      <c r="P1065" s="10">
        <f>IFERROR(O1065/M1065,0)</f>
        <v/>
      </c>
      <c r="Q1065" s="3">
        <f>IF(H1065&lt;=0,"Review: quantity &lt;= 0",IF(K1065&gt;0.3,"Review: discount &gt; 30%",IF(G1065="","Review: missing customer type","OK")))</f>
        <v/>
      </c>
    </row>
    <row r="1066">
      <c r="A1066" s="3" t="inlineStr">
        <is>
          <t>ORD-11065</t>
        </is>
      </c>
      <c r="B1066" s="7" t="n">
        <v>45934</v>
      </c>
      <c r="C1066" s="3" t="inlineStr">
        <is>
          <t>Clothing</t>
        </is>
      </c>
      <c r="D1066" s="3" t="inlineStr">
        <is>
          <t>Dresses</t>
        </is>
      </c>
      <c r="E1066" s="3" t="inlineStr">
        <is>
          <t>Central</t>
        </is>
      </c>
      <c r="F1066" s="3" t="inlineStr">
        <is>
          <t>Phone/WhatsApp</t>
        </is>
      </c>
      <c r="G1066" s="3" t="inlineStr">
        <is>
          <t>New</t>
        </is>
      </c>
      <c r="H1066" s="3" t="n">
        <v>2</v>
      </c>
      <c r="I1066" s="8" t="n">
        <v>235</v>
      </c>
      <c r="J1066" s="8" t="n">
        <v>112.45</v>
      </c>
      <c r="K1066" s="9" t="n">
        <v>0</v>
      </c>
      <c r="L1066" s="8" t="n">
        <v>22.39</v>
      </c>
      <c r="M1066" s="8">
        <f>H1066*I1066*(1-K1066)</f>
        <v/>
      </c>
      <c r="N1066" s="8">
        <f>H1066*J1066</f>
        <v/>
      </c>
      <c r="O1066" s="8">
        <f>M1066-N1066-L1066</f>
        <v/>
      </c>
      <c r="P1066" s="10">
        <f>IFERROR(O1066/M1066,0)</f>
        <v/>
      </c>
      <c r="Q1066" s="3">
        <f>IF(H1066&lt;=0,"Review: quantity &lt;= 0",IF(K1066&gt;0.3,"Review: discount &gt; 30%",IF(G1066="","Review: missing customer type","OK")))</f>
        <v/>
      </c>
    </row>
    <row r="1067">
      <c r="A1067" s="3" t="inlineStr">
        <is>
          <t>ORD-11066</t>
        </is>
      </c>
      <c r="B1067" s="7" t="n">
        <v>45674</v>
      </c>
      <c r="C1067" s="3" t="inlineStr">
        <is>
          <t>Clothing</t>
        </is>
      </c>
      <c r="D1067" s="3" t="inlineStr">
        <is>
          <t>Shirts</t>
        </is>
      </c>
      <c r="E1067" s="3" t="inlineStr">
        <is>
          <t>Greater Accra</t>
        </is>
      </c>
      <c r="F1067" s="3" t="inlineStr">
        <is>
          <t>Retail Shop</t>
        </is>
      </c>
      <c r="G1067" s="3" t="inlineStr">
        <is>
          <t>Returning</t>
        </is>
      </c>
      <c r="H1067" s="3" t="n">
        <v>1</v>
      </c>
      <c r="I1067" s="8" t="n">
        <v>130</v>
      </c>
      <c r="J1067" s="8" t="n">
        <v>68.95</v>
      </c>
      <c r="K1067" s="9" t="n">
        <v>0</v>
      </c>
      <c r="L1067" s="8" t="n">
        <v>5.42</v>
      </c>
      <c r="M1067" s="8">
        <f>H1067*I1067*(1-K1067)</f>
        <v/>
      </c>
      <c r="N1067" s="8">
        <f>H1067*J1067</f>
        <v/>
      </c>
      <c r="O1067" s="8">
        <f>M1067-N1067-L1067</f>
        <v/>
      </c>
      <c r="P1067" s="10">
        <f>IFERROR(O1067/M1067,0)</f>
        <v/>
      </c>
      <c r="Q1067" s="3">
        <f>IF(H1067&lt;=0,"Review: quantity &lt;= 0",IF(K1067&gt;0.3,"Review: discount &gt; 30%",IF(G1067="","Review: missing customer type","OK")))</f>
        <v/>
      </c>
    </row>
    <row r="1068">
      <c r="A1068" s="3" t="inlineStr">
        <is>
          <t>ORD-11067</t>
        </is>
      </c>
      <c r="B1068" s="7" t="n">
        <v>45811</v>
      </c>
      <c r="C1068" s="3" t="inlineStr">
        <is>
          <t>Clothing</t>
        </is>
      </c>
      <c r="D1068" s="3" t="inlineStr">
        <is>
          <t>Shirts</t>
        </is>
      </c>
      <c r="E1068" s="3" t="inlineStr">
        <is>
          <t>Central</t>
        </is>
      </c>
      <c r="F1068" s="3" t="inlineStr">
        <is>
          <t>Retail Shop</t>
        </is>
      </c>
      <c r="G1068" s="3" t="inlineStr">
        <is>
          <t>Returning</t>
        </is>
      </c>
      <c r="H1068" s="3" t="n">
        <v>1</v>
      </c>
      <c r="I1068" s="8" t="n">
        <v>105</v>
      </c>
      <c r="J1068" s="8" t="n">
        <v>55.59</v>
      </c>
      <c r="K1068" s="9" t="n">
        <v>0.1</v>
      </c>
      <c r="L1068" s="8" t="n">
        <v>7.31</v>
      </c>
      <c r="M1068" s="8">
        <f>H1068*I1068*(1-K1068)</f>
        <v/>
      </c>
      <c r="N1068" s="8">
        <f>H1068*J1068</f>
        <v/>
      </c>
      <c r="O1068" s="8">
        <f>M1068-N1068-L1068</f>
        <v/>
      </c>
      <c r="P1068" s="10">
        <f>IFERROR(O1068/M1068,0)</f>
        <v/>
      </c>
      <c r="Q1068" s="3">
        <f>IF(H1068&lt;=0,"Review: quantity &lt;= 0",IF(K1068&gt;0.3,"Review: discount &gt; 30%",IF(G1068="","Review: missing customer type","OK")))</f>
        <v/>
      </c>
    </row>
    <row r="1069">
      <c r="A1069" s="3" t="inlineStr">
        <is>
          <t>ORD-11068</t>
        </is>
      </c>
      <c r="B1069" s="7" t="n">
        <v>45981</v>
      </c>
      <c r="C1069" s="3" t="inlineStr">
        <is>
          <t>Accessories</t>
        </is>
      </c>
      <c r="D1069" s="3" t="inlineStr">
        <is>
          <t>Watches</t>
        </is>
      </c>
      <c r="E1069" s="3" t="inlineStr">
        <is>
          <t>Northern</t>
        </is>
      </c>
      <c r="F1069" s="3" t="inlineStr">
        <is>
          <t>Retail Shop</t>
        </is>
      </c>
      <c r="G1069" s="3" t="inlineStr">
        <is>
          <t>Returning</t>
        </is>
      </c>
      <c r="H1069" s="3" t="n">
        <v>1</v>
      </c>
      <c r="I1069" s="8" t="n">
        <v>95</v>
      </c>
      <c r="J1069" s="8" t="n">
        <v>42.02</v>
      </c>
      <c r="K1069" s="9" t="n">
        <v>0</v>
      </c>
      <c r="L1069" s="8" t="n">
        <v>11.39</v>
      </c>
      <c r="M1069" s="8">
        <f>H1069*I1069*(1-K1069)</f>
        <v/>
      </c>
      <c r="N1069" s="8">
        <f>H1069*J1069</f>
        <v/>
      </c>
      <c r="O1069" s="8">
        <f>M1069-N1069-L1069</f>
        <v/>
      </c>
      <c r="P1069" s="10">
        <f>IFERROR(O1069/M1069,0)</f>
        <v/>
      </c>
      <c r="Q1069" s="3">
        <f>IF(H1069&lt;=0,"Review: quantity &lt;= 0",IF(K1069&gt;0.3,"Review: discount &gt; 30%",IF(G1069="","Review: missing customer type","OK")))</f>
        <v/>
      </c>
    </row>
    <row r="1070">
      <c r="A1070" s="3" t="inlineStr">
        <is>
          <t>ORD-11069</t>
        </is>
      </c>
      <c r="B1070" s="7" t="n">
        <v>45976</v>
      </c>
      <c r="C1070" s="3" t="inlineStr">
        <is>
          <t>Footwear</t>
        </is>
      </c>
      <c r="D1070" s="3" t="inlineStr">
        <is>
          <t>Boots</t>
        </is>
      </c>
      <c r="E1070" s="3" t="inlineStr">
        <is>
          <t>Western</t>
        </is>
      </c>
      <c r="F1070" s="3" t="inlineStr">
        <is>
          <t>Retail Shop</t>
        </is>
      </c>
      <c r="G1070" s="3" t="inlineStr">
        <is>
          <t>Returning</t>
        </is>
      </c>
      <c r="H1070" s="3" t="n">
        <v>3</v>
      </c>
      <c r="I1070" s="8" t="n">
        <v>325</v>
      </c>
      <c r="J1070" s="8" t="n">
        <v>186.35</v>
      </c>
      <c r="K1070" s="9" t="n">
        <v>0</v>
      </c>
      <c r="L1070" s="8" t="n">
        <v>6.23</v>
      </c>
      <c r="M1070" s="8">
        <f>H1070*I1070*(1-K1070)</f>
        <v/>
      </c>
      <c r="N1070" s="8">
        <f>H1070*J1070</f>
        <v/>
      </c>
      <c r="O1070" s="8">
        <f>M1070-N1070-L1070</f>
        <v/>
      </c>
      <c r="P1070" s="10">
        <f>IFERROR(O1070/M1070,0)</f>
        <v/>
      </c>
      <c r="Q1070" s="3">
        <f>IF(H1070&lt;=0,"Review: quantity &lt;= 0",IF(K1070&gt;0.3,"Review: discount &gt; 30%",IF(G1070="","Review: missing customer type","OK")))</f>
        <v/>
      </c>
    </row>
    <row r="1071">
      <c r="A1071" s="3" t="inlineStr">
        <is>
          <t>ORD-11070</t>
        </is>
      </c>
      <c r="B1071" s="7" t="n">
        <v>45972</v>
      </c>
      <c r="C1071" s="3" t="inlineStr">
        <is>
          <t>Accessories</t>
        </is>
      </c>
      <c r="D1071" s="3" t="inlineStr">
        <is>
          <t>Watches</t>
        </is>
      </c>
      <c r="E1071" s="3" t="inlineStr">
        <is>
          <t>Greater Accra</t>
        </is>
      </c>
      <c r="F1071" s="3" t="inlineStr">
        <is>
          <t>Retail Shop</t>
        </is>
      </c>
      <c r="G1071" s="3" t="inlineStr">
        <is>
          <t>Returning</t>
        </is>
      </c>
      <c r="H1071" s="3" t="n">
        <v>4</v>
      </c>
      <c r="I1071" s="8" t="n">
        <v>100</v>
      </c>
      <c r="J1071" s="8" t="n">
        <v>52.99</v>
      </c>
      <c r="K1071" s="9" t="n">
        <v>0</v>
      </c>
      <c r="L1071" s="8" t="n">
        <v>8.01</v>
      </c>
      <c r="M1071" s="8">
        <f>H1071*I1071*(1-K1071)</f>
        <v/>
      </c>
      <c r="N1071" s="8">
        <f>H1071*J1071</f>
        <v/>
      </c>
      <c r="O1071" s="8">
        <f>M1071-N1071-L1071</f>
        <v/>
      </c>
      <c r="P1071" s="10">
        <f>IFERROR(O1071/M1071,0)</f>
        <v/>
      </c>
      <c r="Q1071" s="3">
        <f>IF(H1071&lt;=0,"Review: quantity &lt;= 0",IF(K1071&gt;0.3,"Review: discount &gt; 30%",IF(G1071="","Review: missing customer type","OK")))</f>
        <v/>
      </c>
    </row>
    <row r="1072">
      <c r="A1072" s="3" t="inlineStr">
        <is>
          <t>ORD-11071</t>
        </is>
      </c>
      <c r="B1072" s="7" t="n">
        <v>45970</v>
      </c>
      <c r="C1072" s="3" t="inlineStr">
        <is>
          <t>Footwear</t>
        </is>
      </c>
      <c r="D1072" s="3" t="inlineStr">
        <is>
          <t>Sandals</t>
        </is>
      </c>
      <c r="E1072" s="3" t="inlineStr">
        <is>
          <t>Northern</t>
        </is>
      </c>
      <c r="F1072" s="3" t="inlineStr">
        <is>
          <t>Online</t>
        </is>
      </c>
      <c r="G1072" s="3" t="inlineStr">
        <is>
          <t>New</t>
        </is>
      </c>
      <c r="H1072" s="3" t="n">
        <v>2</v>
      </c>
      <c r="I1072" s="8" t="n">
        <v>290</v>
      </c>
      <c r="J1072" s="8" t="n">
        <v>169.2</v>
      </c>
      <c r="K1072" s="9" t="n">
        <v>0</v>
      </c>
      <c r="L1072" s="8" t="n">
        <v>42.82</v>
      </c>
      <c r="M1072" s="8">
        <f>H1072*I1072*(1-K1072)</f>
        <v/>
      </c>
      <c r="N1072" s="8">
        <f>H1072*J1072</f>
        <v/>
      </c>
      <c r="O1072" s="8">
        <f>M1072-N1072-L1072</f>
        <v/>
      </c>
      <c r="P1072" s="10">
        <f>IFERROR(O1072/M1072,0)</f>
        <v/>
      </c>
      <c r="Q1072" s="3">
        <f>IF(H1072&lt;=0,"Review: quantity &lt;= 0",IF(K1072&gt;0.3,"Review: discount &gt; 30%",IF(G1072="","Review: missing customer type","OK")))</f>
        <v/>
      </c>
    </row>
    <row r="1073">
      <c r="A1073" s="3" t="inlineStr">
        <is>
          <t>ORD-11072</t>
        </is>
      </c>
      <c r="B1073" s="7" t="n">
        <v>45759</v>
      </c>
      <c r="C1073" s="3" t="inlineStr">
        <is>
          <t>Footwear</t>
        </is>
      </c>
      <c r="D1073" s="3" t="inlineStr">
        <is>
          <t>Boots</t>
        </is>
      </c>
      <c r="E1073" s="3" t="inlineStr">
        <is>
          <t>Greater Accra</t>
        </is>
      </c>
      <c r="F1073" s="3" t="inlineStr">
        <is>
          <t>Online</t>
        </is>
      </c>
      <c r="G1073" s="3" t="inlineStr">
        <is>
          <t>Returning</t>
        </is>
      </c>
      <c r="H1073" s="3" t="n">
        <v>1</v>
      </c>
      <c r="I1073" s="8" t="n">
        <v>370</v>
      </c>
      <c r="J1073" s="8" t="n">
        <v>202.75</v>
      </c>
      <c r="K1073" s="9" t="n">
        <v>0.1</v>
      </c>
      <c r="L1073" s="8" t="n">
        <v>27.51</v>
      </c>
      <c r="M1073" s="8">
        <f>H1073*I1073*(1-K1073)</f>
        <v/>
      </c>
      <c r="N1073" s="8">
        <f>H1073*J1073</f>
        <v/>
      </c>
      <c r="O1073" s="8">
        <f>M1073-N1073-L1073</f>
        <v/>
      </c>
      <c r="P1073" s="10">
        <f>IFERROR(O1073/M1073,0)</f>
        <v/>
      </c>
      <c r="Q1073" s="3">
        <f>IF(H1073&lt;=0,"Review: quantity &lt;= 0",IF(K1073&gt;0.3,"Review: discount &gt; 30%",IF(G1073="","Review: missing customer type","OK")))</f>
        <v/>
      </c>
    </row>
    <row r="1074">
      <c r="A1074" s="3" t="inlineStr">
        <is>
          <t>ORD-11073</t>
        </is>
      </c>
      <c r="B1074" s="7" t="n">
        <v>45901</v>
      </c>
      <c r="C1074" s="3" t="inlineStr">
        <is>
          <t>Clothing</t>
        </is>
      </c>
      <c r="D1074" s="3" t="inlineStr">
        <is>
          <t>Dresses</t>
        </is>
      </c>
      <c r="E1074" s="3" t="inlineStr">
        <is>
          <t>Greater Accra</t>
        </is>
      </c>
      <c r="F1074" s="3" t="inlineStr">
        <is>
          <t>Online</t>
        </is>
      </c>
      <c r="G1074" s="3" t="inlineStr">
        <is>
          <t>Returning</t>
        </is>
      </c>
      <c r="H1074" s="3" t="n">
        <v>2</v>
      </c>
      <c r="I1074" s="8" t="n">
        <v>195</v>
      </c>
      <c r="J1074" s="8" t="n">
        <v>100.11</v>
      </c>
      <c r="K1074" s="9" t="n">
        <v>0.1</v>
      </c>
      <c r="L1074" s="8" t="n">
        <v>13.38</v>
      </c>
      <c r="M1074" s="8">
        <f>H1074*I1074*(1-K1074)</f>
        <v/>
      </c>
      <c r="N1074" s="8">
        <f>H1074*J1074</f>
        <v/>
      </c>
      <c r="O1074" s="8">
        <f>M1074-N1074-L1074</f>
        <v/>
      </c>
      <c r="P1074" s="10">
        <f>IFERROR(O1074/M1074,0)</f>
        <v/>
      </c>
      <c r="Q1074" s="3">
        <f>IF(H1074&lt;=0,"Review: quantity &lt;= 0",IF(K1074&gt;0.3,"Review: discount &gt; 30%",IF(G1074="","Review: missing customer type","OK")))</f>
        <v/>
      </c>
    </row>
    <row r="1075">
      <c r="A1075" s="3" t="inlineStr">
        <is>
          <t>ORD-11074</t>
        </is>
      </c>
      <c r="B1075" s="7" t="n">
        <v>45667</v>
      </c>
      <c r="C1075" s="3" t="inlineStr">
        <is>
          <t>Home &amp; Lifestyle</t>
        </is>
      </c>
      <c r="D1075" s="3" t="inlineStr">
        <is>
          <t>Wallets</t>
        </is>
      </c>
      <c r="E1075" s="3" t="inlineStr">
        <is>
          <t>Ashanti</t>
        </is>
      </c>
      <c r="F1075" s="3" t="inlineStr">
        <is>
          <t>Phone/WhatsApp</t>
        </is>
      </c>
      <c r="G1075" s="3" t="inlineStr">
        <is>
          <t>New</t>
        </is>
      </c>
      <c r="H1075" s="3" t="n">
        <v>1</v>
      </c>
      <c r="I1075" s="8" t="n">
        <v>75</v>
      </c>
      <c r="J1075" s="8" t="n">
        <v>38.68</v>
      </c>
      <c r="K1075" s="9" t="n">
        <v>0</v>
      </c>
      <c r="L1075" s="8" t="n">
        <v>15.89</v>
      </c>
      <c r="M1075" s="8">
        <f>H1075*I1075*(1-K1075)</f>
        <v/>
      </c>
      <c r="N1075" s="8">
        <f>H1075*J1075</f>
        <v/>
      </c>
      <c r="O1075" s="8">
        <f>M1075-N1075-L1075</f>
        <v/>
      </c>
      <c r="P1075" s="10">
        <f>IFERROR(O1075/M1075,0)</f>
        <v/>
      </c>
      <c r="Q1075" s="3">
        <f>IF(H1075&lt;=0,"Review: quantity &lt;= 0",IF(K1075&gt;0.3,"Review: discount &gt; 30%",IF(G1075="","Review: missing customer type","OK")))</f>
        <v/>
      </c>
    </row>
    <row r="1076">
      <c r="A1076" s="3" t="inlineStr">
        <is>
          <t>ORD-11075</t>
        </is>
      </c>
      <c r="B1076" s="7" t="n">
        <v>45705</v>
      </c>
      <c r="C1076" s="3" t="inlineStr">
        <is>
          <t>Clothing</t>
        </is>
      </c>
      <c r="D1076" s="3" t="inlineStr">
        <is>
          <t>Shirts</t>
        </is>
      </c>
      <c r="E1076" s="3" t="inlineStr">
        <is>
          <t>Ashanti</t>
        </is>
      </c>
      <c r="F1076" s="3" t="inlineStr">
        <is>
          <t>Retail Shop</t>
        </is>
      </c>
      <c r="G1076" s="3" t="inlineStr">
        <is>
          <t>New</t>
        </is>
      </c>
      <c r="H1076" s="3" t="n">
        <v>1</v>
      </c>
      <c r="I1076" s="8" t="n">
        <v>95</v>
      </c>
      <c r="J1076" s="8" t="n">
        <v>44.85</v>
      </c>
      <c r="K1076" s="9" t="n">
        <v>0</v>
      </c>
      <c r="L1076" s="8" t="n">
        <v>1.82</v>
      </c>
      <c r="M1076" s="8">
        <f>H1076*I1076*(1-K1076)</f>
        <v/>
      </c>
      <c r="N1076" s="8">
        <f>H1076*J1076</f>
        <v/>
      </c>
      <c r="O1076" s="8">
        <f>M1076-N1076-L1076</f>
        <v/>
      </c>
      <c r="P1076" s="10">
        <f>IFERROR(O1076/M1076,0)</f>
        <v/>
      </c>
      <c r="Q1076" s="3">
        <f>IF(H1076&lt;=0,"Review: quantity &lt;= 0",IF(K1076&gt;0.3,"Review: discount &gt; 30%",IF(G1076="","Review: missing customer type","OK")))</f>
        <v/>
      </c>
    </row>
    <row r="1077">
      <c r="A1077" s="3" t="inlineStr">
        <is>
          <t>ORD-11076</t>
        </is>
      </c>
      <c r="B1077" s="7" t="n">
        <v>45840</v>
      </c>
      <c r="C1077" s="3" t="inlineStr">
        <is>
          <t>Footwear</t>
        </is>
      </c>
      <c r="D1077" s="3" t="inlineStr">
        <is>
          <t>Sandals</t>
        </is>
      </c>
      <c r="E1077" s="3" t="inlineStr">
        <is>
          <t>Ashanti</t>
        </is>
      </c>
      <c r="F1077" s="3" t="inlineStr">
        <is>
          <t>Retail Shop</t>
        </is>
      </c>
      <c r="G1077" s="3" t="inlineStr">
        <is>
          <t>Returning</t>
        </is>
      </c>
      <c r="H1077" s="3" t="n">
        <v>3</v>
      </c>
      <c r="I1077" s="8" t="n">
        <v>215</v>
      </c>
      <c r="J1077" s="8" t="n">
        <v>127.62</v>
      </c>
      <c r="K1077" s="9" t="n">
        <v>0</v>
      </c>
      <c r="L1077" s="8" t="n">
        <v>11.35</v>
      </c>
      <c r="M1077" s="8">
        <f>H1077*I1077*(1-K1077)</f>
        <v/>
      </c>
      <c r="N1077" s="8">
        <f>H1077*J1077</f>
        <v/>
      </c>
      <c r="O1077" s="8">
        <f>M1077-N1077-L1077</f>
        <v/>
      </c>
      <c r="P1077" s="10">
        <f>IFERROR(O1077/M1077,0)</f>
        <v/>
      </c>
      <c r="Q1077" s="3">
        <f>IF(H1077&lt;=0,"Review: quantity &lt;= 0",IF(K1077&gt;0.3,"Review: discount &gt; 30%",IF(G1077="","Review: missing customer type","OK")))</f>
        <v/>
      </c>
    </row>
    <row r="1078">
      <c r="A1078" s="3" t="inlineStr">
        <is>
          <t>ORD-11077</t>
        </is>
      </c>
      <c r="B1078" s="7" t="n">
        <v>45891</v>
      </c>
      <c r="C1078" s="3" t="inlineStr">
        <is>
          <t>Accessories</t>
        </is>
      </c>
      <c r="D1078" s="3" t="inlineStr">
        <is>
          <t>Bags</t>
        </is>
      </c>
      <c r="E1078" s="3" t="inlineStr">
        <is>
          <t>Greater Accra</t>
        </is>
      </c>
      <c r="F1078" s="3" t="inlineStr">
        <is>
          <t>Online</t>
        </is>
      </c>
      <c r="G1078" s="3" t="inlineStr">
        <is>
          <t>Returning</t>
        </is>
      </c>
      <c r="H1078" s="3" t="n">
        <v>5</v>
      </c>
      <c r="I1078" s="8" t="n">
        <v>85</v>
      </c>
      <c r="J1078" s="8" t="n">
        <v>37.54</v>
      </c>
      <c r="K1078" s="9" t="n">
        <v>0.15</v>
      </c>
      <c r="L1078" s="8" t="n">
        <v>30.85</v>
      </c>
      <c r="M1078" s="8">
        <f>H1078*I1078*(1-K1078)</f>
        <v/>
      </c>
      <c r="N1078" s="8">
        <f>H1078*J1078</f>
        <v/>
      </c>
      <c r="O1078" s="8">
        <f>M1078-N1078-L1078</f>
        <v/>
      </c>
      <c r="P1078" s="10">
        <f>IFERROR(O1078/M1078,0)</f>
        <v/>
      </c>
      <c r="Q1078" s="3">
        <f>IF(H1078&lt;=0,"Review: quantity &lt;= 0",IF(K1078&gt;0.3,"Review: discount &gt; 30%",IF(G1078="","Review: missing customer type","OK")))</f>
        <v/>
      </c>
    </row>
    <row r="1079">
      <c r="A1079" s="3" t="inlineStr">
        <is>
          <t>ORD-11078</t>
        </is>
      </c>
      <c r="B1079" s="7" t="n">
        <v>45869</v>
      </c>
      <c r="C1079" s="3" t="inlineStr">
        <is>
          <t>Footwear</t>
        </is>
      </c>
      <c r="D1079" s="3" t="inlineStr">
        <is>
          <t>Boots</t>
        </is>
      </c>
      <c r="E1079" s="3" t="inlineStr">
        <is>
          <t>Northern</t>
        </is>
      </c>
      <c r="F1079" s="3" t="inlineStr">
        <is>
          <t>Retail Shop</t>
        </is>
      </c>
      <c r="G1079" s="3" t="inlineStr">
        <is>
          <t>Returning</t>
        </is>
      </c>
      <c r="H1079" s="3" t="n">
        <v>3</v>
      </c>
      <c r="I1079" s="8" t="n">
        <v>465</v>
      </c>
      <c r="J1079" s="8" t="n">
        <v>276.19</v>
      </c>
      <c r="K1079" s="9" t="n">
        <v>0</v>
      </c>
      <c r="L1079" s="8" t="n">
        <v>9.58</v>
      </c>
      <c r="M1079" s="8">
        <f>H1079*I1079*(1-K1079)</f>
        <v/>
      </c>
      <c r="N1079" s="8">
        <f>H1079*J1079</f>
        <v/>
      </c>
      <c r="O1079" s="8">
        <f>M1079-N1079-L1079</f>
        <v/>
      </c>
      <c r="P1079" s="10">
        <f>IFERROR(O1079/M1079,0)</f>
        <v/>
      </c>
      <c r="Q1079" s="3">
        <f>IF(H1079&lt;=0,"Review: quantity &lt;= 0",IF(K1079&gt;0.3,"Review: discount &gt; 30%",IF(G1079="","Review: missing customer type","OK")))</f>
        <v/>
      </c>
    </row>
    <row r="1080">
      <c r="A1080" s="3" t="inlineStr">
        <is>
          <t>ORD-11079</t>
        </is>
      </c>
      <c r="B1080" s="7" t="n">
        <v>45932</v>
      </c>
      <c r="C1080" s="3" t="inlineStr">
        <is>
          <t>Footwear</t>
        </is>
      </c>
      <c r="D1080" s="3" t="inlineStr">
        <is>
          <t>Sandals</t>
        </is>
      </c>
      <c r="E1080" s="3" t="inlineStr">
        <is>
          <t>Greater Accra</t>
        </is>
      </c>
      <c r="F1080" s="3" t="inlineStr">
        <is>
          <t>Retail Shop</t>
        </is>
      </c>
      <c r="G1080" s="3" t="inlineStr">
        <is>
          <t>New</t>
        </is>
      </c>
      <c r="H1080" s="3" t="n">
        <v>1</v>
      </c>
      <c r="I1080" s="8" t="n">
        <v>220</v>
      </c>
      <c r="J1080" s="8" t="n">
        <v>137.61</v>
      </c>
      <c r="K1080" s="9" t="n">
        <v>0.1</v>
      </c>
      <c r="L1080" s="8" t="n">
        <v>10.67</v>
      </c>
      <c r="M1080" s="8">
        <f>H1080*I1080*(1-K1080)</f>
        <v/>
      </c>
      <c r="N1080" s="8">
        <f>H1080*J1080</f>
        <v/>
      </c>
      <c r="O1080" s="8">
        <f>M1080-N1080-L1080</f>
        <v/>
      </c>
      <c r="P1080" s="10">
        <f>IFERROR(O1080/M1080,0)</f>
        <v/>
      </c>
      <c r="Q1080" s="3">
        <f>IF(H1080&lt;=0,"Review: quantity &lt;= 0",IF(K1080&gt;0.3,"Review: discount &gt; 30%",IF(G1080="","Review: missing customer type","OK")))</f>
        <v/>
      </c>
    </row>
    <row r="1081">
      <c r="A1081" s="3" t="inlineStr">
        <is>
          <t>ORD-11080</t>
        </is>
      </c>
      <c r="B1081" s="7" t="n">
        <v>45932</v>
      </c>
      <c r="C1081" s="3" t="inlineStr">
        <is>
          <t>Accessories</t>
        </is>
      </c>
      <c r="D1081" s="3" t="inlineStr">
        <is>
          <t>Belts</t>
        </is>
      </c>
      <c r="E1081" s="3" t="inlineStr">
        <is>
          <t>Greater Accra</t>
        </is>
      </c>
      <c r="F1081" s="3" t="inlineStr">
        <is>
          <t>Phone/WhatsApp</t>
        </is>
      </c>
      <c r="G1081" s="3" t="inlineStr">
        <is>
          <t>New</t>
        </is>
      </c>
      <c r="H1081" s="3" t="n">
        <v>1</v>
      </c>
      <c r="I1081" s="8" t="n">
        <v>55</v>
      </c>
      <c r="J1081" s="8" t="n">
        <v>25.34</v>
      </c>
      <c r="K1081" s="9" t="n">
        <v>0</v>
      </c>
      <c r="L1081" s="8" t="n">
        <v>17.8</v>
      </c>
      <c r="M1081" s="8">
        <f>H1081*I1081*(1-K1081)</f>
        <v/>
      </c>
      <c r="N1081" s="8">
        <f>H1081*J1081</f>
        <v/>
      </c>
      <c r="O1081" s="8">
        <f>M1081-N1081-L1081</f>
        <v/>
      </c>
      <c r="P1081" s="10">
        <f>IFERROR(O1081/M1081,0)</f>
        <v/>
      </c>
      <c r="Q1081" s="3">
        <f>IF(H1081&lt;=0,"Review: quantity &lt;= 0",IF(K1081&gt;0.3,"Review: discount &gt; 30%",IF(G1081="","Review: missing customer type","OK")))</f>
        <v/>
      </c>
    </row>
    <row r="1082">
      <c r="A1082" s="3" t="inlineStr">
        <is>
          <t>ORD-11081</t>
        </is>
      </c>
      <c r="B1082" s="7" t="n">
        <v>45677</v>
      </c>
      <c r="C1082" s="3" t="inlineStr">
        <is>
          <t>Footwear</t>
        </is>
      </c>
      <c r="D1082" s="3" t="inlineStr">
        <is>
          <t>Sandals</t>
        </is>
      </c>
      <c r="E1082" s="3" t="inlineStr">
        <is>
          <t>Central</t>
        </is>
      </c>
      <c r="F1082" s="3" t="inlineStr">
        <is>
          <t>Retail Shop</t>
        </is>
      </c>
      <c r="G1082" s="3" t="inlineStr">
        <is>
          <t>Returning</t>
        </is>
      </c>
      <c r="H1082" s="3" t="n">
        <v>2</v>
      </c>
      <c r="I1082" s="8" t="n">
        <v>435</v>
      </c>
      <c r="J1082" s="8" t="n">
        <v>231.01</v>
      </c>
      <c r="K1082" s="9" t="n">
        <v>0</v>
      </c>
      <c r="L1082" s="8" t="n">
        <v>6.27</v>
      </c>
      <c r="M1082" s="8">
        <f>H1082*I1082*(1-K1082)</f>
        <v/>
      </c>
      <c r="N1082" s="8">
        <f>H1082*J1082</f>
        <v/>
      </c>
      <c r="O1082" s="8">
        <f>M1082-N1082-L1082</f>
        <v/>
      </c>
      <c r="P1082" s="10">
        <f>IFERROR(O1082/M1082,0)</f>
        <v/>
      </c>
      <c r="Q1082" s="3">
        <f>IF(H1082&lt;=0,"Review: quantity &lt;= 0",IF(K1082&gt;0.3,"Review: discount &gt; 30%",IF(G1082="","Review: missing customer type","OK")))</f>
        <v/>
      </c>
    </row>
    <row r="1083">
      <c r="A1083" s="3" t="inlineStr">
        <is>
          <t>ORD-11082</t>
        </is>
      </c>
      <c r="B1083" s="7" t="n">
        <v>45783</v>
      </c>
      <c r="C1083" s="3" t="inlineStr">
        <is>
          <t>Accessories</t>
        </is>
      </c>
      <c r="D1083" s="3" t="inlineStr">
        <is>
          <t>Sunglasses</t>
        </is>
      </c>
      <c r="E1083" s="3" t="inlineStr">
        <is>
          <t>Central</t>
        </is>
      </c>
      <c r="F1083" s="3" t="inlineStr">
        <is>
          <t>Online</t>
        </is>
      </c>
      <c r="G1083" s="3" t="inlineStr">
        <is>
          <t>Returning</t>
        </is>
      </c>
      <c r="H1083" s="3" t="n">
        <v>2</v>
      </c>
      <c r="I1083" s="8" t="n">
        <v>70</v>
      </c>
      <c r="J1083" s="8" t="n">
        <v>37.12</v>
      </c>
      <c r="K1083" s="9" t="n">
        <v>0.15</v>
      </c>
      <c r="L1083" s="8" t="n">
        <v>27.37</v>
      </c>
      <c r="M1083" s="8">
        <f>H1083*I1083*(1-K1083)</f>
        <v/>
      </c>
      <c r="N1083" s="8">
        <f>H1083*J1083</f>
        <v/>
      </c>
      <c r="O1083" s="8">
        <f>M1083-N1083-L1083</f>
        <v/>
      </c>
      <c r="P1083" s="10">
        <f>IFERROR(O1083/M1083,0)</f>
        <v/>
      </c>
      <c r="Q1083" s="3">
        <f>IF(H1083&lt;=0,"Review: quantity &lt;= 0",IF(K1083&gt;0.3,"Review: discount &gt; 30%",IF(G1083="","Review: missing customer type","OK")))</f>
        <v/>
      </c>
    </row>
    <row r="1084">
      <c r="A1084" s="3" t="inlineStr">
        <is>
          <t>ORD-11083</t>
        </is>
      </c>
      <c r="B1084" s="7" t="n">
        <v>45840</v>
      </c>
      <c r="C1084" s="3" t="inlineStr">
        <is>
          <t>Clothing</t>
        </is>
      </c>
      <c r="D1084" s="3" t="inlineStr">
        <is>
          <t>Jackets</t>
        </is>
      </c>
      <c r="E1084" s="3" t="inlineStr">
        <is>
          <t>Greater Accra</t>
        </is>
      </c>
      <c r="F1084" s="3" t="inlineStr">
        <is>
          <t>Online</t>
        </is>
      </c>
      <c r="G1084" s="3" t="inlineStr">
        <is>
          <t>Returning</t>
        </is>
      </c>
      <c r="H1084" s="3" t="n">
        <v>1</v>
      </c>
      <c r="I1084" s="8" t="n">
        <v>250</v>
      </c>
      <c r="J1084" s="8" t="n">
        <v>117.1</v>
      </c>
      <c r="K1084" s="9" t="n">
        <v>0.15</v>
      </c>
      <c r="L1084" s="8" t="n">
        <v>44.18</v>
      </c>
      <c r="M1084" s="8">
        <f>H1084*I1084*(1-K1084)</f>
        <v/>
      </c>
      <c r="N1084" s="8">
        <f>H1084*J1084</f>
        <v/>
      </c>
      <c r="O1084" s="8">
        <f>M1084-N1084-L1084</f>
        <v/>
      </c>
      <c r="P1084" s="10">
        <f>IFERROR(O1084/M1084,0)</f>
        <v/>
      </c>
      <c r="Q1084" s="3">
        <f>IF(H1084&lt;=0,"Review: quantity &lt;= 0",IF(K1084&gt;0.3,"Review: discount &gt; 30%",IF(G1084="","Review: missing customer type","OK")))</f>
        <v/>
      </c>
    </row>
    <row r="1085">
      <c r="A1085" s="3" t="inlineStr">
        <is>
          <t>ORD-11084</t>
        </is>
      </c>
      <c r="B1085" s="7" t="n">
        <v>45867</v>
      </c>
      <c r="C1085" s="3" t="inlineStr">
        <is>
          <t>Footwear</t>
        </is>
      </c>
      <c r="D1085" s="3" t="inlineStr">
        <is>
          <t>Sneakers</t>
        </is>
      </c>
      <c r="E1085" s="3" t="inlineStr">
        <is>
          <t>Western</t>
        </is>
      </c>
      <c r="F1085" s="3" t="inlineStr">
        <is>
          <t>Online</t>
        </is>
      </c>
      <c r="G1085" s="3" t="inlineStr">
        <is>
          <t>Returning</t>
        </is>
      </c>
      <c r="H1085" s="3" t="n">
        <v>4</v>
      </c>
      <c r="I1085" s="8" t="n">
        <v>160</v>
      </c>
      <c r="J1085" s="8" t="n">
        <v>87.45999999999999</v>
      </c>
      <c r="K1085" s="9" t="n">
        <v>0</v>
      </c>
      <c r="L1085" s="8" t="n">
        <v>27.03</v>
      </c>
      <c r="M1085" s="8">
        <f>H1085*I1085*(1-K1085)</f>
        <v/>
      </c>
      <c r="N1085" s="8">
        <f>H1085*J1085</f>
        <v/>
      </c>
      <c r="O1085" s="8">
        <f>M1085-N1085-L1085</f>
        <v/>
      </c>
      <c r="P1085" s="10">
        <f>IFERROR(O1085/M1085,0)</f>
        <v/>
      </c>
      <c r="Q1085" s="3">
        <f>IF(H1085&lt;=0,"Review: quantity &lt;= 0",IF(K1085&gt;0.3,"Review: discount &gt; 30%",IF(G1085="","Review: missing customer type","OK")))</f>
        <v/>
      </c>
    </row>
    <row r="1086">
      <c r="A1086" s="3" t="inlineStr">
        <is>
          <t>ORD-11085</t>
        </is>
      </c>
      <c r="B1086" s="7" t="n">
        <v>45977</v>
      </c>
      <c r="C1086" s="3" t="inlineStr">
        <is>
          <t>Footwear</t>
        </is>
      </c>
      <c r="D1086" s="3" t="inlineStr">
        <is>
          <t>Sneakers</t>
        </is>
      </c>
      <c r="E1086" s="3" t="inlineStr">
        <is>
          <t>Central</t>
        </is>
      </c>
      <c r="F1086" s="3" t="inlineStr">
        <is>
          <t>Online</t>
        </is>
      </c>
      <c r="G1086" s="3" t="inlineStr">
        <is>
          <t>Returning</t>
        </is>
      </c>
      <c r="H1086" s="3" t="n">
        <v>2</v>
      </c>
      <c r="I1086" s="8" t="n">
        <v>375</v>
      </c>
      <c r="J1086" s="8" t="n">
        <v>220.93</v>
      </c>
      <c r="K1086" s="9" t="n">
        <v>0</v>
      </c>
      <c r="L1086" s="8" t="n">
        <v>33.09</v>
      </c>
      <c r="M1086" s="8">
        <f>H1086*I1086*(1-K1086)</f>
        <v/>
      </c>
      <c r="N1086" s="8">
        <f>H1086*J1086</f>
        <v/>
      </c>
      <c r="O1086" s="8">
        <f>M1086-N1086-L1086</f>
        <v/>
      </c>
      <c r="P1086" s="10">
        <f>IFERROR(O1086/M1086,0)</f>
        <v/>
      </c>
      <c r="Q1086" s="3">
        <f>IF(H1086&lt;=0,"Review: quantity &lt;= 0",IF(K1086&gt;0.3,"Review: discount &gt; 30%",IF(G1086="","Review: missing customer type","OK")))</f>
        <v/>
      </c>
    </row>
    <row r="1087">
      <c r="A1087" s="3" t="inlineStr">
        <is>
          <t>ORD-11086</t>
        </is>
      </c>
      <c r="B1087" s="7" t="n">
        <v>45754</v>
      </c>
      <c r="C1087" s="3" t="inlineStr">
        <is>
          <t>Footwear</t>
        </is>
      </c>
      <c r="D1087" s="3" t="inlineStr">
        <is>
          <t>Sandals</t>
        </is>
      </c>
      <c r="E1087" s="3" t="inlineStr">
        <is>
          <t>Greater Accra</t>
        </is>
      </c>
      <c r="F1087" s="3" t="inlineStr">
        <is>
          <t>Retail Shop</t>
        </is>
      </c>
      <c r="G1087" s="3" t="inlineStr">
        <is>
          <t>Returning</t>
        </is>
      </c>
      <c r="H1087" s="3" t="n">
        <v>1</v>
      </c>
      <c r="I1087" s="8" t="n">
        <v>280</v>
      </c>
      <c r="J1087" s="8" t="n">
        <v>176.16</v>
      </c>
      <c r="K1087" s="9" t="n">
        <v>0</v>
      </c>
      <c r="L1087" s="8" t="n">
        <v>0.79</v>
      </c>
      <c r="M1087" s="8">
        <f>H1087*I1087*(1-K1087)</f>
        <v/>
      </c>
      <c r="N1087" s="8">
        <f>H1087*J1087</f>
        <v/>
      </c>
      <c r="O1087" s="8">
        <f>M1087-N1087-L1087</f>
        <v/>
      </c>
      <c r="P1087" s="10">
        <f>IFERROR(O1087/M1087,0)</f>
        <v/>
      </c>
      <c r="Q1087" s="3">
        <f>IF(H1087&lt;=0,"Review: quantity &lt;= 0",IF(K1087&gt;0.3,"Review: discount &gt; 30%",IF(G1087="","Review: missing customer type","OK")))</f>
        <v/>
      </c>
    </row>
    <row r="1088">
      <c r="A1088" s="3" t="inlineStr">
        <is>
          <t>ORD-11087</t>
        </is>
      </c>
      <c r="B1088" s="7" t="n">
        <v>45870</v>
      </c>
      <c r="C1088" s="3" t="inlineStr">
        <is>
          <t>Clothing</t>
        </is>
      </c>
      <c r="D1088" s="3" t="inlineStr">
        <is>
          <t>Jackets</t>
        </is>
      </c>
      <c r="E1088" s="3" t="inlineStr">
        <is>
          <t>Western</t>
        </is>
      </c>
      <c r="F1088" s="3" t="inlineStr">
        <is>
          <t>Retail Shop</t>
        </is>
      </c>
      <c r="G1088" s="3" t="inlineStr">
        <is>
          <t>Returning</t>
        </is>
      </c>
      <c r="H1088" s="3" t="n">
        <v>4</v>
      </c>
      <c r="I1088" s="8" t="n">
        <v>245</v>
      </c>
      <c r="J1088" s="8" t="n">
        <v>123.03</v>
      </c>
      <c r="K1088" s="9" t="n">
        <v>0.1</v>
      </c>
      <c r="L1088" s="8" t="n">
        <v>4.74</v>
      </c>
      <c r="M1088" s="8">
        <f>H1088*I1088*(1-K1088)</f>
        <v/>
      </c>
      <c r="N1088" s="8">
        <f>H1088*J1088</f>
        <v/>
      </c>
      <c r="O1088" s="8">
        <f>M1088-N1088-L1088</f>
        <v/>
      </c>
      <c r="P1088" s="10">
        <f>IFERROR(O1088/M1088,0)</f>
        <v/>
      </c>
      <c r="Q1088" s="3">
        <f>IF(H1088&lt;=0,"Review: quantity &lt;= 0",IF(K1088&gt;0.3,"Review: discount &gt; 30%",IF(G1088="","Review: missing customer type","OK")))</f>
        <v/>
      </c>
    </row>
    <row r="1089">
      <c r="A1089" s="3" t="inlineStr">
        <is>
          <t>ORD-11088</t>
        </is>
      </c>
      <c r="B1089" s="7" t="n">
        <v>45892</v>
      </c>
      <c r="C1089" s="3" t="inlineStr">
        <is>
          <t>Footwear</t>
        </is>
      </c>
      <c r="D1089" s="3" t="inlineStr">
        <is>
          <t>Sandals</t>
        </is>
      </c>
      <c r="E1089" s="3" t="inlineStr">
        <is>
          <t>Ashanti</t>
        </is>
      </c>
      <c r="F1089" s="3" t="inlineStr">
        <is>
          <t>Retail Shop</t>
        </is>
      </c>
      <c r="G1089" s="3" t="inlineStr">
        <is>
          <t>Returning</t>
        </is>
      </c>
      <c r="H1089" s="3" t="n">
        <v>6</v>
      </c>
      <c r="I1089" s="8" t="n">
        <v>615</v>
      </c>
      <c r="J1089" s="8" t="n">
        <v>308.87</v>
      </c>
      <c r="K1089" s="9" t="n">
        <v>0</v>
      </c>
      <c r="L1089" s="8" t="n">
        <v>8.15</v>
      </c>
      <c r="M1089" s="8">
        <f>H1089*I1089*(1-K1089)</f>
        <v/>
      </c>
      <c r="N1089" s="8">
        <f>H1089*J1089</f>
        <v/>
      </c>
      <c r="O1089" s="8">
        <f>M1089-N1089-L1089</f>
        <v/>
      </c>
      <c r="P1089" s="10">
        <f>IFERROR(O1089/M1089,0)</f>
        <v/>
      </c>
      <c r="Q1089" s="3">
        <f>IF(H1089&lt;=0,"Review: quantity &lt;= 0",IF(K1089&gt;0.3,"Review: discount &gt; 30%",IF(G1089="","Review: missing customer type","OK")))</f>
        <v/>
      </c>
    </row>
    <row r="1090">
      <c r="A1090" s="3" t="inlineStr">
        <is>
          <t>ORD-11089</t>
        </is>
      </c>
      <c r="B1090" s="7" t="n">
        <v>45973</v>
      </c>
      <c r="C1090" s="3" t="inlineStr">
        <is>
          <t>Footwear</t>
        </is>
      </c>
      <c r="D1090" s="3" t="inlineStr">
        <is>
          <t>Formal Shoes</t>
        </is>
      </c>
      <c r="E1090" s="3" t="inlineStr">
        <is>
          <t>Ashanti</t>
        </is>
      </c>
      <c r="F1090" s="3" t="inlineStr">
        <is>
          <t>Phone/WhatsApp</t>
        </is>
      </c>
      <c r="G1090" s="3" t="inlineStr">
        <is>
          <t>New</t>
        </is>
      </c>
      <c r="H1090" s="3" t="n">
        <v>4</v>
      </c>
      <c r="I1090" s="8" t="n">
        <v>480</v>
      </c>
      <c r="J1090" s="8" t="n">
        <v>266.35</v>
      </c>
      <c r="K1090" s="9" t="n">
        <v>0.1</v>
      </c>
      <c r="L1090" s="8" t="n">
        <v>14.24</v>
      </c>
      <c r="M1090" s="8">
        <f>H1090*I1090*(1-K1090)</f>
        <v/>
      </c>
      <c r="N1090" s="8">
        <f>H1090*J1090</f>
        <v/>
      </c>
      <c r="O1090" s="8">
        <f>M1090-N1090-L1090</f>
        <v/>
      </c>
      <c r="P1090" s="10">
        <f>IFERROR(O1090/M1090,0)</f>
        <v/>
      </c>
      <c r="Q1090" s="3">
        <f>IF(H1090&lt;=0,"Review: quantity &lt;= 0",IF(K1090&gt;0.3,"Review: discount &gt; 30%",IF(G1090="","Review: missing customer type","OK")))</f>
        <v/>
      </c>
    </row>
    <row r="1091">
      <c r="A1091" s="3" t="inlineStr">
        <is>
          <t>ORD-11090</t>
        </is>
      </c>
      <c r="B1091" s="7" t="n">
        <v>46004</v>
      </c>
      <c r="C1091" s="3" t="inlineStr">
        <is>
          <t>Accessories</t>
        </is>
      </c>
      <c r="D1091" s="3" t="inlineStr">
        <is>
          <t>Sunglasses</t>
        </is>
      </c>
      <c r="E1091" s="3" t="inlineStr">
        <is>
          <t>Western</t>
        </is>
      </c>
      <c r="F1091" s="3" t="inlineStr">
        <is>
          <t>Retail Shop</t>
        </is>
      </c>
      <c r="G1091" s="3" t="inlineStr">
        <is>
          <t>New</t>
        </is>
      </c>
      <c r="H1091" s="3" t="n">
        <v>1</v>
      </c>
      <c r="I1091" s="8" t="n">
        <v>130</v>
      </c>
      <c r="J1091" s="8" t="n">
        <v>64.20999999999999</v>
      </c>
      <c r="K1091" s="9" t="n">
        <v>0</v>
      </c>
      <c r="L1091" s="8" t="n">
        <v>7.72</v>
      </c>
      <c r="M1091" s="8">
        <f>H1091*I1091*(1-K1091)</f>
        <v/>
      </c>
      <c r="N1091" s="8">
        <f>H1091*J1091</f>
        <v/>
      </c>
      <c r="O1091" s="8">
        <f>M1091-N1091-L1091</f>
        <v/>
      </c>
      <c r="P1091" s="10">
        <f>IFERROR(O1091/M1091,0)</f>
        <v/>
      </c>
      <c r="Q1091" s="3">
        <f>IF(H1091&lt;=0,"Review: quantity &lt;= 0",IF(K1091&gt;0.3,"Review: discount &gt; 30%",IF(G1091="","Review: missing customer type","OK")))</f>
        <v/>
      </c>
    </row>
    <row r="1092">
      <c r="A1092" s="3" t="inlineStr">
        <is>
          <t>ORD-11091</t>
        </is>
      </c>
      <c r="B1092" s="7" t="n">
        <v>45941</v>
      </c>
      <c r="C1092" s="3" t="inlineStr">
        <is>
          <t>Clothing</t>
        </is>
      </c>
      <c r="D1092" s="3" t="inlineStr">
        <is>
          <t>Jackets</t>
        </is>
      </c>
      <c r="E1092" s="3" t="inlineStr">
        <is>
          <t>Greater Accra</t>
        </is>
      </c>
      <c r="F1092" s="3" t="inlineStr">
        <is>
          <t>Online</t>
        </is>
      </c>
      <c r="G1092" s="3" t="inlineStr">
        <is>
          <t>Returning</t>
        </is>
      </c>
      <c r="H1092" s="3" t="n">
        <v>1</v>
      </c>
      <c r="I1092" s="8" t="n">
        <v>145</v>
      </c>
      <c r="J1092" s="8" t="n">
        <v>79.66</v>
      </c>
      <c r="K1092" s="9" t="n">
        <v>0.05</v>
      </c>
      <c r="L1092" s="8" t="n">
        <v>25.25</v>
      </c>
      <c r="M1092" s="8">
        <f>H1092*I1092*(1-K1092)</f>
        <v/>
      </c>
      <c r="N1092" s="8">
        <f>H1092*J1092</f>
        <v/>
      </c>
      <c r="O1092" s="8">
        <f>M1092-N1092-L1092</f>
        <v/>
      </c>
      <c r="P1092" s="10">
        <f>IFERROR(O1092/M1092,0)</f>
        <v/>
      </c>
      <c r="Q1092" s="3">
        <f>IF(H1092&lt;=0,"Review: quantity &lt;= 0",IF(K1092&gt;0.3,"Review: discount &gt; 30%",IF(G1092="","Review: missing customer type","OK")))</f>
        <v/>
      </c>
    </row>
    <row r="1093">
      <c r="A1093" s="3" t="inlineStr">
        <is>
          <t>ORD-11092</t>
        </is>
      </c>
      <c r="B1093" s="7" t="n">
        <v>45981</v>
      </c>
      <c r="C1093" s="3" t="inlineStr">
        <is>
          <t>Clothing</t>
        </is>
      </c>
      <c r="D1093" s="3" t="inlineStr">
        <is>
          <t>Dresses</t>
        </is>
      </c>
      <c r="E1093" s="3" t="inlineStr">
        <is>
          <t>Central</t>
        </is>
      </c>
      <c r="F1093" s="3" t="inlineStr">
        <is>
          <t>Retail Shop</t>
        </is>
      </c>
      <c r="G1093" s="3" t="inlineStr">
        <is>
          <t>New</t>
        </is>
      </c>
      <c r="H1093" s="3" t="n">
        <v>2</v>
      </c>
      <c r="I1093" s="8" t="n">
        <v>105</v>
      </c>
      <c r="J1093" s="8" t="n">
        <v>60.66</v>
      </c>
      <c r="K1093" s="9" t="n">
        <v>0.2</v>
      </c>
      <c r="L1093" s="8" t="n">
        <v>7.88</v>
      </c>
      <c r="M1093" s="8">
        <f>H1093*I1093*(1-K1093)</f>
        <v/>
      </c>
      <c r="N1093" s="8">
        <f>H1093*J1093</f>
        <v/>
      </c>
      <c r="O1093" s="8">
        <f>M1093-N1093-L1093</f>
        <v/>
      </c>
      <c r="P1093" s="10">
        <f>IFERROR(O1093/M1093,0)</f>
        <v/>
      </c>
      <c r="Q1093" s="3">
        <f>IF(H1093&lt;=0,"Review: quantity &lt;= 0",IF(K1093&gt;0.3,"Review: discount &gt; 30%",IF(G1093="","Review: missing customer type","OK")))</f>
        <v/>
      </c>
    </row>
    <row r="1094">
      <c r="A1094" s="3" t="inlineStr">
        <is>
          <t>ORD-11093</t>
        </is>
      </c>
      <c r="B1094" s="7" t="n">
        <v>45993</v>
      </c>
      <c r="C1094" s="3" t="inlineStr">
        <is>
          <t>Clothing</t>
        </is>
      </c>
      <c r="D1094" s="3" t="inlineStr">
        <is>
          <t>Shirts</t>
        </is>
      </c>
      <c r="E1094" s="3" t="inlineStr">
        <is>
          <t>Western</t>
        </is>
      </c>
      <c r="F1094" s="3" t="inlineStr">
        <is>
          <t>Online</t>
        </is>
      </c>
      <c r="G1094" s="3" t="inlineStr">
        <is>
          <t>Returning</t>
        </is>
      </c>
      <c r="H1094" s="3" t="n">
        <v>1</v>
      </c>
      <c r="I1094" s="8" t="n">
        <v>100</v>
      </c>
      <c r="J1094" s="8" t="n">
        <v>54.03</v>
      </c>
      <c r="K1094" s="9" t="n">
        <v>0.2</v>
      </c>
      <c r="L1094" s="8" t="n">
        <v>31.08</v>
      </c>
      <c r="M1094" s="8">
        <f>H1094*I1094*(1-K1094)</f>
        <v/>
      </c>
      <c r="N1094" s="8">
        <f>H1094*J1094</f>
        <v/>
      </c>
      <c r="O1094" s="8">
        <f>M1094-N1094-L1094</f>
        <v/>
      </c>
      <c r="P1094" s="10">
        <f>IFERROR(O1094/M1094,0)</f>
        <v/>
      </c>
      <c r="Q1094" s="3">
        <f>IF(H1094&lt;=0,"Review: quantity &lt;= 0",IF(K1094&gt;0.3,"Review: discount &gt; 30%",IF(G1094="","Review: missing customer type","OK")))</f>
        <v/>
      </c>
    </row>
    <row r="1095">
      <c r="A1095" s="3" t="inlineStr">
        <is>
          <t>ORD-11094</t>
        </is>
      </c>
      <c r="B1095" s="7" t="n">
        <v>45840</v>
      </c>
      <c r="C1095" s="3" t="inlineStr">
        <is>
          <t>Home &amp; Lifestyle</t>
        </is>
      </c>
      <c r="D1095" s="3" t="inlineStr">
        <is>
          <t>Travel Mugs</t>
        </is>
      </c>
      <c r="E1095" s="3" t="inlineStr">
        <is>
          <t>Western</t>
        </is>
      </c>
      <c r="F1095" s="3" t="inlineStr">
        <is>
          <t>Retail Shop</t>
        </is>
      </c>
      <c r="G1095" s="3" t="inlineStr">
        <is>
          <t>Returning</t>
        </is>
      </c>
      <c r="H1095" s="3" t="n">
        <v>2</v>
      </c>
      <c r="I1095" s="8" t="n">
        <v>110</v>
      </c>
      <c r="J1095" s="8" t="n">
        <v>56.72</v>
      </c>
      <c r="K1095" s="9" t="n">
        <v>0.05</v>
      </c>
      <c r="L1095" s="8" t="n">
        <v>4.32</v>
      </c>
      <c r="M1095" s="8">
        <f>H1095*I1095*(1-K1095)</f>
        <v/>
      </c>
      <c r="N1095" s="8">
        <f>H1095*J1095</f>
        <v/>
      </c>
      <c r="O1095" s="8">
        <f>M1095-N1095-L1095</f>
        <v/>
      </c>
      <c r="P1095" s="10">
        <f>IFERROR(O1095/M1095,0)</f>
        <v/>
      </c>
      <c r="Q1095" s="3">
        <f>IF(H1095&lt;=0,"Review: quantity &lt;= 0",IF(K1095&gt;0.3,"Review: discount &gt; 30%",IF(G1095="","Review: missing customer type","OK")))</f>
        <v/>
      </c>
    </row>
    <row r="1096">
      <c r="A1096" s="3" t="inlineStr">
        <is>
          <t>ORD-11095</t>
        </is>
      </c>
      <c r="B1096" s="7" t="n">
        <v>46012</v>
      </c>
      <c r="C1096" s="3" t="inlineStr">
        <is>
          <t>Accessories</t>
        </is>
      </c>
      <c r="D1096" s="3" t="inlineStr">
        <is>
          <t>Watches</t>
        </is>
      </c>
      <c r="E1096" s="3" t="inlineStr">
        <is>
          <t>Ashanti</t>
        </is>
      </c>
      <c r="F1096" s="3" t="inlineStr">
        <is>
          <t>Online</t>
        </is>
      </c>
      <c r="G1096" s="3" t="inlineStr">
        <is>
          <t>New</t>
        </is>
      </c>
      <c r="H1096" s="3" t="n">
        <v>1</v>
      </c>
      <c r="I1096" s="8" t="n">
        <v>90</v>
      </c>
      <c r="J1096" s="8" t="n">
        <v>39.16</v>
      </c>
      <c r="K1096" s="9" t="n">
        <v>0</v>
      </c>
      <c r="L1096" s="8" t="n">
        <v>33.88</v>
      </c>
      <c r="M1096" s="8">
        <f>H1096*I1096*(1-K1096)</f>
        <v/>
      </c>
      <c r="N1096" s="8">
        <f>H1096*J1096</f>
        <v/>
      </c>
      <c r="O1096" s="8">
        <f>M1096-N1096-L1096</f>
        <v/>
      </c>
      <c r="P1096" s="10">
        <f>IFERROR(O1096/M1096,0)</f>
        <v/>
      </c>
      <c r="Q1096" s="3">
        <f>IF(H1096&lt;=0,"Review: quantity &lt;= 0",IF(K1096&gt;0.3,"Review: discount &gt; 30%",IF(G1096="","Review: missing customer type","OK")))</f>
        <v/>
      </c>
    </row>
    <row r="1097">
      <c r="A1097" s="3" t="inlineStr">
        <is>
          <t>ORD-11096</t>
        </is>
      </c>
      <c r="B1097" s="7" t="n">
        <v>45729</v>
      </c>
      <c r="C1097" s="3" t="inlineStr">
        <is>
          <t>Home &amp; Lifestyle</t>
        </is>
      </c>
      <c r="D1097" s="3" t="inlineStr">
        <is>
          <t>Travel Mugs</t>
        </is>
      </c>
      <c r="E1097" s="3" t="inlineStr">
        <is>
          <t>Greater Accra</t>
        </is>
      </c>
      <c r="F1097" s="3" t="inlineStr">
        <is>
          <t>Retail Shop</t>
        </is>
      </c>
      <c r="G1097" s="3" t="inlineStr">
        <is>
          <t>New</t>
        </is>
      </c>
      <c r="H1097" s="3" t="n">
        <v>4</v>
      </c>
      <c r="I1097" s="8" t="n">
        <v>190</v>
      </c>
      <c r="J1097" s="8" t="n">
        <v>114.81</v>
      </c>
      <c r="K1097" s="9" t="n">
        <v>0.1</v>
      </c>
      <c r="L1097" s="8" t="n">
        <v>8.630000000000001</v>
      </c>
      <c r="M1097" s="8">
        <f>H1097*I1097*(1-K1097)</f>
        <v/>
      </c>
      <c r="N1097" s="8">
        <f>H1097*J1097</f>
        <v/>
      </c>
      <c r="O1097" s="8">
        <f>M1097-N1097-L1097</f>
        <v/>
      </c>
      <c r="P1097" s="10">
        <f>IFERROR(O1097/M1097,0)</f>
        <v/>
      </c>
      <c r="Q1097" s="3">
        <f>IF(H1097&lt;=0,"Review: quantity &lt;= 0",IF(K1097&gt;0.3,"Review: discount &gt; 30%",IF(G1097="","Review: missing customer type","OK")))</f>
        <v/>
      </c>
    </row>
    <row r="1098">
      <c r="A1098" s="3" t="inlineStr">
        <is>
          <t>ORD-11097</t>
        </is>
      </c>
      <c r="B1098" s="7" t="n">
        <v>45726</v>
      </c>
      <c r="C1098" s="3" t="inlineStr">
        <is>
          <t>Clothing</t>
        </is>
      </c>
      <c r="D1098" s="3" t="inlineStr">
        <is>
          <t>Dresses</t>
        </is>
      </c>
      <c r="E1098" s="3" t="inlineStr">
        <is>
          <t>Greater Accra</t>
        </is>
      </c>
      <c r="F1098" s="3" t="inlineStr">
        <is>
          <t>Retail Shop</t>
        </is>
      </c>
      <c r="G1098" s="3" t="inlineStr">
        <is>
          <t>Returning</t>
        </is>
      </c>
      <c r="H1098" s="3" t="n">
        <v>1</v>
      </c>
      <c r="I1098" s="8" t="n">
        <v>180</v>
      </c>
      <c r="J1098" s="8" t="n">
        <v>83.77</v>
      </c>
      <c r="K1098" s="9" t="n">
        <v>0.15</v>
      </c>
      <c r="L1098" s="8" t="n">
        <v>2.05</v>
      </c>
      <c r="M1098" s="8">
        <f>H1098*I1098*(1-K1098)</f>
        <v/>
      </c>
      <c r="N1098" s="8">
        <f>H1098*J1098</f>
        <v/>
      </c>
      <c r="O1098" s="8">
        <f>M1098-N1098-L1098</f>
        <v/>
      </c>
      <c r="P1098" s="10">
        <f>IFERROR(O1098/M1098,0)</f>
        <v/>
      </c>
      <c r="Q1098" s="3">
        <f>IF(H1098&lt;=0,"Review: quantity &lt;= 0",IF(K1098&gt;0.3,"Review: discount &gt; 30%",IF(G1098="","Review: missing customer type","OK")))</f>
        <v/>
      </c>
    </row>
    <row r="1099">
      <c r="A1099" s="3" t="inlineStr">
        <is>
          <t>ORD-11098</t>
        </is>
      </c>
      <c r="B1099" s="7" t="n">
        <v>45685</v>
      </c>
      <c r="C1099" s="3" t="inlineStr">
        <is>
          <t>Accessories</t>
        </is>
      </c>
      <c r="D1099" s="3" t="inlineStr">
        <is>
          <t>Sunglasses</t>
        </is>
      </c>
      <c r="E1099" s="3" t="inlineStr">
        <is>
          <t>Greater Accra</t>
        </is>
      </c>
      <c r="F1099" s="3" t="inlineStr">
        <is>
          <t>Online</t>
        </is>
      </c>
      <c r="G1099" s="3" t="inlineStr">
        <is>
          <t>New</t>
        </is>
      </c>
      <c r="H1099" s="3" t="n">
        <v>5</v>
      </c>
      <c r="I1099" s="8" t="n">
        <v>60</v>
      </c>
      <c r="J1099" s="8" t="n">
        <v>26.37</v>
      </c>
      <c r="K1099" s="9" t="n">
        <v>0</v>
      </c>
      <c r="L1099" s="8" t="n">
        <v>31.17</v>
      </c>
      <c r="M1099" s="8">
        <f>H1099*I1099*(1-K1099)</f>
        <v/>
      </c>
      <c r="N1099" s="8">
        <f>H1099*J1099</f>
        <v/>
      </c>
      <c r="O1099" s="8">
        <f>M1099-N1099-L1099</f>
        <v/>
      </c>
      <c r="P1099" s="10">
        <f>IFERROR(O1099/M1099,0)</f>
        <v/>
      </c>
      <c r="Q1099" s="3">
        <f>IF(H1099&lt;=0,"Review: quantity &lt;= 0",IF(K1099&gt;0.3,"Review: discount &gt; 30%",IF(G1099="","Review: missing customer type","OK")))</f>
        <v/>
      </c>
    </row>
    <row r="1100">
      <c r="A1100" s="3" t="inlineStr">
        <is>
          <t>ORD-11099</t>
        </is>
      </c>
      <c r="B1100" s="7" t="n">
        <v>45946</v>
      </c>
      <c r="C1100" s="3" t="inlineStr">
        <is>
          <t>Footwear</t>
        </is>
      </c>
      <c r="D1100" s="3" t="inlineStr">
        <is>
          <t>Sandals</t>
        </is>
      </c>
      <c r="E1100" s="3" t="inlineStr">
        <is>
          <t>Greater Accra</t>
        </is>
      </c>
      <c r="F1100" s="3" t="inlineStr">
        <is>
          <t>Online</t>
        </is>
      </c>
      <c r="G1100" s="3" t="inlineStr">
        <is>
          <t>New</t>
        </is>
      </c>
      <c r="H1100" s="3" t="n">
        <v>5</v>
      </c>
      <c r="I1100" s="8" t="n">
        <v>450</v>
      </c>
      <c r="J1100" s="8" t="n">
        <v>245.88</v>
      </c>
      <c r="K1100" s="9" t="n">
        <v>0.2</v>
      </c>
      <c r="L1100" s="8" t="n">
        <v>12.06</v>
      </c>
      <c r="M1100" s="8">
        <f>H1100*I1100*(1-K1100)</f>
        <v/>
      </c>
      <c r="N1100" s="8">
        <f>H1100*J1100</f>
        <v/>
      </c>
      <c r="O1100" s="8">
        <f>M1100-N1100-L1100</f>
        <v/>
      </c>
      <c r="P1100" s="10">
        <f>IFERROR(O1100/M1100,0)</f>
        <v/>
      </c>
      <c r="Q1100" s="3">
        <f>IF(H1100&lt;=0,"Review: quantity &lt;= 0",IF(K1100&gt;0.3,"Review: discount &gt; 30%",IF(G1100="","Review: missing customer type","OK")))</f>
        <v/>
      </c>
    </row>
    <row r="1101">
      <c r="A1101" s="3" t="inlineStr">
        <is>
          <t>ORD-11100</t>
        </is>
      </c>
      <c r="B1101" s="7" t="n">
        <v>45763</v>
      </c>
      <c r="C1101" s="3" t="inlineStr">
        <is>
          <t>Clothing</t>
        </is>
      </c>
      <c r="D1101" s="3" t="inlineStr">
        <is>
          <t>Dresses</t>
        </is>
      </c>
      <c r="E1101" s="3" t="inlineStr">
        <is>
          <t>Central</t>
        </is>
      </c>
      <c r="F1101" s="3" t="inlineStr">
        <is>
          <t>Phone/WhatsApp</t>
        </is>
      </c>
      <c r="G1101" s="3" t="inlineStr">
        <is>
          <t>Returning</t>
        </is>
      </c>
      <c r="H1101" s="3" t="n">
        <v>3</v>
      </c>
      <c r="I1101" s="8" t="n">
        <v>135</v>
      </c>
      <c r="J1101" s="8" t="n">
        <v>65.36</v>
      </c>
      <c r="K1101" s="9" t="n">
        <v>0.1</v>
      </c>
      <c r="L1101" s="8" t="n">
        <v>10.93</v>
      </c>
      <c r="M1101" s="8">
        <f>H1101*I1101*(1-K1101)</f>
        <v/>
      </c>
      <c r="N1101" s="8">
        <f>H1101*J1101</f>
        <v/>
      </c>
      <c r="O1101" s="8">
        <f>M1101-N1101-L1101</f>
        <v/>
      </c>
      <c r="P1101" s="10">
        <f>IFERROR(O1101/M1101,0)</f>
        <v/>
      </c>
      <c r="Q1101" s="3">
        <f>IF(H1101&lt;=0,"Review: quantity &lt;= 0",IF(K1101&gt;0.3,"Review: discount &gt; 30%",IF(G1101="","Review: missing customer type","OK")))</f>
        <v/>
      </c>
    </row>
    <row r="1102">
      <c r="A1102" s="3" t="inlineStr">
        <is>
          <t>ORD-11101</t>
        </is>
      </c>
      <c r="B1102" s="7" t="n">
        <v>45688</v>
      </c>
      <c r="C1102" s="3" t="inlineStr">
        <is>
          <t>Home &amp; Lifestyle</t>
        </is>
      </c>
      <c r="D1102" s="3" t="inlineStr">
        <is>
          <t>Small Home Goods</t>
        </is>
      </c>
      <c r="E1102" s="3" t="inlineStr">
        <is>
          <t>Western</t>
        </is>
      </c>
      <c r="F1102" s="3" t="inlineStr">
        <is>
          <t>Retail Shop</t>
        </is>
      </c>
      <c r="G1102" s="3" t="inlineStr">
        <is>
          <t>Returning</t>
        </is>
      </c>
      <c r="H1102" s="3" t="n">
        <v>2</v>
      </c>
      <c r="I1102" s="8" t="n">
        <v>120</v>
      </c>
      <c r="J1102" s="8" t="n">
        <v>60.64</v>
      </c>
      <c r="K1102" s="9" t="n">
        <v>0.15</v>
      </c>
      <c r="L1102" s="8" t="n">
        <v>3.73</v>
      </c>
      <c r="M1102" s="8">
        <f>H1102*I1102*(1-K1102)</f>
        <v/>
      </c>
      <c r="N1102" s="8">
        <f>H1102*J1102</f>
        <v/>
      </c>
      <c r="O1102" s="8">
        <f>M1102-N1102-L1102</f>
        <v/>
      </c>
      <c r="P1102" s="10">
        <f>IFERROR(O1102/M1102,0)</f>
        <v/>
      </c>
      <c r="Q1102" s="3">
        <f>IF(H1102&lt;=0,"Review: quantity &lt;= 0",IF(K1102&gt;0.3,"Review: discount &gt; 30%",IF(G1102="","Review: missing customer type","OK")))</f>
        <v/>
      </c>
    </row>
    <row r="1103">
      <c r="A1103" s="3" t="inlineStr">
        <is>
          <t>ORD-11102</t>
        </is>
      </c>
      <c r="B1103" s="7" t="n">
        <v>45960</v>
      </c>
      <c r="C1103" s="3" t="inlineStr">
        <is>
          <t>Footwear</t>
        </is>
      </c>
      <c r="D1103" s="3" t="inlineStr">
        <is>
          <t>Boots</t>
        </is>
      </c>
      <c r="E1103" s="3" t="inlineStr">
        <is>
          <t>Greater Accra</t>
        </is>
      </c>
      <c r="F1103" s="3" t="inlineStr">
        <is>
          <t>Online</t>
        </is>
      </c>
      <c r="G1103" s="3" t="inlineStr">
        <is>
          <t>New</t>
        </is>
      </c>
      <c r="H1103" s="3" t="n">
        <v>10</v>
      </c>
      <c r="I1103" s="8" t="n">
        <v>340</v>
      </c>
      <c r="J1103" s="8" t="n">
        <v>198.09</v>
      </c>
      <c r="K1103" s="9" t="n">
        <v>0</v>
      </c>
      <c r="L1103" s="8" t="n">
        <v>29.22</v>
      </c>
      <c r="M1103" s="8">
        <f>H1103*I1103*(1-K1103)</f>
        <v/>
      </c>
      <c r="N1103" s="8">
        <f>H1103*J1103</f>
        <v/>
      </c>
      <c r="O1103" s="8">
        <f>M1103-N1103-L1103</f>
        <v/>
      </c>
      <c r="P1103" s="10">
        <f>IFERROR(O1103/M1103,0)</f>
        <v/>
      </c>
      <c r="Q1103" s="3">
        <f>IF(H1103&lt;=0,"Review: quantity &lt;= 0",IF(K1103&gt;0.3,"Review: discount &gt; 30%",IF(G1103="","Review: missing customer type","OK")))</f>
        <v/>
      </c>
    </row>
    <row r="1104">
      <c r="A1104" s="3" t="inlineStr">
        <is>
          <t>ORD-11103</t>
        </is>
      </c>
      <c r="B1104" s="7" t="n">
        <v>45853</v>
      </c>
      <c r="C1104" s="3" t="inlineStr">
        <is>
          <t>Footwear</t>
        </is>
      </c>
      <c r="D1104" s="3" t="inlineStr">
        <is>
          <t>Formal Shoes</t>
        </is>
      </c>
      <c r="E1104" s="3" t="inlineStr">
        <is>
          <t>Ashanti</t>
        </is>
      </c>
      <c r="F1104" s="3" t="inlineStr">
        <is>
          <t>Online</t>
        </is>
      </c>
      <c r="G1104" s="3" t="inlineStr">
        <is>
          <t>New</t>
        </is>
      </c>
      <c r="H1104" s="3" t="n">
        <v>1</v>
      </c>
      <c r="I1104" s="8" t="n">
        <v>220</v>
      </c>
      <c r="J1104" s="8" t="n">
        <v>140.19</v>
      </c>
      <c r="K1104" s="9" t="n">
        <v>0.1</v>
      </c>
      <c r="L1104" s="8" t="n">
        <v>13.07</v>
      </c>
      <c r="M1104" s="8">
        <f>H1104*I1104*(1-K1104)</f>
        <v/>
      </c>
      <c r="N1104" s="8">
        <f>H1104*J1104</f>
        <v/>
      </c>
      <c r="O1104" s="8">
        <f>M1104-N1104-L1104</f>
        <v/>
      </c>
      <c r="P1104" s="10">
        <f>IFERROR(O1104/M1104,0)</f>
        <v/>
      </c>
      <c r="Q1104" s="3">
        <f>IF(H1104&lt;=0,"Review: quantity &lt;= 0",IF(K1104&gt;0.3,"Review: discount &gt; 30%",IF(G1104="","Review: missing customer type","OK")))</f>
        <v/>
      </c>
    </row>
    <row r="1105">
      <c r="A1105" s="3" t="inlineStr">
        <is>
          <t>ORD-11104</t>
        </is>
      </c>
      <c r="B1105" s="7" t="n">
        <v>45793</v>
      </c>
      <c r="C1105" s="3" t="inlineStr">
        <is>
          <t>Clothing</t>
        </is>
      </c>
      <c r="D1105" s="3" t="inlineStr">
        <is>
          <t>Dresses</t>
        </is>
      </c>
      <c r="E1105" s="3" t="inlineStr">
        <is>
          <t>Greater Accra</t>
        </is>
      </c>
      <c r="F1105" s="3" t="inlineStr">
        <is>
          <t>Retail Shop</t>
        </is>
      </c>
      <c r="G1105" s="3" t="inlineStr">
        <is>
          <t>Returning</t>
        </is>
      </c>
      <c r="H1105" s="3" t="n">
        <v>4</v>
      </c>
      <c r="I1105" s="8" t="n">
        <v>180</v>
      </c>
      <c r="J1105" s="8" t="n">
        <v>102.29</v>
      </c>
      <c r="K1105" s="9" t="n">
        <v>0.05</v>
      </c>
      <c r="L1105" s="8" t="n">
        <v>4.79</v>
      </c>
      <c r="M1105" s="8">
        <f>H1105*I1105*(1-K1105)</f>
        <v/>
      </c>
      <c r="N1105" s="8">
        <f>H1105*J1105</f>
        <v/>
      </c>
      <c r="O1105" s="8">
        <f>M1105-N1105-L1105</f>
        <v/>
      </c>
      <c r="P1105" s="10">
        <f>IFERROR(O1105/M1105,0)</f>
        <v/>
      </c>
      <c r="Q1105" s="3">
        <f>IF(H1105&lt;=0,"Review: quantity &lt;= 0",IF(K1105&gt;0.3,"Review: discount &gt; 30%",IF(G1105="","Review: missing customer type","OK")))</f>
        <v/>
      </c>
    </row>
    <row r="1106">
      <c r="A1106" s="3" t="inlineStr">
        <is>
          <t>ORD-11105</t>
        </is>
      </c>
      <c r="B1106" s="7" t="n">
        <v>45764</v>
      </c>
      <c r="C1106" s="3" t="inlineStr">
        <is>
          <t>Accessories</t>
        </is>
      </c>
      <c r="D1106" s="3" t="inlineStr">
        <is>
          <t>Sunglasses</t>
        </is>
      </c>
      <c r="E1106" s="3" t="inlineStr">
        <is>
          <t>Greater Accra</t>
        </is>
      </c>
      <c r="F1106" s="3" t="inlineStr">
        <is>
          <t>Retail Shop</t>
        </is>
      </c>
      <c r="G1106" s="3" t="inlineStr">
        <is>
          <t>New</t>
        </is>
      </c>
      <c r="H1106" s="3" t="n">
        <v>2</v>
      </c>
      <c r="I1106" s="8" t="n">
        <v>65</v>
      </c>
      <c r="J1106" s="8" t="n">
        <v>34.9</v>
      </c>
      <c r="K1106" s="9" t="n">
        <v>0.05</v>
      </c>
      <c r="L1106" s="8" t="n">
        <v>4.9</v>
      </c>
      <c r="M1106" s="8">
        <f>H1106*I1106*(1-K1106)</f>
        <v/>
      </c>
      <c r="N1106" s="8">
        <f>H1106*J1106</f>
        <v/>
      </c>
      <c r="O1106" s="8">
        <f>M1106-N1106-L1106</f>
        <v/>
      </c>
      <c r="P1106" s="10">
        <f>IFERROR(O1106/M1106,0)</f>
        <v/>
      </c>
      <c r="Q1106" s="3">
        <f>IF(H1106&lt;=0,"Review: quantity &lt;= 0",IF(K1106&gt;0.3,"Review: discount &gt; 30%",IF(G1106="","Review: missing customer type","OK")))</f>
        <v/>
      </c>
    </row>
    <row r="1107">
      <c r="A1107" s="3" t="inlineStr">
        <is>
          <t>ORD-11106</t>
        </is>
      </c>
      <c r="B1107" s="7" t="n">
        <v>45760</v>
      </c>
      <c r="C1107" s="3" t="inlineStr">
        <is>
          <t>Footwear</t>
        </is>
      </c>
      <c r="D1107" s="3" t="inlineStr">
        <is>
          <t>Boots</t>
        </is>
      </c>
      <c r="E1107" s="3" t="inlineStr">
        <is>
          <t>Ashanti</t>
        </is>
      </c>
      <c r="F1107" s="3" t="inlineStr">
        <is>
          <t>Phone/WhatsApp</t>
        </is>
      </c>
      <c r="G1107" s="3" t="inlineStr">
        <is>
          <t>Returning</t>
        </is>
      </c>
      <c r="H1107" s="3" t="n">
        <v>1</v>
      </c>
      <c r="I1107" s="8" t="n">
        <v>475</v>
      </c>
      <c r="J1107" s="8" t="n">
        <v>263.92</v>
      </c>
      <c r="K1107" s="9" t="n">
        <v>0.05</v>
      </c>
      <c r="L1107" s="8" t="n">
        <v>25.23</v>
      </c>
      <c r="M1107" s="8">
        <f>H1107*I1107*(1-K1107)</f>
        <v/>
      </c>
      <c r="N1107" s="8">
        <f>H1107*J1107</f>
        <v/>
      </c>
      <c r="O1107" s="8">
        <f>M1107-N1107-L1107</f>
        <v/>
      </c>
      <c r="P1107" s="10">
        <f>IFERROR(O1107/M1107,0)</f>
        <v/>
      </c>
      <c r="Q1107" s="3">
        <f>IF(H1107&lt;=0,"Review: quantity &lt;= 0",IF(K1107&gt;0.3,"Review: discount &gt; 30%",IF(G1107="","Review: missing customer type","OK")))</f>
        <v/>
      </c>
    </row>
    <row r="1108">
      <c r="A1108" s="3" t="inlineStr">
        <is>
          <t>ORD-11107</t>
        </is>
      </c>
      <c r="B1108" s="7" t="n">
        <v>45960</v>
      </c>
      <c r="C1108" s="3" t="inlineStr">
        <is>
          <t>Home &amp; Lifestyle</t>
        </is>
      </c>
      <c r="D1108" s="3" t="inlineStr">
        <is>
          <t>Backpacks</t>
        </is>
      </c>
      <c r="E1108" s="3" t="inlineStr">
        <is>
          <t>Greater Accra</t>
        </is>
      </c>
      <c r="F1108" s="3" t="inlineStr">
        <is>
          <t>Online</t>
        </is>
      </c>
      <c r="G1108" s="3" t="inlineStr">
        <is>
          <t>Returning</t>
        </is>
      </c>
      <c r="H1108" s="3" t="n">
        <v>2</v>
      </c>
      <c r="I1108" s="8" t="n">
        <v>95</v>
      </c>
      <c r="J1108" s="8" t="n">
        <v>52.59</v>
      </c>
      <c r="K1108" s="9" t="n">
        <v>0</v>
      </c>
      <c r="L1108" s="8" t="n">
        <v>8.35</v>
      </c>
      <c r="M1108" s="8">
        <f>H1108*I1108*(1-K1108)</f>
        <v/>
      </c>
      <c r="N1108" s="8">
        <f>H1108*J1108</f>
        <v/>
      </c>
      <c r="O1108" s="8">
        <f>M1108-N1108-L1108</f>
        <v/>
      </c>
      <c r="P1108" s="10">
        <f>IFERROR(O1108/M1108,0)</f>
        <v/>
      </c>
      <c r="Q1108" s="3">
        <f>IF(H1108&lt;=0,"Review: quantity &lt;= 0",IF(K1108&gt;0.3,"Review: discount &gt; 30%",IF(G1108="","Review: missing customer type","OK")))</f>
        <v/>
      </c>
    </row>
    <row r="1109">
      <c r="A1109" s="3" t="inlineStr">
        <is>
          <t>ORD-11108</t>
        </is>
      </c>
      <c r="B1109" s="7" t="n">
        <v>45983</v>
      </c>
      <c r="C1109" s="3" t="inlineStr">
        <is>
          <t>Clothing</t>
        </is>
      </c>
      <c r="D1109" s="3" t="inlineStr">
        <is>
          <t>Shirts</t>
        </is>
      </c>
      <c r="E1109" s="3" t="inlineStr">
        <is>
          <t>Greater Accra</t>
        </is>
      </c>
      <c r="F1109" s="3" t="inlineStr">
        <is>
          <t>Retail Shop</t>
        </is>
      </c>
      <c r="G1109" s="3" t="inlineStr">
        <is>
          <t>Returning</t>
        </is>
      </c>
      <c r="H1109" s="3" t="n">
        <v>1</v>
      </c>
      <c r="I1109" s="8" t="n">
        <v>230</v>
      </c>
      <c r="J1109" s="8" t="n">
        <v>131.79</v>
      </c>
      <c r="K1109" s="9" t="n">
        <v>0.1</v>
      </c>
      <c r="L1109" s="8" t="n">
        <v>2.07</v>
      </c>
      <c r="M1109" s="8">
        <f>H1109*I1109*(1-K1109)</f>
        <v/>
      </c>
      <c r="N1109" s="8">
        <f>H1109*J1109</f>
        <v/>
      </c>
      <c r="O1109" s="8">
        <f>M1109-N1109-L1109</f>
        <v/>
      </c>
      <c r="P1109" s="10">
        <f>IFERROR(O1109/M1109,0)</f>
        <v/>
      </c>
      <c r="Q1109" s="3">
        <f>IF(H1109&lt;=0,"Review: quantity &lt;= 0",IF(K1109&gt;0.3,"Review: discount &gt; 30%",IF(G1109="","Review: missing customer type","OK")))</f>
        <v/>
      </c>
    </row>
    <row r="1110">
      <c r="A1110" s="3" t="inlineStr">
        <is>
          <t>ORD-11109</t>
        </is>
      </c>
      <c r="B1110" s="7" t="n">
        <v>45897</v>
      </c>
      <c r="C1110" s="3" t="inlineStr">
        <is>
          <t>Clothing</t>
        </is>
      </c>
      <c r="D1110" s="3" t="inlineStr">
        <is>
          <t>Trousers</t>
        </is>
      </c>
      <c r="E1110" s="3" t="inlineStr">
        <is>
          <t>Ashanti</t>
        </is>
      </c>
      <c r="F1110" s="3" t="inlineStr">
        <is>
          <t>Phone/WhatsApp</t>
        </is>
      </c>
      <c r="G1110" s="3" t="inlineStr">
        <is>
          <t>New</t>
        </is>
      </c>
      <c r="H1110" s="3" t="n">
        <v>1</v>
      </c>
      <c r="I1110" s="8" t="n">
        <v>125</v>
      </c>
      <c r="J1110" s="8" t="n">
        <v>67.79000000000001</v>
      </c>
      <c r="K1110" s="9" t="n">
        <v>0.1</v>
      </c>
      <c r="L1110" s="8" t="n">
        <v>20.19</v>
      </c>
      <c r="M1110" s="8">
        <f>H1110*I1110*(1-K1110)</f>
        <v/>
      </c>
      <c r="N1110" s="8">
        <f>H1110*J1110</f>
        <v/>
      </c>
      <c r="O1110" s="8">
        <f>M1110-N1110-L1110</f>
        <v/>
      </c>
      <c r="P1110" s="10">
        <f>IFERROR(O1110/M1110,0)</f>
        <v/>
      </c>
      <c r="Q1110" s="3">
        <f>IF(H1110&lt;=0,"Review: quantity &lt;= 0",IF(K1110&gt;0.3,"Review: discount &gt; 30%",IF(G1110="","Review: missing customer type","OK")))</f>
        <v/>
      </c>
    </row>
    <row r="1111">
      <c r="A1111" s="3" t="inlineStr">
        <is>
          <t>ORD-11110</t>
        </is>
      </c>
      <c r="B1111" s="7" t="n">
        <v>45935</v>
      </c>
      <c r="C1111" s="3" t="inlineStr">
        <is>
          <t>Clothing</t>
        </is>
      </c>
      <c r="D1111" s="3" t="inlineStr">
        <is>
          <t>Jackets</t>
        </is>
      </c>
      <c r="E1111" s="3" t="inlineStr">
        <is>
          <t>Greater Accra</t>
        </is>
      </c>
      <c r="F1111" s="3" t="inlineStr">
        <is>
          <t>Phone/WhatsApp</t>
        </is>
      </c>
      <c r="G1111" s="3" t="inlineStr">
        <is>
          <t>New</t>
        </is>
      </c>
      <c r="H1111" s="3" t="n">
        <v>5</v>
      </c>
      <c r="I1111" s="8" t="n">
        <v>115</v>
      </c>
      <c r="J1111" s="8" t="n">
        <v>62.74</v>
      </c>
      <c r="K1111" s="9" t="n">
        <v>0</v>
      </c>
      <c r="L1111" s="8" t="n">
        <v>22.3</v>
      </c>
      <c r="M1111" s="8">
        <f>H1111*I1111*(1-K1111)</f>
        <v/>
      </c>
      <c r="N1111" s="8">
        <f>H1111*J1111</f>
        <v/>
      </c>
      <c r="O1111" s="8">
        <f>M1111-N1111-L1111</f>
        <v/>
      </c>
      <c r="P1111" s="10">
        <f>IFERROR(O1111/M1111,0)</f>
        <v/>
      </c>
      <c r="Q1111" s="3">
        <f>IF(H1111&lt;=0,"Review: quantity &lt;= 0",IF(K1111&gt;0.3,"Review: discount &gt; 30%",IF(G1111="","Review: missing customer type","OK")))</f>
        <v/>
      </c>
    </row>
    <row r="1112">
      <c r="A1112" s="3" t="inlineStr">
        <is>
          <t>ORD-11111</t>
        </is>
      </c>
      <c r="B1112" s="7" t="n">
        <v>46021</v>
      </c>
      <c r="C1112" s="3" t="inlineStr">
        <is>
          <t>Footwear</t>
        </is>
      </c>
      <c r="D1112" s="3" t="inlineStr">
        <is>
          <t>Formal Shoes</t>
        </is>
      </c>
      <c r="E1112" s="3" t="inlineStr">
        <is>
          <t>Greater Accra</t>
        </is>
      </c>
      <c r="F1112" s="3" t="inlineStr">
        <is>
          <t>Retail Shop</t>
        </is>
      </c>
      <c r="G1112" s="3" t="inlineStr">
        <is>
          <t>New</t>
        </is>
      </c>
      <c r="H1112" s="3" t="n">
        <v>3</v>
      </c>
      <c r="I1112" s="8" t="n">
        <v>170</v>
      </c>
      <c r="J1112" s="8" t="n">
        <v>108.52</v>
      </c>
      <c r="K1112" s="9" t="n">
        <v>0</v>
      </c>
      <c r="L1112" s="8" t="n">
        <v>7.52</v>
      </c>
      <c r="M1112" s="8">
        <f>H1112*I1112*(1-K1112)</f>
        <v/>
      </c>
      <c r="N1112" s="8">
        <f>H1112*J1112</f>
        <v/>
      </c>
      <c r="O1112" s="8">
        <f>M1112-N1112-L1112</f>
        <v/>
      </c>
      <c r="P1112" s="10">
        <f>IFERROR(O1112/M1112,0)</f>
        <v/>
      </c>
      <c r="Q1112" s="3">
        <f>IF(H1112&lt;=0,"Review: quantity &lt;= 0",IF(K1112&gt;0.3,"Review: discount &gt; 30%",IF(G1112="","Review: missing customer type","OK")))</f>
        <v/>
      </c>
    </row>
    <row r="1113">
      <c r="A1113" s="3" t="inlineStr">
        <is>
          <t>ORD-11112</t>
        </is>
      </c>
      <c r="B1113" s="7" t="n">
        <v>45848</v>
      </c>
      <c r="C1113" s="3" t="inlineStr">
        <is>
          <t>Footwear</t>
        </is>
      </c>
      <c r="D1113" s="3" t="inlineStr">
        <is>
          <t>Formal Shoes</t>
        </is>
      </c>
      <c r="E1113" s="3" t="inlineStr">
        <is>
          <t>Western</t>
        </is>
      </c>
      <c r="F1113" s="3" t="inlineStr">
        <is>
          <t>Retail Shop</t>
        </is>
      </c>
      <c r="G1113" s="3" t="inlineStr">
        <is>
          <t>Returning</t>
        </is>
      </c>
      <c r="H1113" s="3" t="n">
        <v>11</v>
      </c>
      <c r="I1113" s="8" t="n">
        <v>385</v>
      </c>
      <c r="J1113" s="8" t="n">
        <v>224.9</v>
      </c>
      <c r="K1113" s="9" t="n">
        <v>0.1</v>
      </c>
      <c r="L1113" s="8" t="n">
        <v>5.99</v>
      </c>
      <c r="M1113" s="8">
        <f>H1113*I1113*(1-K1113)</f>
        <v/>
      </c>
      <c r="N1113" s="8">
        <f>H1113*J1113</f>
        <v/>
      </c>
      <c r="O1113" s="8">
        <f>M1113-N1113-L1113</f>
        <v/>
      </c>
      <c r="P1113" s="10">
        <f>IFERROR(O1113/M1113,0)</f>
        <v/>
      </c>
      <c r="Q1113" s="3">
        <f>IF(H1113&lt;=0,"Review: quantity &lt;= 0",IF(K1113&gt;0.3,"Review: discount &gt; 30%",IF(G1113="","Review: missing customer type","OK")))</f>
        <v/>
      </c>
    </row>
    <row r="1114">
      <c r="A1114" s="3" t="inlineStr">
        <is>
          <t>ORD-11113</t>
        </is>
      </c>
      <c r="B1114" s="7" t="n">
        <v>45923</v>
      </c>
      <c r="C1114" s="3" t="inlineStr">
        <is>
          <t>Footwear</t>
        </is>
      </c>
      <c r="D1114" s="3" t="inlineStr">
        <is>
          <t>Sandals</t>
        </is>
      </c>
      <c r="E1114" s="3" t="inlineStr">
        <is>
          <t>Greater Accra</t>
        </is>
      </c>
      <c r="F1114" s="3" t="inlineStr">
        <is>
          <t>Online</t>
        </is>
      </c>
      <c r="G1114" s="3" t="inlineStr">
        <is>
          <t>Returning</t>
        </is>
      </c>
      <c r="H1114" s="3" t="n">
        <v>4</v>
      </c>
      <c r="I1114" s="8" t="n">
        <v>260</v>
      </c>
      <c r="J1114" s="8" t="n">
        <v>138.94</v>
      </c>
      <c r="K1114" s="9" t="n">
        <v>0</v>
      </c>
      <c r="L1114" s="8" t="n">
        <v>14.09</v>
      </c>
      <c r="M1114" s="8">
        <f>H1114*I1114*(1-K1114)</f>
        <v/>
      </c>
      <c r="N1114" s="8">
        <f>H1114*J1114</f>
        <v/>
      </c>
      <c r="O1114" s="8">
        <f>M1114-N1114-L1114</f>
        <v/>
      </c>
      <c r="P1114" s="10">
        <f>IFERROR(O1114/M1114,0)</f>
        <v/>
      </c>
      <c r="Q1114" s="3">
        <f>IF(H1114&lt;=0,"Review: quantity &lt;= 0",IF(K1114&gt;0.3,"Review: discount &gt; 30%",IF(G1114="","Review: missing customer type","OK")))</f>
        <v/>
      </c>
    </row>
    <row r="1115">
      <c r="A1115" s="3" t="inlineStr">
        <is>
          <t>ORD-11114</t>
        </is>
      </c>
      <c r="B1115" s="7" t="n">
        <v>45878</v>
      </c>
      <c r="C1115" s="3" t="inlineStr">
        <is>
          <t>Clothing</t>
        </is>
      </c>
      <c r="D1115" s="3" t="inlineStr">
        <is>
          <t>Trousers</t>
        </is>
      </c>
      <c r="E1115" s="3" t="inlineStr">
        <is>
          <t>Greater Accra</t>
        </is>
      </c>
      <c r="F1115" s="3" t="inlineStr">
        <is>
          <t>Online</t>
        </is>
      </c>
      <c r="G1115" s="3" t="inlineStr">
        <is>
          <t>New</t>
        </is>
      </c>
      <c r="H1115" s="3" t="n">
        <v>8</v>
      </c>
      <c r="I1115" s="8" t="n">
        <v>85</v>
      </c>
      <c r="J1115" s="8" t="n">
        <v>47.8</v>
      </c>
      <c r="K1115" s="9" t="n">
        <v>0</v>
      </c>
      <c r="L1115" s="8" t="n">
        <v>37.54</v>
      </c>
      <c r="M1115" s="8">
        <f>H1115*I1115*(1-K1115)</f>
        <v/>
      </c>
      <c r="N1115" s="8">
        <f>H1115*J1115</f>
        <v/>
      </c>
      <c r="O1115" s="8">
        <f>M1115-N1115-L1115</f>
        <v/>
      </c>
      <c r="P1115" s="10">
        <f>IFERROR(O1115/M1115,0)</f>
        <v/>
      </c>
      <c r="Q1115" s="3">
        <f>IF(H1115&lt;=0,"Review: quantity &lt;= 0",IF(K1115&gt;0.3,"Review: discount &gt; 30%",IF(G1115="","Review: missing customer type","OK")))</f>
        <v/>
      </c>
    </row>
    <row r="1116">
      <c r="A1116" s="3" t="inlineStr">
        <is>
          <t>ORD-11115</t>
        </is>
      </c>
      <c r="B1116" s="7" t="n">
        <v>45803</v>
      </c>
      <c r="C1116" s="3" t="inlineStr">
        <is>
          <t>Footwear</t>
        </is>
      </c>
      <c r="D1116" s="3" t="inlineStr">
        <is>
          <t>Boots</t>
        </is>
      </c>
      <c r="E1116" s="3" t="inlineStr">
        <is>
          <t>Northern</t>
        </is>
      </c>
      <c r="F1116" s="3" t="inlineStr">
        <is>
          <t>Online</t>
        </is>
      </c>
      <c r="G1116" s="3" t="inlineStr">
        <is>
          <t>Returning</t>
        </is>
      </c>
      <c r="H1116" s="3" t="n">
        <v>2</v>
      </c>
      <c r="I1116" s="8" t="n">
        <v>165</v>
      </c>
      <c r="J1116" s="8" t="n">
        <v>101.1</v>
      </c>
      <c r="K1116" s="9" t="n">
        <v>0</v>
      </c>
      <c r="L1116" s="8" t="n">
        <v>25.53</v>
      </c>
      <c r="M1116" s="8">
        <f>H1116*I1116*(1-K1116)</f>
        <v/>
      </c>
      <c r="N1116" s="8">
        <f>H1116*J1116</f>
        <v/>
      </c>
      <c r="O1116" s="8">
        <f>M1116-N1116-L1116</f>
        <v/>
      </c>
      <c r="P1116" s="10">
        <f>IFERROR(O1116/M1116,0)</f>
        <v/>
      </c>
      <c r="Q1116" s="3">
        <f>IF(H1116&lt;=0,"Review: quantity &lt;= 0",IF(K1116&gt;0.3,"Review: discount &gt; 30%",IF(G1116="","Review: missing customer type","OK")))</f>
        <v/>
      </c>
    </row>
    <row r="1117">
      <c r="A1117" s="3" t="inlineStr">
        <is>
          <t>ORD-11116</t>
        </is>
      </c>
      <c r="B1117" s="7" t="n">
        <v>45681</v>
      </c>
      <c r="C1117" s="3" t="inlineStr">
        <is>
          <t>Footwear</t>
        </is>
      </c>
      <c r="D1117" s="3" t="inlineStr">
        <is>
          <t>Boots</t>
        </is>
      </c>
      <c r="E1117" s="3" t="inlineStr">
        <is>
          <t>Northern</t>
        </is>
      </c>
      <c r="F1117" s="3" t="inlineStr">
        <is>
          <t>Online</t>
        </is>
      </c>
      <c r="G1117" s="3" t="inlineStr">
        <is>
          <t>Returning</t>
        </is>
      </c>
      <c r="H1117" s="3" t="n">
        <v>7</v>
      </c>
      <c r="I1117" s="8" t="n">
        <v>280</v>
      </c>
      <c r="J1117" s="8" t="n">
        <v>175.44</v>
      </c>
      <c r="K1117" s="9" t="n">
        <v>0.05</v>
      </c>
      <c r="L1117" s="8" t="n">
        <v>26.35</v>
      </c>
      <c r="M1117" s="8">
        <f>H1117*I1117*(1-K1117)</f>
        <v/>
      </c>
      <c r="N1117" s="8">
        <f>H1117*J1117</f>
        <v/>
      </c>
      <c r="O1117" s="8">
        <f>M1117-N1117-L1117</f>
        <v/>
      </c>
      <c r="P1117" s="10">
        <f>IFERROR(O1117/M1117,0)</f>
        <v/>
      </c>
      <c r="Q1117" s="3">
        <f>IF(H1117&lt;=0,"Review: quantity &lt;= 0",IF(K1117&gt;0.3,"Review: discount &gt; 30%",IF(G1117="","Review: missing customer type","OK")))</f>
        <v/>
      </c>
    </row>
    <row r="1118">
      <c r="A1118" s="3" t="inlineStr">
        <is>
          <t>ORD-11117</t>
        </is>
      </c>
      <c r="B1118" s="7" t="n">
        <v>45915</v>
      </c>
      <c r="C1118" s="3" t="inlineStr">
        <is>
          <t>Home &amp; Lifestyle</t>
        </is>
      </c>
      <c r="D1118" s="3" t="inlineStr">
        <is>
          <t>Small Home Goods</t>
        </is>
      </c>
      <c r="E1118" s="3" t="inlineStr">
        <is>
          <t>Central</t>
        </is>
      </c>
      <c r="F1118" s="3" t="inlineStr">
        <is>
          <t>Retail Shop</t>
        </is>
      </c>
      <c r="G1118" s="3" t="inlineStr">
        <is>
          <t>New</t>
        </is>
      </c>
      <c r="H1118" s="3" t="n">
        <v>2</v>
      </c>
      <c r="I1118" s="8" t="n">
        <v>95</v>
      </c>
      <c r="J1118" s="8" t="n">
        <v>55.86</v>
      </c>
      <c r="K1118" s="9" t="n">
        <v>0</v>
      </c>
      <c r="L1118" s="8" t="n">
        <v>5.58</v>
      </c>
      <c r="M1118" s="8">
        <f>H1118*I1118*(1-K1118)</f>
        <v/>
      </c>
      <c r="N1118" s="8">
        <f>H1118*J1118</f>
        <v/>
      </c>
      <c r="O1118" s="8">
        <f>M1118-N1118-L1118</f>
        <v/>
      </c>
      <c r="P1118" s="10">
        <f>IFERROR(O1118/M1118,0)</f>
        <v/>
      </c>
      <c r="Q1118" s="3">
        <f>IF(H1118&lt;=0,"Review: quantity &lt;= 0",IF(K1118&gt;0.3,"Review: discount &gt; 30%",IF(G1118="","Review: missing customer type","OK")))</f>
        <v/>
      </c>
    </row>
    <row r="1119">
      <c r="A1119" s="3" t="inlineStr">
        <is>
          <t>ORD-11118</t>
        </is>
      </c>
      <c r="B1119" s="7" t="n">
        <v>45764</v>
      </c>
      <c r="C1119" s="3" t="inlineStr">
        <is>
          <t>Clothing</t>
        </is>
      </c>
      <c r="D1119" s="3" t="inlineStr">
        <is>
          <t>Shirts</t>
        </is>
      </c>
      <c r="E1119" s="3" t="inlineStr">
        <is>
          <t>Central</t>
        </is>
      </c>
      <c r="F1119" s="3" t="inlineStr">
        <is>
          <t>Online</t>
        </is>
      </c>
      <c r="G1119" s="3" t="inlineStr">
        <is>
          <t>Returning</t>
        </is>
      </c>
      <c r="H1119" s="3" t="n">
        <v>1</v>
      </c>
      <c r="I1119" s="8" t="n">
        <v>175</v>
      </c>
      <c r="J1119" s="8" t="n">
        <v>93.98</v>
      </c>
      <c r="K1119" s="9" t="n">
        <v>0.1</v>
      </c>
      <c r="L1119" s="8" t="n">
        <v>44.57</v>
      </c>
      <c r="M1119" s="8">
        <f>H1119*I1119*(1-K1119)</f>
        <v/>
      </c>
      <c r="N1119" s="8">
        <f>H1119*J1119</f>
        <v/>
      </c>
      <c r="O1119" s="8">
        <f>M1119-N1119-L1119</f>
        <v/>
      </c>
      <c r="P1119" s="10">
        <f>IFERROR(O1119/M1119,0)</f>
        <v/>
      </c>
      <c r="Q1119" s="3">
        <f>IF(H1119&lt;=0,"Review: quantity &lt;= 0",IF(K1119&gt;0.3,"Review: discount &gt; 30%",IF(G1119="","Review: missing customer type","OK")))</f>
        <v/>
      </c>
    </row>
    <row r="1120">
      <c r="A1120" s="3" t="inlineStr">
        <is>
          <t>ORD-11119</t>
        </is>
      </c>
      <c r="B1120" s="7" t="n">
        <v>45998</v>
      </c>
      <c r="C1120" s="3" t="inlineStr">
        <is>
          <t>Footwear</t>
        </is>
      </c>
      <c r="D1120" s="3" t="inlineStr">
        <is>
          <t>Sandals</t>
        </is>
      </c>
      <c r="E1120" s="3" t="inlineStr">
        <is>
          <t>Ashanti</t>
        </is>
      </c>
      <c r="F1120" s="3" t="inlineStr">
        <is>
          <t>Online</t>
        </is>
      </c>
      <c r="G1120" s="3" t="inlineStr">
        <is>
          <t>New</t>
        </is>
      </c>
      <c r="H1120" s="3" t="n">
        <v>1</v>
      </c>
      <c r="I1120" s="8" t="n">
        <v>380</v>
      </c>
      <c r="J1120" s="8" t="n">
        <v>236.28</v>
      </c>
      <c r="K1120" s="9" t="n">
        <v>0</v>
      </c>
      <c r="L1120" s="8" t="n">
        <v>18</v>
      </c>
      <c r="M1120" s="8">
        <f>H1120*I1120*(1-K1120)</f>
        <v/>
      </c>
      <c r="N1120" s="8">
        <f>H1120*J1120</f>
        <v/>
      </c>
      <c r="O1120" s="8">
        <f>M1120-N1120-L1120</f>
        <v/>
      </c>
      <c r="P1120" s="10">
        <f>IFERROR(O1120/M1120,0)</f>
        <v/>
      </c>
      <c r="Q1120" s="3">
        <f>IF(H1120&lt;=0,"Review: quantity &lt;= 0",IF(K1120&gt;0.3,"Review: discount &gt; 30%",IF(G1120="","Review: missing customer type","OK")))</f>
        <v/>
      </c>
    </row>
    <row r="1121">
      <c r="A1121" s="3" t="inlineStr">
        <is>
          <t>ORD-11120</t>
        </is>
      </c>
      <c r="B1121" s="7" t="n">
        <v>45881</v>
      </c>
      <c r="C1121" s="3" t="inlineStr">
        <is>
          <t>Clothing</t>
        </is>
      </c>
      <c r="D1121" s="3" t="inlineStr">
        <is>
          <t>Dresses</t>
        </is>
      </c>
      <c r="E1121" s="3" t="inlineStr">
        <is>
          <t>Greater Accra</t>
        </is>
      </c>
      <c r="F1121" s="3" t="inlineStr">
        <is>
          <t>Phone/WhatsApp</t>
        </is>
      </c>
      <c r="G1121" s="3" t="inlineStr">
        <is>
          <t>Returning</t>
        </is>
      </c>
      <c r="H1121" s="3" t="n">
        <v>3</v>
      </c>
      <c r="I1121" s="8" t="n">
        <v>180</v>
      </c>
      <c r="J1121" s="8" t="n">
        <v>96.25</v>
      </c>
      <c r="K1121" s="9" t="n">
        <v>0.15</v>
      </c>
      <c r="L1121" s="8" t="n">
        <v>18.18</v>
      </c>
      <c r="M1121" s="8">
        <f>H1121*I1121*(1-K1121)</f>
        <v/>
      </c>
      <c r="N1121" s="8">
        <f>H1121*J1121</f>
        <v/>
      </c>
      <c r="O1121" s="8">
        <f>M1121-N1121-L1121</f>
        <v/>
      </c>
      <c r="P1121" s="10">
        <f>IFERROR(O1121/M1121,0)</f>
        <v/>
      </c>
      <c r="Q1121" s="3">
        <f>IF(H1121&lt;=0,"Review: quantity &lt;= 0",IF(K1121&gt;0.3,"Review: discount &gt; 30%",IF(G1121="","Review: missing customer type","OK")))</f>
        <v/>
      </c>
    </row>
    <row r="1122">
      <c r="A1122" s="3" t="inlineStr">
        <is>
          <t>ORD-11121</t>
        </is>
      </c>
      <c r="B1122" s="7" t="n">
        <v>45725</v>
      </c>
      <c r="C1122" s="3" t="inlineStr">
        <is>
          <t>Footwear</t>
        </is>
      </c>
      <c r="D1122" s="3" t="inlineStr">
        <is>
          <t>Boots</t>
        </is>
      </c>
      <c r="E1122" s="3" t="inlineStr">
        <is>
          <t>Western</t>
        </is>
      </c>
      <c r="F1122" s="3" t="inlineStr">
        <is>
          <t>Phone/WhatsApp</t>
        </is>
      </c>
      <c r="G1122" s="3" t="inlineStr">
        <is>
          <t>New</t>
        </is>
      </c>
      <c r="H1122" s="3" t="n">
        <v>2</v>
      </c>
      <c r="I1122" s="8" t="n">
        <v>340</v>
      </c>
      <c r="J1122" s="8" t="n">
        <v>181.94</v>
      </c>
      <c r="K1122" s="9" t="n">
        <v>0</v>
      </c>
      <c r="L1122" s="8" t="n">
        <v>22.87</v>
      </c>
      <c r="M1122" s="8">
        <f>H1122*I1122*(1-K1122)</f>
        <v/>
      </c>
      <c r="N1122" s="8">
        <f>H1122*J1122</f>
        <v/>
      </c>
      <c r="O1122" s="8">
        <f>M1122-N1122-L1122</f>
        <v/>
      </c>
      <c r="P1122" s="10">
        <f>IFERROR(O1122/M1122,0)</f>
        <v/>
      </c>
      <c r="Q1122" s="3">
        <f>IF(H1122&lt;=0,"Review: quantity &lt;= 0",IF(K1122&gt;0.3,"Review: discount &gt; 30%",IF(G1122="","Review: missing customer type","OK")))</f>
        <v/>
      </c>
    </row>
    <row r="1123">
      <c r="A1123" s="3" t="inlineStr">
        <is>
          <t>ORD-11122</t>
        </is>
      </c>
      <c r="B1123" s="7" t="n">
        <v>46006</v>
      </c>
      <c r="C1123" s="3" t="inlineStr">
        <is>
          <t>Clothing</t>
        </is>
      </c>
      <c r="D1123" s="3" t="inlineStr">
        <is>
          <t>Shirts</t>
        </is>
      </c>
      <c r="E1123" s="3" t="inlineStr">
        <is>
          <t>Greater Accra</t>
        </is>
      </c>
      <c r="F1123" s="3" t="inlineStr">
        <is>
          <t>Phone/WhatsApp</t>
        </is>
      </c>
      <c r="G1123" s="3" t="inlineStr">
        <is>
          <t>Returning</t>
        </is>
      </c>
      <c r="H1123" s="3" t="n">
        <v>1</v>
      </c>
      <c r="I1123" s="8" t="n">
        <v>105</v>
      </c>
      <c r="J1123" s="8" t="n">
        <v>57.31</v>
      </c>
      <c r="K1123" s="9" t="n">
        <v>0</v>
      </c>
      <c r="L1123" s="8" t="n">
        <v>14.52</v>
      </c>
      <c r="M1123" s="8">
        <f>H1123*I1123*(1-K1123)</f>
        <v/>
      </c>
      <c r="N1123" s="8">
        <f>H1123*J1123</f>
        <v/>
      </c>
      <c r="O1123" s="8">
        <f>M1123-N1123-L1123</f>
        <v/>
      </c>
      <c r="P1123" s="10">
        <f>IFERROR(O1123/M1123,0)</f>
        <v/>
      </c>
      <c r="Q1123" s="3">
        <f>IF(H1123&lt;=0,"Review: quantity &lt;= 0",IF(K1123&gt;0.3,"Review: discount &gt; 30%",IF(G1123="","Review: missing customer type","OK")))</f>
        <v/>
      </c>
    </row>
    <row r="1124">
      <c r="A1124" s="3" t="inlineStr">
        <is>
          <t>ORD-11123</t>
        </is>
      </c>
      <c r="B1124" s="7" t="n">
        <v>45831</v>
      </c>
      <c r="C1124" s="3" t="inlineStr">
        <is>
          <t>Accessories</t>
        </is>
      </c>
      <c r="D1124" s="3" t="inlineStr">
        <is>
          <t>Watches</t>
        </is>
      </c>
      <c r="E1124" s="3" t="inlineStr">
        <is>
          <t>Northern</t>
        </is>
      </c>
      <c r="F1124" s="3" t="inlineStr">
        <is>
          <t>Phone/WhatsApp</t>
        </is>
      </c>
      <c r="G1124" s="3" t="inlineStr">
        <is>
          <t>New</t>
        </is>
      </c>
      <c r="H1124" s="3" t="n">
        <v>2</v>
      </c>
      <c r="I1124" s="8" t="n">
        <v>70</v>
      </c>
      <c r="J1124" s="8" t="n">
        <v>36.9</v>
      </c>
      <c r="K1124" s="9" t="n">
        <v>0</v>
      </c>
      <c r="L1124" s="8" t="n">
        <v>18.72</v>
      </c>
      <c r="M1124" s="8">
        <f>H1124*I1124*(1-K1124)</f>
        <v/>
      </c>
      <c r="N1124" s="8">
        <f>H1124*J1124</f>
        <v/>
      </c>
      <c r="O1124" s="8">
        <f>M1124-N1124-L1124</f>
        <v/>
      </c>
      <c r="P1124" s="10">
        <f>IFERROR(O1124/M1124,0)</f>
        <v/>
      </c>
      <c r="Q1124" s="3">
        <f>IF(H1124&lt;=0,"Review: quantity &lt;= 0",IF(K1124&gt;0.3,"Review: discount &gt; 30%",IF(G1124="","Review: missing customer type","OK")))</f>
        <v/>
      </c>
    </row>
    <row r="1125">
      <c r="A1125" s="3" t="inlineStr">
        <is>
          <t>ORD-11124</t>
        </is>
      </c>
      <c r="B1125" s="7" t="n">
        <v>45940</v>
      </c>
      <c r="C1125" s="3" t="inlineStr">
        <is>
          <t>Accessories</t>
        </is>
      </c>
      <c r="D1125" s="3" t="inlineStr">
        <is>
          <t>Belts</t>
        </is>
      </c>
      <c r="E1125" s="3" t="inlineStr">
        <is>
          <t>Central</t>
        </is>
      </c>
      <c r="F1125" s="3" t="inlineStr">
        <is>
          <t>Phone/WhatsApp</t>
        </is>
      </c>
      <c r="G1125" s="3" t="inlineStr">
        <is>
          <t>Returning</t>
        </is>
      </c>
      <c r="H1125" s="3" t="n">
        <v>1</v>
      </c>
      <c r="I1125" s="8" t="n">
        <v>110</v>
      </c>
      <c r="J1125" s="8" t="n">
        <v>48.23</v>
      </c>
      <c r="K1125" s="9" t="n">
        <v>0.05</v>
      </c>
      <c r="L1125" s="8" t="n">
        <v>37.85</v>
      </c>
      <c r="M1125" s="8">
        <f>H1125*I1125*(1-K1125)</f>
        <v/>
      </c>
      <c r="N1125" s="8">
        <f>H1125*J1125</f>
        <v/>
      </c>
      <c r="O1125" s="8">
        <f>M1125-N1125-L1125</f>
        <v/>
      </c>
      <c r="P1125" s="10">
        <f>IFERROR(O1125/M1125,0)</f>
        <v/>
      </c>
      <c r="Q1125" s="3">
        <f>IF(H1125&lt;=0,"Review: quantity &lt;= 0",IF(K1125&gt;0.3,"Review: discount &gt; 30%",IF(G1125="","Review: missing customer type","OK")))</f>
        <v/>
      </c>
    </row>
    <row r="1126">
      <c r="A1126" s="3" t="inlineStr">
        <is>
          <t>ORD-11125</t>
        </is>
      </c>
      <c r="B1126" s="7" t="n">
        <v>45990</v>
      </c>
      <c r="C1126" s="3" t="inlineStr">
        <is>
          <t>Clothing</t>
        </is>
      </c>
      <c r="D1126" s="3" t="inlineStr">
        <is>
          <t>Shirts</t>
        </is>
      </c>
      <c r="E1126" s="3" t="inlineStr">
        <is>
          <t>Greater Accra</t>
        </is>
      </c>
      <c r="F1126" s="3" t="inlineStr">
        <is>
          <t>Retail Shop</t>
        </is>
      </c>
      <c r="G1126" s="3" t="inlineStr">
        <is>
          <t>New</t>
        </is>
      </c>
      <c r="H1126" s="3" t="n">
        <v>1</v>
      </c>
      <c r="I1126" s="8" t="n">
        <v>135</v>
      </c>
      <c r="J1126" s="8" t="n">
        <v>70.25</v>
      </c>
      <c r="K1126" s="9" t="n">
        <v>0</v>
      </c>
      <c r="L1126" s="8" t="n">
        <v>8.94</v>
      </c>
      <c r="M1126" s="8">
        <f>H1126*I1126*(1-K1126)</f>
        <v/>
      </c>
      <c r="N1126" s="8">
        <f>H1126*J1126</f>
        <v/>
      </c>
      <c r="O1126" s="8">
        <f>M1126-N1126-L1126</f>
        <v/>
      </c>
      <c r="P1126" s="10">
        <f>IFERROR(O1126/M1126,0)</f>
        <v/>
      </c>
      <c r="Q1126" s="3">
        <f>IF(H1126&lt;=0,"Review: quantity &lt;= 0",IF(K1126&gt;0.3,"Review: discount &gt; 30%",IF(G1126="","Review: missing customer type","OK")))</f>
        <v/>
      </c>
    </row>
    <row r="1127">
      <c r="A1127" s="3" t="inlineStr">
        <is>
          <t>ORD-11126</t>
        </is>
      </c>
      <c r="B1127" s="7" t="n">
        <v>45967</v>
      </c>
      <c r="C1127" s="3" t="inlineStr">
        <is>
          <t>Footwear</t>
        </is>
      </c>
      <c r="D1127" s="3" t="inlineStr">
        <is>
          <t>Formal Shoes</t>
        </is>
      </c>
      <c r="E1127" s="3" t="inlineStr">
        <is>
          <t>Ashanti</t>
        </is>
      </c>
      <c r="F1127" s="3" t="inlineStr">
        <is>
          <t>Online</t>
        </is>
      </c>
      <c r="G1127" s="3" t="inlineStr">
        <is>
          <t>New</t>
        </is>
      </c>
      <c r="H1127" s="3" t="n">
        <v>6</v>
      </c>
      <c r="I1127" s="8" t="n">
        <v>250</v>
      </c>
      <c r="J1127" s="8" t="n">
        <v>144.46</v>
      </c>
      <c r="K1127" s="9" t="n">
        <v>0</v>
      </c>
      <c r="L1127" s="8" t="n">
        <v>17.98</v>
      </c>
      <c r="M1127" s="8">
        <f>H1127*I1127*(1-K1127)</f>
        <v/>
      </c>
      <c r="N1127" s="8">
        <f>H1127*J1127</f>
        <v/>
      </c>
      <c r="O1127" s="8">
        <f>M1127-N1127-L1127</f>
        <v/>
      </c>
      <c r="P1127" s="10">
        <f>IFERROR(O1127/M1127,0)</f>
        <v/>
      </c>
      <c r="Q1127" s="3">
        <f>IF(H1127&lt;=0,"Review: quantity &lt;= 0",IF(K1127&gt;0.3,"Review: discount &gt; 30%",IF(G1127="","Review: missing customer type","OK")))</f>
        <v/>
      </c>
    </row>
    <row r="1128">
      <c r="A1128" s="3" t="inlineStr">
        <is>
          <t>ORD-11127</t>
        </is>
      </c>
      <c r="B1128" s="7" t="n">
        <v>45963</v>
      </c>
      <c r="C1128" s="3" t="inlineStr">
        <is>
          <t>Home &amp; Lifestyle</t>
        </is>
      </c>
      <c r="D1128" s="3" t="inlineStr">
        <is>
          <t>Wallets</t>
        </is>
      </c>
      <c r="E1128" s="3" t="inlineStr">
        <is>
          <t>Greater Accra</t>
        </is>
      </c>
      <c r="F1128" s="3" t="inlineStr">
        <is>
          <t>Retail Shop</t>
        </is>
      </c>
      <c r="G1128" s="3" t="inlineStr">
        <is>
          <t>New</t>
        </is>
      </c>
      <c r="H1128" s="3" t="n">
        <v>2</v>
      </c>
      <c r="I1128" s="8" t="n">
        <v>175</v>
      </c>
      <c r="J1128" s="8" t="n">
        <v>87.15000000000001</v>
      </c>
      <c r="K1128" s="9" t="n">
        <v>0.15</v>
      </c>
      <c r="L1128" s="8" t="n">
        <v>9.550000000000001</v>
      </c>
      <c r="M1128" s="8">
        <f>H1128*I1128*(1-K1128)</f>
        <v/>
      </c>
      <c r="N1128" s="8">
        <f>H1128*J1128</f>
        <v/>
      </c>
      <c r="O1128" s="8">
        <f>M1128-N1128-L1128</f>
        <v/>
      </c>
      <c r="P1128" s="10">
        <f>IFERROR(O1128/M1128,0)</f>
        <v/>
      </c>
      <c r="Q1128" s="3">
        <f>IF(H1128&lt;=0,"Review: quantity &lt;= 0",IF(K1128&gt;0.3,"Review: discount &gt; 30%",IF(G1128="","Review: missing customer type","OK")))</f>
        <v/>
      </c>
    </row>
    <row r="1129">
      <c r="A1129" s="3" t="inlineStr">
        <is>
          <t>ORD-11128</t>
        </is>
      </c>
      <c r="B1129" s="7" t="n">
        <v>45940</v>
      </c>
      <c r="C1129" s="3" t="inlineStr">
        <is>
          <t>Footwear</t>
        </is>
      </c>
      <c r="D1129" s="3" t="inlineStr">
        <is>
          <t>Sneakers</t>
        </is>
      </c>
      <c r="E1129" s="3" t="inlineStr">
        <is>
          <t>Central</t>
        </is>
      </c>
      <c r="F1129" s="3" t="inlineStr">
        <is>
          <t>Retail Shop</t>
        </is>
      </c>
      <c r="G1129" s="3" t="inlineStr">
        <is>
          <t>Returning</t>
        </is>
      </c>
      <c r="H1129" s="3" t="n">
        <v>1</v>
      </c>
      <c r="I1129" s="8" t="n">
        <v>205</v>
      </c>
      <c r="J1129" s="8" t="n">
        <v>120.08</v>
      </c>
      <c r="K1129" s="9" t="n">
        <v>0.1</v>
      </c>
      <c r="L1129" s="8" t="n">
        <v>0.83</v>
      </c>
      <c r="M1129" s="8">
        <f>H1129*I1129*(1-K1129)</f>
        <v/>
      </c>
      <c r="N1129" s="8">
        <f>H1129*J1129</f>
        <v/>
      </c>
      <c r="O1129" s="8">
        <f>M1129-N1129-L1129</f>
        <v/>
      </c>
      <c r="P1129" s="10">
        <f>IFERROR(O1129/M1129,0)</f>
        <v/>
      </c>
      <c r="Q1129" s="3">
        <f>IF(H1129&lt;=0,"Review: quantity &lt;= 0",IF(K1129&gt;0.3,"Review: discount &gt; 30%",IF(G1129="","Review: missing customer type","OK")))</f>
        <v/>
      </c>
    </row>
    <row r="1130">
      <c r="A1130" s="3" t="inlineStr">
        <is>
          <t>ORD-11129</t>
        </is>
      </c>
      <c r="B1130" s="7" t="n">
        <v>45829</v>
      </c>
      <c r="C1130" s="3" t="inlineStr">
        <is>
          <t>Footwear</t>
        </is>
      </c>
      <c r="D1130" s="3" t="inlineStr">
        <is>
          <t>Boots</t>
        </is>
      </c>
      <c r="E1130" s="3" t="inlineStr">
        <is>
          <t>Northern</t>
        </is>
      </c>
      <c r="F1130" s="3" t="inlineStr">
        <is>
          <t>Online</t>
        </is>
      </c>
      <c r="G1130" s="3" t="inlineStr">
        <is>
          <t>New</t>
        </is>
      </c>
      <c r="H1130" s="3" t="n">
        <v>1</v>
      </c>
      <c r="I1130" s="8" t="n">
        <v>530</v>
      </c>
      <c r="J1130" s="8" t="n">
        <v>307</v>
      </c>
      <c r="K1130" s="9" t="n">
        <v>0</v>
      </c>
      <c r="L1130" s="8" t="n">
        <v>9.130000000000001</v>
      </c>
      <c r="M1130" s="8">
        <f>H1130*I1130*(1-K1130)</f>
        <v/>
      </c>
      <c r="N1130" s="8">
        <f>H1130*J1130</f>
        <v/>
      </c>
      <c r="O1130" s="8">
        <f>M1130-N1130-L1130</f>
        <v/>
      </c>
      <c r="P1130" s="10">
        <f>IFERROR(O1130/M1130,0)</f>
        <v/>
      </c>
      <c r="Q1130" s="3">
        <f>IF(H1130&lt;=0,"Review: quantity &lt;= 0",IF(K1130&gt;0.3,"Review: discount &gt; 30%",IF(G1130="","Review: missing customer type","OK")))</f>
        <v/>
      </c>
    </row>
    <row r="1131">
      <c r="A1131" s="3" t="inlineStr">
        <is>
          <t>ORD-11130</t>
        </is>
      </c>
      <c r="B1131" s="7" t="n">
        <v>45870</v>
      </c>
      <c r="C1131" s="3" t="inlineStr">
        <is>
          <t>Footwear</t>
        </is>
      </c>
      <c r="D1131" s="3" t="inlineStr">
        <is>
          <t>Formal Shoes</t>
        </is>
      </c>
      <c r="E1131" s="3" t="inlineStr">
        <is>
          <t>Greater Accra</t>
        </is>
      </c>
      <c r="F1131" s="3" t="inlineStr">
        <is>
          <t>Retail Shop</t>
        </is>
      </c>
      <c r="G1131" s="3" t="inlineStr">
        <is>
          <t>New</t>
        </is>
      </c>
      <c r="H1131" s="3" t="n">
        <v>3</v>
      </c>
      <c r="I1131" s="8" t="n">
        <v>270</v>
      </c>
      <c r="J1131" s="8" t="n">
        <v>153.96</v>
      </c>
      <c r="K1131" s="9" t="n">
        <v>0</v>
      </c>
      <c r="L1131" s="8" t="n">
        <v>4.02</v>
      </c>
      <c r="M1131" s="8">
        <f>H1131*I1131*(1-K1131)</f>
        <v/>
      </c>
      <c r="N1131" s="8">
        <f>H1131*J1131</f>
        <v/>
      </c>
      <c r="O1131" s="8">
        <f>M1131-N1131-L1131</f>
        <v/>
      </c>
      <c r="P1131" s="10">
        <f>IFERROR(O1131/M1131,0)</f>
        <v/>
      </c>
      <c r="Q1131" s="3">
        <f>IF(H1131&lt;=0,"Review: quantity &lt;= 0",IF(K1131&gt;0.3,"Review: discount &gt; 30%",IF(G1131="","Review: missing customer type","OK")))</f>
        <v/>
      </c>
    </row>
    <row r="1132">
      <c r="A1132" s="3" t="inlineStr">
        <is>
          <t>ORD-11131</t>
        </is>
      </c>
      <c r="B1132" s="7" t="n">
        <v>45895</v>
      </c>
      <c r="C1132" s="3" t="inlineStr">
        <is>
          <t>Accessories</t>
        </is>
      </c>
      <c r="D1132" s="3" t="inlineStr">
        <is>
          <t>Bags</t>
        </is>
      </c>
      <c r="E1132" s="3" t="inlineStr">
        <is>
          <t>Greater Accra</t>
        </is>
      </c>
      <c r="F1132" s="3" t="inlineStr">
        <is>
          <t>Online</t>
        </is>
      </c>
      <c r="G1132" s="3" t="inlineStr">
        <is>
          <t>Returning</t>
        </is>
      </c>
      <c r="H1132" s="3" t="n">
        <v>10</v>
      </c>
      <c r="I1132" s="8" t="n">
        <v>145</v>
      </c>
      <c r="J1132" s="8" t="n">
        <v>63.83</v>
      </c>
      <c r="K1132" s="9" t="n">
        <v>0</v>
      </c>
      <c r="L1132" s="8" t="n">
        <v>8.68</v>
      </c>
      <c r="M1132" s="8">
        <f>H1132*I1132*(1-K1132)</f>
        <v/>
      </c>
      <c r="N1132" s="8">
        <f>H1132*J1132</f>
        <v/>
      </c>
      <c r="O1132" s="8">
        <f>M1132-N1132-L1132</f>
        <v/>
      </c>
      <c r="P1132" s="10">
        <f>IFERROR(O1132/M1132,0)</f>
        <v/>
      </c>
      <c r="Q1132" s="3">
        <f>IF(H1132&lt;=0,"Review: quantity &lt;= 0",IF(K1132&gt;0.3,"Review: discount &gt; 30%",IF(G1132="","Review: missing customer type","OK")))</f>
        <v/>
      </c>
    </row>
    <row r="1133">
      <c r="A1133" s="3" t="inlineStr">
        <is>
          <t>ORD-11132</t>
        </is>
      </c>
      <c r="B1133" s="7" t="n">
        <v>45748</v>
      </c>
      <c r="C1133" s="3" t="inlineStr">
        <is>
          <t>Footwear</t>
        </is>
      </c>
      <c r="D1133" s="3" t="inlineStr">
        <is>
          <t>Formal Shoes</t>
        </is>
      </c>
      <c r="E1133" s="3" t="inlineStr">
        <is>
          <t>Greater Accra</t>
        </is>
      </c>
      <c r="F1133" s="3" t="inlineStr">
        <is>
          <t>Retail Shop</t>
        </is>
      </c>
      <c r="G1133" s="3" t="inlineStr">
        <is>
          <t>Returning</t>
        </is>
      </c>
      <c r="H1133" s="3" t="n">
        <v>3</v>
      </c>
      <c r="I1133" s="8" t="n">
        <v>235</v>
      </c>
      <c r="J1133" s="8" t="n">
        <v>122.87</v>
      </c>
      <c r="K1133" s="9" t="n">
        <v>0.05</v>
      </c>
      <c r="L1133" s="8" t="n">
        <v>3.33</v>
      </c>
      <c r="M1133" s="8">
        <f>H1133*I1133*(1-K1133)</f>
        <v/>
      </c>
      <c r="N1133" s="8">
        <f>H1133*J1133</f>
        <v/>
      </c>
      <c r="O1133" s="8">
        <f>M1133-N1133-L1133</f>
        <v/>
      </c>
      <c r="P1133" s="10">
        <f>IFERROR(O1133/M1133,0)</f>
        <v/>
      </c>
      <c r="Q1133" s="3">
        <f>IF(H1133&lt;=0,"Review: quantity &lt;= 0",IF(K1133&gt;0.3,"Review: discount &gt; 30%",IF(G1133="","Review: missing customer type","OK")))</f>
        <v/>
      </c>
    </row>
    <row r="1134">
      <c r="A1134" s="3" t="inlineStr">
        <is>
          <t>ORD-11133</t>
        </is>
      </c>
      <c r="B1134" s="7" t="n">
        <v>45880</v>
      </c>
      <c r="C1134" s="3" t="inlineStr">
        <is>
          <t>Clothing</t>
        </is>
      </c>
      <c r="D1134" s="3" t="inlineStr">
        <is>
          <t>Shirts</t>
        </is>
      </c>
      <c r="E1134" s="3" t="inlineStr">
        <is>
          <t>Western</t>
        </is>
      </c>
      <c r="F1134" s="3" t="inlineStr">
        <is>
          <t>Online</t>
        </is>
      </c>
      <c r="G1134" s="3" t="inlineStr">
        <is>
          <t>Returning</t>
        </is>
      </c>
      <c r="H1134" s="3" t="n">
        <v>2</v>
      </c>
      <c r="I1134" s="8" t="n">
        <v>170</v>
      </c>
      <c r="J1134" s="8" t="n">
        <v>82.95999999999999</v>
      </c>
      <c r="K1134" s="9" t="n">
        <v>0.05</v>
      </c>
      <c r="L1134" s="8" t="n">
        <v>22.62</v>
      </c>
      <c r="M1134" s="8">
        <f>H1134*I1134*(1-K1134)</f>
        <v/>
      </c>
      <c r="N1134" s="8">
        <f>H1134*J1134</f>
        <v/>
      </c>
      <c r="O1134" s="8">
        <f>M1134-N1134-L1134</f>
        <v/>
      </c>
      <c r="P1134" s="10">
        <f>IFERROR(O1134/M1134,0)</f>
        <v/>
      </c>
      <c r="Q1134" s="3">
        <f>IF(H1134&lt;=0,"Review: quantity &lt;= 0",IF(K1134&gt;0.3,"Review: discount &gt; 30%",IF(G1134="","Review: missing customer type","OK")))</f>
        <v/>
      </c>
    </row>
    <row r="1135">
      <c r="A1135" s="3" t="inlineStr">
        <is>
          <t>ORD-11134</t>
        </is>
      </c>
      <c r="B1135" s="7" t="n">
        <v>45871</v>
      </c>
      <c r="C1135" s="3" t="inlineStr">
        <is>
          <t>Clothing</t>
        </is>
      </c>
      <c r="D1135" s="3" t="inlineStr">
        <is>
          <t>Jackets</t>
        </is>
      </c>
      <c r="E1135" s="3" t="inlineStr">
        <is>
          <t>Greater Accra</t>
        </is>
      </c>
      <c r="F1135" s="3" t="inlineStr">
        <is>
          <t>Online</t>
        </is>
      </c>
      <c r="G1135" s="3" t="inlineStr">
        <is>
          <t>New</t>
        </is>
      </c>
      <c r="H1135" s="3" t="n">
        <v>1</v>
      </c>
      <c r="I1135" s="8" t="n">
        <v>165</v>
      </c>
      <c r="J1135" s="8" t="n">
        <v>76.45</v>
      </c>
      <c r="K1135" s="9" t="n">
        <v>0.05</v>
      </c>
      <c r="L1135" s="8" t="n">
        <v>40.59</v>
      </c>
      <c r="M1135" s="8">
        <f>H1135*I1135*(1-K1135)</f>
        <v/>
      </c>
      <c r="N1135" s="8">
        <f>H1135*J1135</f>
        <v/>
      </c>
      <c r="O1135" s="8">
        <f>M1135-N1135-L1135</f>
        <v/>
      </c>
      <c r="P1135" s="10">
        <f>IFERROR(O1135/M1135,0)</f>
        <v/>
      </c>
      <c r="Q1135" s="3">
        <f>IF(H1135&lt;=0,"Review: quantity &lt;= 0",IF(K1135&gt;0.3,"Review: discount &gt; 30%",IF(G1135="","Review: missing customer type","OK")))</f>
        <v/>
      </c>
    </row>
    <row r="1136">
      <c r="A1136" s="3" t="inlineStr">
        <is>
          <t>ORD-11135</t>
        </is>
      </c>
      <c r="B1136" s="7" t="n">
        <v>45787</v>
      </c>
      <c r="C1136" s="3" t="inlineStr">
        <is>
          <t>Footwear</t>
        </is>
      </c>
      <c r="D1136" s="3" t="inlineStr">
        <is>
          <t>Sandals</t>
        </is>
      </c>
      <c r="E1136" s="3" t="inlineStr">
        <is>
          <t>Greater Accra</t>
        </is>
      </c>
      <c r="F1136" s="3" t="inlineStr">
        <is>
          <t>Retail Shop</t>
        </is>
      </c>
      <c r="G1136" s="3" t="inlineStr">
        <is>
          <t>Returning</t>
        </is>
      </c>
      <c r="H1136" s="3" t="n">
        <v>5</v>
      </c>
      <c r="I1136" s="8" t="n">
        <v>340</v>
      </c>
      <c r="J1136" s="8" t="n">
        <v>187</v>
      </c>
      <c r="K1136" s="9" t="n">
        <v>0</v>
      </c>
      <c r="L1136" s="8" t="n">
        <v>4.08</v>
      </c>
      <c r="M1136" s="8">
        <f>H1136*I1136*(1-K1136)</f>
        <v/>
      </c>
      <c r="N1136" s="8">
        <f>H1136*J1136</f>
        <v/>
      </c>
      <c r="O1136" s="8">
        <f>M1136-N1136-L1136</f>
        <v/>
      </c>
      <c r="P1136" s="10">
        <f>IFERROR(O1136/M1136,0)</f>
        <v/>
      </c>
      <c r="Q1136" s="3">
        <f>IF(H1136&lt;=0,"Review: quantity &lt;= 0",IF(K1136&gt;0.3,"Review: discount &gt; 30%",IF(G1136="","Review: missing customer type","OK")))</f>
        <v/>
      </c>
    </row>
    <row r="1137">
      <c r="A1137" s="3" t="inlineStr">
        <is>
          <t>ORD-11136</t>
        </is>
      </c>
      <c r="B1137" s="7" t="n">
        <v>45704</v>
      </c>
      <c r="C1137" s="3" t="inlineStr">
        <is>
          <t>Home &amp; Lifestyle</t>
        </is>
      </c>
      <c r="D1137" s="3" t="inlineStr">
        <is>
          <t>Backpacks</t>
        </is>
      </c>
      <c r="E1137" s="3" t="inlineStr">
        <is>
          <t>Greater Accra</t>
        </is>
      </c>
      <c r="F1137" s="3" t="inlineStr">
        <is>
          <t>Phone/WhatsApp</t>
        </is>
      </c>
      <c r="G1137" s="3" t="inlineStr">
        <is>
          <t>New</t>
        </is>
      </c>
      <c r="H1137" s="3" t="n">
        <v>1</v>
      </c>
      <c r="I1137" s="8" t="n">
        <v>145</v>
      </c>
      <c r="J1137" s="8" t="n">
        <v>79.11</v>
      </c>
      <c r="K1137" s="9" t="n">
        <v>0.1</v>
      </c>
      <c r="L1137" s="8" t="n">
        <v>43.54</v>
      </c>
      <c r="M1137" s="8">
        <f>H1137*I1137*(1-K1137)</f>
        <v/>
      </c>
      <c r="N1137" s="8">
        <f>H1137*J1137</f>
        <v/>
      </c>
      <c r="O1137" s="8">
        <f>M1137-N1137-L1137</f>
        <v/>
      </c>
      <c r="P1137" s="10">
        <f>IFERROR(O1137/M1137,0)</f>
        <v/>
      </c>
      <c r="Q1137" s="3">
        <f>IF(H1137&lt;=0,"Review: quantity &lt;= 0",IF(K1137&gt;0.3,"Review: discount &gt; 30%",IF(G1137="","Review: missing customer type","OK")))</f>
        <v/>
      </c>
    </row>
    <row r="1138">
      <c r="A1138" s="3" t="inlineStr">
        <is>
          <t>ORD-11137</t>
        </is>
      </c>
      <c r="B1138" s="7" t="n">
        <v>45955</v>
      </c>
      <c r="C1138" s="3" t="inlineStr">
        <is>
          <t>Clothing</t>
        </is>
      </c>
      <c r="D1138" s="3" t="inlineStr">
        <is>
          <t>Trousers</t>
        </is>
      </c>
      <c r="E1138" s="3" t="inlineStr">
        <is>
          <t>Greater Accra</t>
        </is>
      </c>
      <c r="F1138" s="3" t="inlineStr">
        <is>
          <t>Online</t>
        </is>
      </c>
      <c r="G1138" s="3" t="inlineStr">
        <is>
          <t>New</t>
        </is>
      </c>
      <c r="H1138" s="3" t="n">
        <v>3</v>
      </c>
      <c r="I1138" s="8" t="n">
        <v>200</v>
      </c>
      <c r="J1138" s="8" t="n">
        <v>112.62</v>
      </c>
      <c r="K1138" s="9" t="n">
        <v>0</v>
      </c>
      <c r="L1138" s="8" t="n">
        <v>44.13</v>
      </c>
      <c r="M1138" s="8">
        <f>H1138*I1138*(1-K1138)</f>
        <v/>
      </c>
      <c r="N1138" s="8">
        <f>H1138*J1138</f>
        <v/>
      </c>
      <c r="O1138" s="8">
        <f>M1138-N1138-L1138</f>
        <v/>
      </c>
      <c r="P1138" s="10">
        <f>IFERROR(O1138/M1138,0)</f>
        <v/>
      </c>
      <c r="Q1138" s="3">
        <f>IF(H1138&lt;=0,"Review: quantity &lt;= 0",IF(K1138&gt;0.3,"Review: discount &gt; 30%",IF(G1138="","Review: missing customer type","OK")))</f>
        <v/>
      </c>
    </row>
    <row r="1139">
      <c r="A1139" s="3" t="inlineStr">
        <is>
          <t>ORD-11138</t>
        </is>
      </c>
      <c r="B1139" s="7" t="n">
        <v>45902</v>
      </c>
      <c r="C1139" s="3" t="inlineStr">
        <is>
          <t>Home &amp; Lifestyle</t>
        </is>
      </c>
      <c r="D1139" s="3" t="inlineStr">
        <is>
          <t>Travel Mugs</t>
        </is>
      </c>
      <c r="E1139" s="3" t="inlineStr">
        <is>
          <t>Greater Accra</t>
        </is>
      </c>
      <c r="F1139" s="3" t="inlineStr">
        <is>
          <t>Retail Shop</t>
        </is>
      </c>
      <c r="G1139" s="3" t="inlineStr">
        <is>
          <t>Returning</t>
        </is>
      </c>
      <c r="H1139" s="3" t="n">
        <v>1</v>
      </c>
      <c r="I1139" s="8" t="n">
        <v>80</v>
      </c>
      <c r="J1139" s="8" t="n">
        <v>49.23</v>
      </c>
      <c r="K1139" s="9" t="n">
        <v>0</v>
      </c>
      <c r="L1139" s="8" t="n">
        <v>1.08</v>
      </c>
      <c r="M1139" s="8">
        <f>H1139*I1139*(1-K1139)</f>
        <v/>
      </c>
      <c r="N1139" s="8">
        <f>H1139*J1139</f>
        <v/>
      </c>
      <c r="O1139" s="8">
        <f>M1139-N1139-L1139</f>
        <v/>
      </c>
      <c r="P1139" s="10">
        <f>IFERROR(O1139/M1139,0)</f>
        <v/>
      </c>
      <c r="Q1139" s="3">
        <f>IF(H1139&lt;=0,"Review: quantity &lt;= 0",IF(K1139&gt;0.3,"Review: discount &gt; 30%",IF(G1139="","Review: missing customer type","OK")))</f>
        <v/>
      </c>
    </row>
    <row r="1140">
      <c r="A1140" s="3" t="inlineStr">
        <is>
          <t>ORD-11139</t>
        </is>
      </c>
      <c r="B1140" s="7" t="n">
        <v>46017</v>
      </c>
      <c r="C1140" s="3" t="inlineStr">
        <is>
          <t>Footwear</t>
        </is>
      </c>
      <c r="D1140" s="3" t="inlineStr">
        <is>
          <t>Boots</t>
        </is>
      </c>
      <c r="E1140" s="3" t="inlineStr">
        <is>
          <t>Greater Accra</t>
        </is>
      </c>
      <c r="F1140" s="3" t="inlineStr">
        <is>
          <t>Retail Shop</t>
        </is>
      </c>
      <c r="G1140" s="3" t="inlineStr">
        <is>
          <t>New</t>
        </is>
      </c>
      <c r="H1140" s="3" t="n">
        <v>3</v>
      </c>
      <c r="I1140" s="8" t="n">
        <v>285</v>
      </c>
      <c r="J1140" s="8" t="n">
        <v>153.01</v>
      </c>
      <c r="K1140" s="9" t="n">
        <v>0</v>
      </c>
      <c r="L1140" s="8" t="n">
        <v>11.45</v>
      </c>
      <c r="M1140" s="8">
        <f>H1140*I1140*(1-K1140)</f>
        <v/>
      </c>
      <c r="N1140" s="8">
        <f>H1140*J1140</f>
        <v/>
      </c>
      <c r="O1140" s="8">
        <f>M1140-N1140-L1140</f>
        <v/>
      </c>
      <c r="P1140" s="10">
        <f>IFERROR(O1140/M1140,0)</f>
        <v/>
      </c>
      <c r="Q1140" s="3">
        <f>IF(H1140&lt;=0,"Review: quantity &lt;= 0",IF(K1140&gt;0.3,"Review: discount &gt; 30%",IF(G1140="","Review: missing customer type","OK")))</f>
        <v/>
      </c>
    </row>
    <row r="1141">
      <c r="A1141" s="3" t="inlineStr">
        <is>
          <t>ORD-11140</t>
        </is>
      </c>
      <c r="B1141" s="7" t="n">
        <v>45894</v>
      </c>
      <c r="C1141" s="3" t="inlineStr">
        <is>
          <t>Home &amp; Lifestyle</t>
        </is>
      </c>
      <c r="D1141" s="3" t="inlineStr">
        <is>
          <t>Wallets</t>
        </is>
      </c>
      <c r="E1141" s="3" t="inlineStr">
        <is>
          <t>Greater Accra</t>
        </is>
      </c>
      <c r="F1141" s="3" t="inlineStr">
        <is>
          <t>Retail Shop</t>
        </is>
      </c>
      <c r="G1141" s="3" t="inlineStr">
        <is>
          <t>New</t>
        </is>
      </c>
      <c r="H1141" s="3" t="n">
        <v>1</v>
      </c>
      <c r="I1141" s="8" t="n">
        <v>165</v>
      </c>
      <c r="J1141" s="8" t="n">
        <v>99.8</v>
      </c>
      <c r="K1141" s="9" t="n">
        <v>0.05</v>
      </c>
      <c r="L1141" s="8" t="n">
        <v>8.17</v>
      </c>
      <c r="M1141" s="8">
        <f>H1141*I1141*(1-K1141)</f>
        <v/>
      </c>
      <c r="N1141" s="8">
        <f>H1141*J1141</f>
        <v/>
      </c>
      <c r="O1141" s="8">
        <f>M1141-N1141-L1141</f>
        <v/>
      </c>
      <c r="P1141" s="10">
        <f>IFERROR(O1141/M1141,0)</f>
        <v/>
      </c>
      <c r="Q1141" s="3">
        <f>IF(H1141&lt;=0,"Review: quantity &lt;= 0",IF(K1141&gt;0.3,"Review: discount &gt; 30%",IF(G1141="","Review: missing customer type","OK")))</f>
        <v/>
      </c>
    </row>
    <row r="1142">
      <c r="A1142" s="3" t="inlineStr">
        <is>
          <t>ORD-11141</t>
        </is>
      </c>
      <c r="B1142" s="7" t="n">
        <v>45718</v>
      </c>
      <c r="C1142" s="3" t="inlineStr">
        <is>
          <t>Footwear</t>
        </is>
      </c>
      <c r="D1142" s="3" t="inlineStr">
        <is>
          <t>Boots</t>
        </is>
      </c>
      <c r="E1142" s="3" t="inlineStr">
        <is>
          <t>Greater Accra</t>
        </is>
      </c>
      <c r="F1142" s="3" t="inlineStr">
        <is>
          <t>Retail Shop</t>
        </is>
      </c>
      <c r="G1142" s="3" t="inlineStr">
        <is>
          <t>Returning</t>
        </is>
      </c>
      <c r="H1142" s="3" t="n">
        <v>1</v>
      </c>
      <c r="I1142" s="8" t="n">
        <v>215</v>
      </c>
      <c r="J1142" s="8" t="n">
        <v>129.03</v>
      </c>
      <c r="K1142" s="9" t="n">
        <v>0</v>
      </c>
      <c r="L1142" s="8" t="n">
        <v>7.18</v>
      </c>
      <c r="M1142" s="8">
        <f>H1142*I1142*(1-K1142)</f>
        <v/>
      </c>
      <c r="N1142" s="8">
        <f>H1142*J1142</f>
        <v/>
      </c>
      <c r="O1142" s="8">
        <f>M1142-N1142-L1142</f>
        <v/>
      </c>
      <c r="P1142" s="10">
        <f>IFERROR(O1142/M1142,0)</f>
        <v/>
      </c>
      <c r="Q1142" s="3">
        <f>IF(H1142&lt;=0,"Review: quantity &lt;= 0",IF(K1142&gt;0.3,"Review: discount &gt; 30%",IF(G1142="","Review: missing customer type","OK")))</f>
        <v/>
      </c>
    </row>
    <row r="1143">
      <c r="A1143" s="3" t="inlineStr">
        <is>
          <t>ORD-11142</t>
        </is>
      </c>
      <c r="B1143" s="7" t="n">
        <v>45697</v>
      </c>
      <c r="C1143" s="3" t="inlineStr">
        <is>
          <t>Clothing</t>
        </is>
      </c>
      <c r="D1143" s="3" t="inlineStr">
        <is>
          <t>Shirts</t>
        </is>
      </c>
      <c r="E1143" s="3" t="inlineStr">
        <is>
          <t>Ashanti</t>
        </is>
      </c>
      <c r="F1143" s="3" t="inlineStr">
        <is>
          <t>Online</t>
        </is>
      </c>
      <c r="G1143" s="3" t="inlineStr">
        <is>
          <t>New</t>
        </is>
      </c>
      <c r="H1143" s="3" t="n">
        <v>1</v>
      </c>
      <c r="I1143" s="8" t="n">
        <v>160</v>
      </c>
      <c r="J1143" s="8" t="n">
        <v>87.45</v>
      </c>
      <c r="K1143" s="9" t="n">
        <v>0.15</v>
      </c>
      <c r="L1143" s="8" t="n">
        <v>25.05</v>
      </c>
      <c r="M1143" s="8">
        <f>H1143*I1143*(1-K1143)</f>
        <v/>
      </c>
      <c r="N1143" s="8">
        <f>H1143*J1143</f>
        <v/>
      </c>
      <c r="O1143" s="8">
        <f>M1143-N1143-L1143</f>
        <v/>
      </c>
      <c r="P1143" s="10">
        <f>IFERROR(O1143/M1143,0)</f>
        <v/>
      </c>
      <c r="Q1143" s="3">
        <f>IF(H1143&lt;=0,"Review: quantity &lt;= 0",IF(K1143&gt;0.3,"Review: discount &gt; 30%",IF(G1143="","Review: missing customer type","OK")))</f>
        <v/>
      </c>
    </row>
    <row r="1144">
      <c r="A1144" s="3" t="inlineStr">
        <is>
          <t>ORD-11143</t>
        </is>
      </c>
      <c r="B1144" s="7" t="n">
        <v>45804</v>
      </c>
      <c r="C1144" s="3" t="inlineStr">
        <is>
          <t>Accessories</t>
        </is>
      </c>
      <c r="D1144" s="3" t="inlineStr">
        <is>
          <t>Belts</t>
        </is>
      </c>
      <c r="E1144" s="3" t="inlineStr">
        <is>
          <t>Greater Accra</t>
        </is>
      </c>
      <c r="F1144" s="3" t="inlineStr">
        <is>
          <t>Retail Shop</t>
        </is>
      </c>
      <c r="G1144" s="3" t="inlineStr">
        <is>
          <t>New</t>
        </is>
      </c>
      <c r="H1144" s="3" t="n">
        <v>1</v>
      </c>
      <c r="I1144" s="8" t="n">
        <v>90</v>
      </c>
      <c r="J1144" s="8" t="n">
        <v>41.92</v>
      </c>
      <c r="K1144" s="9" t="n">
        <v>0.05</v>
      </c>
      <c r="L1144" s="8" t="n">
        <v>2.51</v>
      </c>
      <c r="M1144" s="8">
        <f>H1144*I1144*(1-K1144)</f>
        <v/>
      </c>
      <c r="N1144" s="8">
        <f>H1144*J1144</f>
        <v/>
      </c>
      <c r="O1144" s="8">
        <f>M1144-N1144-L1144</f>
        <v/>
      </c>
      <c r="P1144" s="10">
        <f>IFERROR(O1144/M1144,0)</f>
        <v/>
      </c>
      <c r="Q1144" s="3">
        <f>IF(H1144&lt;=0,"Review: quantity &lt;= 0",IF(K1144&gt;0.3,"Review: discount &gt; 30%",IF(G1144="","Review: missing customer type","OK")))</f>
        <v/>
      </c>
    </row>
    <row r="1145">
      <c r="A1145" s="3" t="inlineStr">
        <is>
          <t>ORD-11144</t>
        </is>
      </c>
      <c r="B1145" s="7" t="n">
        <v>45678</v>
      </c>
      <c r="C1145" s="3" t="inlineStr">
        <is>
          <t>Clothing</t>
        </is>
      </c>
      <c r="D1145" s="3" t="inlineStr">
        <is>
          <t>Trousers</t>
        </is>
      </c>
      <c r="E1145" s="3" t="inlineStr">
        <is>
          <t>Western</t>
        </is>
      </c>
      <c r="F1145" s="3" t="inlineStr">
        <is>
          <t>Phone/WhatsApp</t>
        </is>
      </c>
      <c r="G1145" s="3" t="inlineStr">
        <is>
          <t>Returning</t>
        </is>
      </c>
      <c r="H1145" s="3" t="n">
        <v>2</v>
      </c>
      <c r="I1145" s="8" t="n">
        <v>205</v>
      </c>
      <c r="J1145" s="8" t="n">
        <v>115</v>
      </c>
      <c r="K1145" s="9" t="n">
        <v>0.05</v>
      </c>
      <c r="L1145" s="8" t="n">
        <v>30.6</v>
      </c>
      <c r="M1145" s="8">
        <f>H1145*I1145*(1-K1145)</f>
        <v/>
      </c>
      <c r="N1145" s="8">
        <f>H1145*J1145</f>
        <v/>
      </c>
      <c r="O1145" s="8">
        <f>M1145-N1145-L1145</f>
        <v/>
      </c>
      <c r="P1145" s="10">
        <f>IFERROR(O1145/M1145,0)</f>
        <v/>
      </c>
      <c r="Q1145" s="3">
        <f>IF(H1145&lt;=0,"Review: quantity &lt;= 0",IF(K1145&gt;0.3,"Review: discount &gt; 30%",IF(G1145="","Review: missing customer type","OK")))</f>
        <v/>
      </c>
    </row>
    <row r="1146">
      <c r="A1146" s="3" t="inlineStr">
        <is>
          <t>ORD-11145</t>
        </is>
      </c>
      <c r="B1146" s="7" t="n">
        <v>45993</v>
      </c>
      <c r="C1146" s="3" t="inlineStr">
        <is>
          <t>Footwear</t>
        </is>
      </c>
      <c r="D1146" s="3" t="inlineStr">
        <is>
          <t>Boots</t>
        </is>
      </c>
      <c r="E1146" s="3" t="inlineStr">
        <is>
          <t>Greater Accra</t>
        </is>
      </c>
      <c r="F1146" s="3" t="inlineStr">
        <is>
          <t>Retail Shop</t>
        </is>
      </c>
      <c r="G1146" s="3" t="inlineStr">
        <is>
          <t>Returning</t>
        </is>
      </c>
      <c r="H1146" s="3" t="n">
        <v>2</v>
      </c>
      <c r="I1146" s="8" t="n">
        <v>440</v>
      </c>
      <c r="J1146" s="8" t="n">
        <v>236.22</v>
      </c>
      <c r="K1146" s="9" t="n">
        <v>0.15</v>
      </c>
      <c r="L1146" s="8" t="n">
        <v>2.97</v>
      </c>
      <c r="M1146" s="8">
        <f>H1146*I1146*(1-K1146)</f>
        <v/>
      </c>
      <c r="N1146" s="8">
        <f>H1146*J1146</f>
        <v/>
      </c>
      <c r="O1146" s="8">
        <f>M1146-N1146-L1146</f>
        <v/>
      </c>
      <c r="P1146" s="10">
        <f>IFERROR(O1146/M1146,0)</f>
        <v/>
      </c>
      <c r="Q1146" s="3">
        <f>IF(H1146&lt;=0,"Review: quantity &lt;= 0",IF(K1146&gt;0.3,"Review: discount &gt; 30%",IF(G1146="","Review: missing customer type","OK")))</f>
        <v/>
      </c>
    </row>
    <row r="1147">
      <c r="A1147" s="3" t="inlineStr">
        <is>
          <t>ORD-11146</t>
        </is>
      </c>
      <c r="B1147" s="7" t="n">
        <v>45678</v>
      </c>
      <c r="C1147" s="3" t="inlineStr">
        <is>
          <t>Footwear</t>
        </is>
      </c>
      <c r="D1147" s="3" t="inlineStr">
        <is>
          <t>Sandals</t>
        </is>
      </c>
      <c r="E1147" s="3" t="inlineStr">
        <is>
          <t>Central</t>
        </is>
      </c>
      <c r="F1147" s="3" t="inlineStr">
        <is>
          <t>Phone/WhatsApp</t>
        </is>
      </c>
      <c r="G1147" s="3" t="inlineStr">
        <is>
          <t>Returning</t>
        </is>
      </c>
      <c r="H1147" s="3" t="n">
        <v>1</v>
      </c>
      <c r="I1147" s="8" t="n">
        <v>340</v>
      </c>
      <c r="J1147" s="8" t="n">
        <v>208.48</v>
      </c>
      <c r="K1147" s="9" t="n">
        <v>0</v>
      </c>
      <c r="L1147" s="8" t="n">
        <v>28.12</v>
      </c>
      <c r="M1147" s="8">
        <f>H1147*I1147*(1-K1147)</f>
        <v/>
      </c>
      <c r="N1147" s="8">
        <f>H1147*J1147</f>
        <v/>
      </c>
      <c r="O1147" s="8">
        <f>M1147-N1147-L1147</f>
        <v/>
      </c>
      <c r="P1147" s="10">
        <f>IFERROR(O1147/M1147,0)</f>
        <v/>
      </c>
      <c r="Q1147" s="3">
        <f>IF(H1147&lt;=0,"Review: quantity &lt;= 0",IF(K1147&gt;0.3,"Review: discount &gt; 30%",IF(G1147="","Review: missing customer type","OK")))</f>
        <v/>
      </c>
    </row>
    <row r="1148">
      <c r="A1148" s="3" t="inlineStr">
        <is>
          <t>ORD-11147</t>
        </is>
      </c>
      <c r="B1148" s="7" t="n">
        <v>45849</v>
      </c>
      <c r="C1148" s="3" t="inlineStr">
        <is>
          <t>Clothing</t>
        </is>
      </c>
      <c r="D1148" s="3" t="inlineStr">
        <is>
          <t>Shirts</t>
        </is>
      </c>
      <c r="E1148" s="3" t="inlineStr">
        <is>
          <t>Western</t>
        </is>
      </c>
      <c r="F1148" s="3" t="inlineStr">
        <is>
          <t>Phone/WhatsApp</t>
        </is>
      </c>
      <c r="G1148" s="3" t="inlineStr">
        <is>
          <t>Returning</t>
        </is>
      </c>
      <c r="H1148" s="3" t="n">
        <v>1</v>
      </c>
      <c r="I1148" s="8" t="n">
        <v>140</v>
      </c>
      <c r="J1148" s="8" t="n">
        <v>77.22</v>
      </c>
      <c r="K1148" s="9" t="n">
        <v>0</v>
      </c>
      <c r="L1148" s="8" t="n">
        <v>38.8</v>
      </c>
      <c r="M1148" s="8">
        <f>H1148*I1148*(1-K1148)</f>
        <v/>
      </c>
      <c r="N1148" s="8">
        <f>H1148*J1148</f>
        <v/>
      </c>
      <c r="O1148" s="8">
        <f>M1148-N1148-L1148</f>
        <v/>
      </c>
      <c r="P1148" s="10">
        <f>IFERROR(O1148/M1148,0)</f>
        <v/>
      </c>
      <c r="Q1148" s="3">
        <f>IF(H1148&lt;=0,"Review: quantity &lt;= 0",IF(K1148&gt;0.3,"Review: discount &gt; 30%",IF(G1148="","Review: missing customer type","OK")))</f>
        <v/>
      </c>
    </row>
    <row r="1149">
      <c r="A1149" s="3" t="inlineStr">
        <is>
          <t>ORD-11148</t>
        </is>
      </c>
      <c r="B1149" s="7" t="n">
        <v>45836</v>
      </c>
      <c r="C1149" s="3" t="inlineStr">
        <is>
          <t>Footwear</t>
        </is>
      </c>
      <c r="D1149" s="3" t="inlineStr">
        <is>
          <t>Boots</t>
        </is>
      </c>
      <c r="E1149" s="3" t="inlineStr">
        <is>
          <t>Greater Accra</t>
        </is>
      </c>
      <c r="F1149" s="3" t="inlineStr">
        <is>
          <t>Online</t>
        </is>
      </c>
      <c r="G1149" s="3" t="inlineStr">
        <is>
          <t>Returning</t>
        </is>
      </c>
      <c r="H1149" s="3" t="n">
        <v>4</v>
      </c>
      <c r="I1149" s="8" t="n">
        <v>250</v>
      </c>
      <c r="J1149" s="8" t="n">
        <v>137.59</v>
      </c>
      <c r="K1149" s="9" t="n">
        <v>0.05</v>
      </c>
      <c r="L1149" s="8" t="n">
        <v>17</v>
      </c>
      <c r="M1149" s="8">
        <f>H1149*I1149*(1-K1149)</f>
        <v/>
      </c>
      <c r="N1149" s="8">
        <f>H1149*J1149</f>
        <v/>
      </c>
      <c r="O1149" s="8">
        <f>M1149-N1149-L1149</f>
        <v/>
      </c>
      <c r="P1149" s="10">
        <f>IFERROR(O1149/M1149,0)</f>
        <v/>
      </c>
      <c r="Q1149" s="3">
        <f>IF(H1149&lt;=0,"Review: quantity &lt;= 0",IF(K1149&gt;0.3,"Review: discount &gt; 30%",IF(G1149="","Review: missing customer type","OK")))</f>
        <v/>
      </c>
    </row>
    <row r="1150">
      <c r="A1150" s="3" t="inlineStr">
        <is>
          <t>ORD-11149</t>
        </is>
      </c>
      <c r="B1150" s="7" t="n">
        <v>45731</v>
      </c>
      <c r="C1150" s="3" t="inlineStr">
        <is>
          <t>Home &amp; Lifestyle</t>
        </is>
      </c>
      <c r="D1150" s="3" t="inlineStr">
        <is>
          <t>Backpacks</t>
        </is>
      </c>
      <c r="E1150" s="3" t="inlineStr">
        <is>
          <t>Greater Accra</t>
        </is>
      </c>
      <c r="F1150" s="3" t="inlineStr">
        <is>
          <t>Online</t>
        </is>
      </c>
      <c r="G1150" s="3" t="inlineStr">
        <is>
          <t>Returning</t>
        </is>
      </c>
      <c r="H1150" s="3" t="n">
        <v>3</v>
      </c>
      <c r="I1150" s="8" t="n">
        <v>150</v>
      </c>
      <c r="J1150" s="8" t="n">
        <v>88.19</v>
      </c>
      <c r="K1150" s="9" t="n">
        <v>0.05</v>
      </c>
      <c r="L1150" s="8" t="n">
        <v>8.619999999999999</v>
      </c>
      <c r="M1150" s="8">
        <f>H1150*I1150*(1-K1150)</f>
        <v/>
      </c>
      <c r="N1150" s="8">
        <f>H1150*J1150</f>
        <v/>
      </c>
      <c r="O1150" s="8">
        <f>M1150-N1150-L1150</f>
        <v/>
      </c>
      <c r="P1150" s="10">
        <f>IFERROR(O1150/M1150,0)</f>
        <v/>
      </c>
      <c r="Q1150" s="3">
        <f>IF(H1150&lt;=0,"Review: quantity &lt;= 0",IF(K1150&gt;0.3,"Review: discount &gt; 30%",IF(G1150="","Review: missing customer type","OK")))</f>
        <v/>
      </c>
    </row>
    <row r="1151">
      <c r="A1151" s="3" t="inlineStr">
        <is>
          <t>ORD-11150</t>
        </is>
      </c>
      <c r="B1151" s="7" t="n">
        <v>45983</v>
      </c>
      <c r="C1151" s="3" t="inlineStr">
        <is>
          <t>Accessories</t>
        </is>
      </c>
      <c r="D1151" s="3" t="inlineStr">
        <is>
          <t>Belts</t>
        </is>
      </c>
      <c r="E1151" s="3" t="inlineStr">
        <is>
          <t>Ashanti</t>
        </is>
      </c>
      <c r="F1151" s="3" t="inlineStr">
        <is>
          <t>Online</t>
        </is>
      </c>
      <c r="G1151" s="3" t="inlineStr">
        <is>
          <t>Returning</t>
        </is>
      </c>
      <c r="H1151" s="3" t="n">
        <v>1</v>
      </c>
      <c r="I1151" s="8" t="n">
        <v>70</v>
      </c>
      <c r="J1151" s="8" t="n">
        <v>30.99</v>
      </c>
      <c r="K1151" s="9" t="n">
        <v>0.1</v>
      </c>
      <c r="L1151" s="8" t="n">
        <v>37.03</v>
      </c>
      <c r="M1151" s="8">
        <f>H1151*I1151*(1-K1151)</f>
        <v/>
      </c>
      <c r="N1151" s="8">
        <f>H1151*J1151</f>
        <v/>
      </c>
      <c r="O1151" s="8">
        <f>M1151-N1151-L1151</f>
        <v/>
      </c>
      <c r="P1151" s="10">
        <f>IFERROR(O1151/M1151,0)</f>
        <v/>
      </c>
      <c r="Q1151" s="3">
        <f>IF(H1151&lt;=0,"Review: quantity &lt;= 0",IF(K1151&gt;0.3,"Review: discount &gt; 30%",IF(G1151="","Review: missing customer type","OK")))</f>
        <v/>
      </c>
    </row>
    <row r="1152">
      <c r="A1152" s="3" t="inlineStr">
        <is>
          <t>ORD-11151</t>
        </is>
      </c>
      <c r="B1152" s="7" t="n">
        <v>45798</v>
      </c>
      <c r="C1152" s="3" t="inlineStr">
        <is>
          <t>Footwear</t>
        </is>
      </c>
      <c r="D1152" s="3" t="inlineStr">
        <is>
          <t>Formal Shoes</t>
        </is>
      </c>
      <c r="E1152" s="3" t="inlineStr">
        <is>
          <t>Central</t>
        </is>
      </c>
      <c r="F1152" s="3" t="inlineStr">
        <is>
          <t>Online</t>
        </is>
      </c>
      <c r="G1152" s="3" t="inlineStr">
        <is>
          <t>Returning</t>
        </is>
      </c>
      <c r="H1152" s="3" t="n">
        <v>1</v>
      </c>
      <c r="I1152" s="8" t="n">
        <v>335</v>
      </c>
      <c r="J1152" s="8" t="n">
        <v>191.74</v>
      </c>
      <c r="K1152" s="9" t="n">
        <v>0.15</v>
      </c>
      <c r="L1152" s="8" t="n">
        <v>23.94</v>
      </c>
      <c r="M1152" s="8">
        <f>H1152*I1152*(1-K1152)</f>
        <v/>
      </c>
      <c r="N1152" s="8">
        <f>H1152*J1152</f>
        <v/>
      </c>
      <c r="O1152" s="8">
        <f>M1152-N1152-L1152</f>
        <v/>
      </c>
      <c r="P1152" s="10">
        <f>IFERROR(O1152/M1152,0)</f>
        <v/>
      </c>
      <c r="Q1152" s="3">
        <f>IF(H1152&lt;=0,"Review: quantity &lt;= 0",IF(K1152&gt;0.3,"Review: discount &gt; 30%",IF(G1152="","Review: missing customer type","OK")))</f>
        <v/>
      </c>
    </row>
    <row r="1153">
      <c r="A1153" s="3" t="inlineStr">
        <is>
          <t>ORD-11152</t>
        </is>
      </c>
      <c r="B1153" s="7" t="n">
        <v>45714</v>
      </c>
      <c r="C1153" s="3" t="inlineStr">
        <is>
          <t>Clothing</t>
        </is>
      </c>
      <c r="D1153" s="3" t="inlineStr">
        <is>
          <t>Shirts</t>
        </is>
      </c>
      <c r="E1153" s="3" t="inlineStr">
        <is>
          <t>Greater Accra</t>
        </is>
      </c>
      <c r="F1153" s="3" t="inlineStr">
        <is>
          <t>Retail Shop</t>
        </is>
      </c>
      <c r="G1153" s="3" t="inlineStr">
        <is>
          <t>New</t>
        </is>
      </c>
      <c r="H1153" s="3" t="n">
        <v>2</v>
      </c>
      <c r="I1153" s="8" t="n">
        <v>130</v>
      </c>
      <c r="J1153" s="8" t="n">
        <v>63.79</v>
      </c>
      <c r="K1153" s="9" t="n">
        <v>0.15</v>
      </c>
      <c r="L1153" s="8" t="n">
        <v>8.83</v>
      </c>
      <c r="M1153" s="8">
        <f>H1153*I1153*(1-K1153)</f>
        <v/>
      </c>
      <c r="N1153" s="8">
        <f>H1153*J1153</f>
        <v/>
      </c>
      <c r="O1153" s="8">
        <f>M1153-N1153-L1153</f>
        <v/>
      </c>
      <c r="P1153" s="10">
        <f>IFERROR(O1153/M1153,0)</f>
        <v/>
      </c>
      <c r="Q1153" s="3">
        <f>IF(H1153&lt;=0,"Review: quantity &lt;= 0",IF(K1153&gt;0.3,"Review: discount &gt; 30%",IF(G1153="","Review: missing customer type","OK")))</f>
        <v/>
      </c>
    </row>
    <row r="1154">
      <c r="A1154" s="3" t="inlineStr">
        <is>
          <t>ORD-11153</t>
        </is>
      </c>
      <c r="B1154" s="7" t="n">
        <v>45986</v>
      </c>
      <c r="C1154" s="3" t="inlineStr">
        <is>
          <t>Footwear</t>
        </is>
      </c>
      <c r="D1154" s="3" t="inlineStr">
        <is>
          <t>Formal Shoes</t>
        </is>
      </c>
      <c r="E1154" s="3" t="inlineStr">
        <is>
          <t>Greater Accra</t>
        </is>
      </c>
      <c r="F1154" s="3" t="inlineStr">
        <is>
          <t>Online</t>
        </is>
      </c>
      <c r="G1154" s="3" t="inlineStr">
        <is>
          <t>Returning</t>
        </is>
      </c>
      <c r="H1154" s="3" t="n">
        <v>1</v>
      </c>
      <c r="I1154" s="8" t="n">
        <v>225</v>
      </c>
      <c r="J1154" s="8" t="n">
        <v>129.96</v>
      </c>
      <c r="K1154" s="9" t="n">
        <v>0.15</v>
      </c>
      <c r="L1154" s="8" t="n">
        <v>40.84</v>
      </c>
      <c r="M1154" s="8">
        <f>H1154*I1154*(1-K1154)</f>
        <v/>
      </c>
      <c r="N1154" s="8">
        <f>H1154*J1154</f>
        <v/>
      </c>
      <c r="O1154" s="8">
        <f>M1154-N1154-L1154</f>
        <v/>
      </c>
      <c r="P1154" s="10">
        <f>IFERROR(O1154/M1154,0)</f>
        <v/>
      </c>
      <c r="Q1154" s="3">
        <f>IF(H1154&lt;=0,"Review: quantity &lt;= 0",IF(K1154&gt;0.3,"Review: discount &gt; 30%",IF(G1154="","Review: missing customer type","OK")))</f>
        <v/>
      </c>
    </row>
    <row r="1155">
      <c r="A1155" s="3" t="inlineStr">
        <is>
          <t>ORD-11154</t>
        </is>
      </c>
      <c r="B1155" s="7" t="n">
        <v>45983</v>
      </c>
      <c r="C1155" s="3" t="inlineStr">
        <is>
          <t>Footwear</t>
        </is>
      </c>
      <c r="D1155" s="3" t="inlineStr">
        <is>
          <t>Formal Shoes</t>
        </is>
      </c>
      <c r="E1155" s="3" t="inlineStr">
        <is>
          <t>Ashanti</t>
        </is>
      </c>
      <c r="F1155" s="3" t="inlineStr">
        <is>
          <t>Online</t>
        </is>
      </c>
      <c r="G1155" s="3" t="inlineStr">
        <is>
          <t>Returning</t>
        </is>
      </c>
      <c r="H1155" s="3" t="n">
        <v>2</v>
      </c>
      <c r="I1155" s="8" t="n">
        <v>240</v>
      </c>
      <c r="J1155" s="8" t="n">
        <v>146.6</v>
      </c>
      <c r="K1155" s="9" t="n">
        <v>0.05</v>
      </c>
      <c r="L1155" s="8" t="n">
        <v>20.38</v>
      </c>
      <c r="M1155" s="8">
        <f>H1155*I1155*(1-K1155)</f>
        <v/>
      </c>
      <c r="N1155" s="8">
        <f>H1155*J1155</f>
        <v/>
      </c>
      <c r="O1155" s="8">
        <f>M1155-N1155-L1155</f>
        <v/>
      </c>
      <c r="P1155" s="10">
        <f>IFERROR(O1155/M1155,0)</f>
        <v/>
      </c>
      <c r="Q1155" s="3">
        <f>IF(H1155&lt;=0,"Review: quantity &lt;= 0",IF(K1155&gt;0.3,"Review: discount &gt; 30%",IF(G1155="","Review: missing customer type","OK")))</f>
        <v/>
      </c>
    </row>
    <row r="1156">
      <c r="A1156" s="3" t="inlineStr">
        <is>
          <t>ORD-11155</t>
        </is>
      </c>
      <c r="B1156" s="7" t="n">
        <v>45753</v>
      </c>
      <c r="C1156" s="3" t="inlineStr">
        <is>
          <t>Clothing</t>
        </is>
      </c>
      <c r="D1156" s="3" t="inlineStr">
        <is>
          <t>Jackets</t>
        </is>
      </c>
      <c r="E1156" s="3" t="inlineStr">
        <is>
          <t>Northern</t>
        </is>
      </c>
      <c r="F1156" s="3" t="inlineStr">
        <is>
          <t>Retail Shop</t>
        </is>
      </c>
      <c r="G1156" s="3" t="inlineStr">
        <is>
          <t>Returning</t>
        </is>
      </c>
      <c r="H1156" s="3" t="n">
        <v>1</v>
      </c>
      <c r="I1156" s="8" t="n">
        <v>135</v>
      </c>
      <c r="J1156" s="8" t="n">
        <v>74.56999999999999</v>
      </c>
      <c r="K1156" s="9" t="n">
        <v>0.05</v>
      </c>
      <c r="L1156" s="8" t="n">
        <v>5.03</v>
      </c>
      <c r="M1156" s="8">
        <f>H1156*I1156*(1-K1156)</f>
        <v/>
      </c>
      <c r="N1156" s="8">
        <f>H1156*J1156</f>
        <v/>
      </c>
      <c r="O1156" s="8">
        <f>M1156-N1156-L1156</f>
        <v/>
      </c>
      <c r="P1156" s="10">
        <f>IFERROR(O1156/M1156,0)</f>
        <v/>
      </c>
      <c r="Q1156" s="3">
        <f>IF(H1156&lt;=0,"Review: quantity &lt;= 0",IF(K1156&gt;0.3,"Review: discount &gt; 30%",IF(G1156="","Review: missing customer type","OK")))</f>
        <v/>
      </c>
    </row>
    <row r="1157">
      <c r="A1157" s="3" t="inlineStr">
        <is>
          <t>ORD-11156</t>
        </is>
      </c>
      <c r="B1157" s="7" t="n">
        <v>45897</v>
      </c>
      <c r="C1157" s="3" t="inlineStr">
        <is>
          <t>Home &amp; Lifestyle</t>
        </is>
      </c>
      <c r="D1157" s="3" t="inlineStr">
        <is>
          <t>Wallets</t>
        </is>
      </c>
      <c r="E1157" s="3" t="inlineStr">
        <is>
          <t>Central</t>
        </is>
      </c>
      <c r="F1157" s="3" t="inlineStr">
        <is>
          <t>Online</t>
        </is>
      </c>
      <c r="G1157" s="3" t="inlineStr">
        <is>
          <t>Returning</t>
        </is>
      </c>
      <c r="H1157" s="3" t="n">
        <v>3</v>
      </c>
      <c r="I1157" s="8" t="n">
        <v>60</v>
      </c>
      <c r="J1157" s="8" t="n">
        <v>32.32</v>
      </c>
      <c r="K1157" s="9" t="n">
        <v>0.2</v>
      </c>
      <c r="L1157" s="8" t="n">
        <v>16.02</v>
      </c>
      <c r="M1157" s="8">
        <f>H1157*I1157*(1-K1157)</f>
        <v/>
      </c>
      <c r="N1157" s="8">
        <f>H1157*J1157</f>
        <v/>
      </c>
      <c r="O1157" s="8">
        <f>M1157-N1157-L1157</f>
        <v/>
      </c>
      <c r="P1157" s="10">
        <f>IFERROR(O1157/M1157,0)</f>
        <v/>
      </c>
      <c r="Q1157" s="3">
        <f>IF(H1157&lt;=0,"Review: quantity &lt;= 0",IF(K1157&gt;0.3,"Review: discount &gt; 30%",IF(G1157="","Review: missing customer type","OK")))</f>
        <v/>
      </c>
    </row>
    <row r="1158">
      <c r="A1158" s="3" t="inlineStr">
        <is>
          <t>ORD-11157</t>
        </is>
      </c>
      <c r="B1158" s="7" t="n">
        <v>45888</v>
      </c>
      <c r="C1158" s="3" t="inlineStr">
        <is>
          <t>Home &amp; Lifestyle</t>
        </is>
      </c>
      <c r="D1158" s="3" t="inlineStr">
        <is>
          <t>Small Home Goods</t>
        </is>
      </c>
      <c r="E1158" s="3" t="inlineStr">
        <is>
          <t>Greater Accra</t>
        </is>
      </c>
      <c r="F1158" s="3" t="inlineStr">
        <is>
          <t>Phone/WhatsApp</t>
        </is>
      </c>
      <c r="G1158" s="3" t="inlineStr">
        <is>
          <t>Returning</t>
        </is>
      </c>
      <c r="H1158" s="3" t="n">
        <v>2</v>
      </c>
      <c r="I1158" s="8" t="n">
        <v>95</v>
      </c>
      <c r="J1158" s="8" t="n">
        <v>49.97</v>
      </c>
      <c r="K1158" s="9" t="n">
        <v>0</v>
      </c>
      <c r="L1158" s="8" t="n">
        <v>25.56</v>
      </c>
      <c r="M1158" s="8">
        <f>H1158*I1158*(1-K1158)</f>
        <v/>
      </c>
      <c r="N1158" s="8">
        <f>H1158*J1158</f>
        <v/>
      </c>
      <c r="O1158" s="8">
        <f>M1158-N1158-L1158</f>
        <v/>
      </c>
      <c r="P1158" s="10">
        <f>IFERROR(O1158/M1158,0)</f>
        <v/>
      </c>
      <c r="Q1158" s="3">
        <f>IF(H1158&lt;=0,"Review: quantity &lt;= 0",IF(K1158&gt;0.3,"Review: discount &gt; 30%",IF(G1158="","Review: missing customer type","OK")))</f>
        <v/>
      </c>
    </row>
    <row r="1159">
      <c r="A1159" s="3" t="inlineStr">
        <is>
          <t>ORD-11158</t>
        </is>
      </c>
      <c r="B1159" s="7" t="n">
        <v>45884</v>
      </c>
      <c r="C1159" s="3" t="inlineStr">
        <is>
          <t>Footwear</t>
        </is>
      </c>
      <c r="D1159" s="3" t="inlineStr">
        <is>
          <t>Formal Shoes</t>
        </is>
      </c>
      <c r="E1159" s="3" t="inlineStr">
        <is>
          <t>Central</t>
        </is>
      </c>
      <c r="F1159" s="3" t="inlineStr">
        <is>
          <t>Online</t>
        </is>
      </c>
      <c r="G1159" s="3" t="inlineStr">
        <is>
          <t>New</t>
        </is>
      </c>
      <c r="H1159" s="3" t="n">
        <v>8</v>
      </c>
      <c r="I1159" s="8" t="n">
        <v>260</v>
      </c>
      <c r="J1159" s="8" t="n">
        <v>158.04</v>
      </c>
      <c r="K1159" s="9" t="n">
        <v>0</v>
      </c>
      <c r="L1159" s="8" t="n">
        <v>12.42</v>
      </c>
      <c r="M1159" s="8">
        <f>H1159*I1159*(1-K1159)</f>
        <v/>
      </c>
      <c r="N1159" s="8">
        <f>H1159*J1159</f>
        <v/>
      </c>
      <c r="O1159" s="8">
        <f>M1159-N1159-L1159</f>
        <v/>
      </c>
      <c r="P1159" s="10">
        <f>IFERROR(O1159/M1159,0)</f>
        <v/>
      </c>
      <c r="Q1159" s="3">
        <f>IF(H1159&lt;=0,"Review: quantity &lt;= 0",IF(K1159&gt;0.3,"Review: discount &gt; 30%",IF(G1159="","Review: missing customer type","OK")))</f>
        <v/>
      </c>
    </row>
    <row r="1160">
      <c r="A1160" s="3" t="inlineStr">
        <is>
          <t>ORD-11159</t>
        </is>
      </c>
      <c r="B1160" s="7" t="n">
        <v>45899</v>
      </c>
      <c r="C1160" s="3" t="inlineStr">
        <is>
          <t>Clothing</t>
        </is>
      </c>
      <c r="D1160" s="3" t="inlineStr">
        <is>
          <t>Dresses</t>
        </is>
      </c>
      <c r="E1160" s="3" t="inlineStr">
        <is>
          <t>Central</t>
        </is>
      </c>
      <c r="F1160" s="3" t="inlineStr">
        <is>
          <t>Retail Shop</t>
        </is>
      </c>
      <c r="G1160" s="3" t="inlineStr">
        <is>
          <t>Returning</t>
        </is>
      </c>
      <c r="H1160" s="3" t="n">
        <v>1</v>
      </c>
      <c r="I1160" s="8" t="n">
        <v>135</v>
      </c>
      <c r="J1160" s="8" t="n">
        <v>72.56</v>
      </c>
      <c r="K1160" s="9" t="n">
        <v>0.1</v>
      </c>
      <c r="L1160" s="8" t="n">
        <v>0.52</v>
      </c>
      <c r="M1160" s="8">
        <f>H1160*I1160*(1-K1160)</f>
        <v/>
      </c>
      <c r="N1160" s="8">
        <f>H1160*J1160</f>
        <v/>
      </c>
      <c r="O1160" s="8">
        <f>M1160-N1160-L1160</f>
        <v/>
      </c>
      <c r="P1160" s="10">
        <f>IFERROR(O1160/M1160,0)</f>
        <v/>
      </c>
      <c r="Q1160" s="3">
        <f>IF(H1160&lt;=0,"Review: quantity &lt;= 0",IF(K1160&gt;0.3,"Review: discount &gt; 30%",IF(G1160="","Review: missing customer type","OK")))</f>
        <v/>
      </c>
    </row>
    <row r="1161">
      <c r="A1161" s="3" t="inlineStr">
        <is>
          <t>ORD-11160</t>
        </is>
      </c>
      <c r="B1161" s="7" t="n">
        <v>45862</v>
      </c>
      <c r="C1161" s="3" t="inlineStr">
        <is>
          <t>Accessories</t>
        </is>
      </c>
      <c r="D1161" s="3" t="inlineStr">
        <is>
          <t>Belts</t>
        </is>
      </c>
      <c r="E1161" s="3" t="inlineStr">
        <is>
          <t>Ashanti</t>
        </is>
      </c>
      <c r="F1161" s="3" t="inlineStr">
        <is>
          <t>Phone/WhatsApp</t>
        </is>
      </c>
      <c r="G1161" s="3" t="inlineStr">
        <is>
          <t>Returning</t>
        </is>
      </c>
      <c r="H1161" s="3" t="n">
        <v>1</v>
      </c>
      <c r="I1161" s="8" t="n">
        <v>120</v>
      </c>
      <c r="J1161" s="8" t="n">
        <v>64.27</v>
      </c>
      <c r="K1161" s="9" t="n">
        <v>0.1</v>
      </c>
      <c r="L1161" s="8" t="n">
        <v>36.88</v>
      </c>
      <c r="M1161" s="8">
        <f>H1161*I1161*(1-K1161)</f>
        <v/>
      </c>
      <c r="N1161" s="8">
        <f>H1161*J1161</f>
        <v/>
      </c>
      <c r="O1161" s="8">
        <f>M1161-N1161-L1161</f>
        <v/>
      </c>
      <c r="P1161" s="10">
        <f>IFERROR(O1161/M1161,0)</f>
        <v/>
      </c>
      <c r="Q1161" s="3">
        <f>IF(H1161&lt;=0,"Review: quantity &lt;= 0",IF(K1161&gt;0.3,"Review: discount &gt; 30%",IF(G1161="","Review: missing customer type","OK")))</f>
        <v/>
      </c>
    </row>
    <row r="1162">
      <c r="A1162" s="3" t="inlineStr">
        <is>
          <t>ORD-11161</t>
        </is>
      </c>
      <c r="B1162" s="7" t="n">
        <v>45781</v>
      </c>
      <c r="C1162" s="3" t="inlineStr">
        <is>
          <t>Footwear</t>
        </is>
      </c>
      <c r="D1162" s="3" t="inlineStr">
        <is>
          <t>Formal Shoes</t>
        </is>
      </c>
      <c r="E1162" s="3" t="inlineStr">
        <is>
          <t>Central</t>
        </is>
      </c>
      <c r="F1162" s="3" t="inlineStr">
        <is>
          <t>Online</t>
        </is>
      </c>
      <c r="G1162" s="3" t="inlineStr">
        <is>
          <t>Returning</t>
        </is>
      </c>
      <c r="H1162" s="3" t="n">
        <v>1</v>
      </c>
      <c r="I1162" s="8" t="n">
        <v>235</v>
      </c>
      <c r="J1162" s="8" t="n">
        <v>134.04</v>
      </c>
      <c r="K1162" s="9" t="n">
        <v>0.2</v>
      </c>
      <c r="L1162" s="8" t="n">
        <v>42.67</v>
      </c>
      <c r="M1162" s="8">
        <f>H1162*I1162*(1-K1162)</f>
        <v/>
      </c>
      <c r="N1162" s="8">
        <f>H1162*J1162</f>
        <v/>
      </c>
      <c r="O1162" s="8">
        <f>M1162-N1162-L1162</f>
        <v/>
      </c>
      <c r="P1162" s="10">
        <f>IFERROR(O1162/M1162,0)</f>
        <v/>
      </c>
      <c r="Q1162" s="3">
        <f>IF(H1162&lt;=0,"Review: quantity &lt;= 0",IF(K1162&gt;0.3,"Review: discount &gt; 30%",IF(G1162="","Review: missing customer type","OK")))</f>
        <v/>
      </c>
    </row>
    <row r="1163">
      <c r="A1163" s="3" t="inlineStr">
        <is>
          <t>ORD-11162</t>
        </is>
      </c>
      <c r="B1163" s="7" t="n">
        <v>45828</v>
      </c>
      <c r="C1163" s="3" t="inlineStr">
        <is>
          <t>Accessories</t>
        </is>
      </c>
      <c r="D1163" s="3" t="inlineStr">
        <is>
          <t>Watches</t>
        </is>
      </c>
      <c r="E1163" s="3" t="inlineStr">
        <is>
          <t>Ashanti</t>
        </is>
      </c>
      <c r="F1163" s="3" t="inlineStr">
        <is>
          <t>Retail Shop</t>
        </is>
      </c>
      <c r="G1163" s="3" t="inlineStr">
        <is>
          <t>New</t>
        </is>
      </c>
      <c r="H1163" s="3" t="n">
        <v>5</v>
      </c>
      <c r="I1163" s="8" t="n">
        <v>60</v>
      </c>
      <c r="J1163" s="8" t="n">
        <v>25.82</v>
      </c>
      <c r="K1163" s="9" t="n">
        <v>0.05</v>
      </c>
      <c r="L1163" s="8" t="n">
        <v>6.12</v>
      </c>
      <c r="M1163" s="8">
        <f>H1163*I1163*(1-K1163)</f>
        <v/>
      </c>
      <c r="N1163" s="8">
        <f>H1163*J1163</f>
        <v/>
      </c>
      <c r="O1163" s="8">
        <f>M1163-N1163-L1163</f>
        <v/>
      </c>
      <c r="P1163" s="10">
        <f>IFERROR(O1163/M1163,0)</f>
        <v/>
      </c>
      <c r="Q1163" s="3">
        <f>IF(H1163&lt;=0,"Review: quantity &lt;= 0",IF(K1163&gt;0.3,"Review: discount &gt; 30%",IF(G1163="","Review: missing customer type","OK")))</f>
        <v/>
      </c>
    </row>
    <row r="1164">
      <c r="A1164" s="3" t="inlineStr">
        <is>
          <t>ORD-11163</t>
        </is>
      </c>
      <c r="B1164" s="7" t="n">
        <v>45852</v>
      </c>
      <c r="C1164" s="3" t="inlineStr">
        <is>
          <t>Clothing</t>
        </is>
      </c>
      <c r="D1164" s="3" t="inlineStr">
        <is>
          <t>Dresses</t>
        </is>
      </c>
      <c r="E1164" s="3" t="inlineStr">
        <is>
          <t>Greater Accra</t>
        </is>
      </c>
      <c r="F1164" s="3" t="inlineStr">
        <is>
          <t>Online</t>
        </is>
      </c>
      <c r="G1164" s="3" t="inlineStr">
        <is>
          <t>Returning</t>
        </is>
      </c>
      <c r="H1164" s="3" t="n">
        <v>2</v>
      </c>
      <c r="I1164" s="8" t="n">
        <v>170</v>
      </c>
      <c r="J1164" s="8" t="n">
        <v>84.3</v>
      </c>
      <c r="K1164" s="9" t="n">
        <v>0.05</v>
      </c>
      <c r="L1164" s="8" t="n">
        <v>12.92</v>
      </c>
      <c r="M1164" s="8">
        <f>H1164*I1164*(1-K1164)</f>
        <v/>
      </c>
      <c r="N1164" s="8">
        <f>H1164*J1164</f>
        <v/>
      </c>
      <c r="O1164" s="8">
        <f>M1164-N1164-L1164</f>
        <v/>
      </c>
      <c r="P1164" s="10">
        <f>IFERROR(O1164/M1164,0)</f>
        <v/>
      </c>
      <c r="Q1164" s="3">
        <f>IF(H1164&lt;=0,"Review: quantity &lt;= 0",IF(K1164&gt;0.3,"Review: discount &gt; 30%",IF(G1164="","Review: missing customer type","OK")))</f>
        <v/>
      </c>
    </row>
    <row r="1165">
      <c r="A1165" s="3" t="inlineStr">
        <is>
          <t>ORD-11164</t>
        </is>
      </c>
      <c r="B1165" s="7" t="n">
        <v>45721</v>
      </c>
      <c r="C1165" s="3" t="inlineStr">
        <is>
          <t>Accessories</t>
        </is>
      </c>
      <c r="D1165" s="3" t="inlineStr">
        <is>
          <t>Bags</t>
        </is>
      </c>
      <c r="E1165" s="3" t="inlineStr">
        <is>
          <t>Ashanti</t>
        </is>
      </c>
      <c r="F1165" s="3" t="inlineStr">
        <is>
          <t>Retail Shop</t>
        </is>
      </c>
      <c r="G1165" s="3" t="inlineStr">
        <is>
          <t>Returning</t>
        </is>
      </c>
      <c r="H1165" s="3" t="n">
        <v>4</v>
      </c>
      <c r="I1165" s="8" t="n">
        <v>85</v>
      </c>
      <c r="J1165" s="8" t="n">
        <v>38.16</v>
      </c>
      <c r="K1165" s="9" t="n">
        <v>0.1</v>
      </c>
      <c r="L1165" s="8" t="n">
        <v>3.87</v>
      </c>
      <c r="M1165" s="8">
        <f>H1165*I1165*(1-K1165)</f>
        <v/>
      </c>
      <c r="N1165" s="8">
        <f>H1165*J1165</f>
        <v/>
      </c>
      <c r="O1165" s="8">
        <f>M1165-N1165-L1165</f>
        <v/>
      </c>
      <c r="P1165" s="10">
        <f>IFERROR(O1165/M1165,0)</f>
        <v/>
      </c>
      <c r="Q1165" s="3">
        <f>IF(H1165&lt;=0,"Review: quantity &lt;= 0",IF(K1165&gt;0.3,"Review: discount &gt; 30%",IF(G1165="","Review: missing customer type","OK")))</f>
        <v/>
      </c>
    </row>
    <row r="1166">
      <c r="A1166" s="3" t="inlineStr">
        <is>
          <t>ORD-11165</t>
        </is>
      </c>
      <c r="B1166" s="7" t="n">
        <v>45788</v>
      </c>
      <c r="C1166" s="3" t="inlineStr">
        <is>
          <t>Accessories</t>
        </is>
      </c>
      <c r="D1166" s="3" t="inlineStr">
        <is>
          <t>Sunglasses</t>
        </is>
      </c>
      <c r="E1166" s="3" t="inlineStr">
        <is>
          <t>Greater Accra</t>
        </is>
      </c>
      <c r="F1166" s="3" t="inlineStr">
        <is>
          <t>Retail Shop</t>
        </is>
      </c>
      <c r="G1166" s="3" t="inlineStr">
        <is>
          <t>New</t>
        </is>
      </c>
      <c r="H1166" s="3" t="n">
        <v>2</v>
      </c>
      <c r="I1166" s="8" t="n">
        <v>160</v>
      </c>
      <c r="J1166" s="8" t="n">
        <v>68.17</v>
      </c>
      <c r="K1166" s="9" t="n">
        <v>0.1</v>
      </c>
      <c r="L1166" s="8" t="n">
        <v>11.51</v>
      </c>
      <c r="M1166" s="8">
        <f>H1166*I1166*(1-K1166)</f>
        <v/>
      </c>
      <c r="N1166" s="8">
        <f>H1166*J1166</f>
        <v/>
      </c>
      <c r="O1166" s="8">
        <f>M1166-N1166-L1166</f>
        <v/>
      </c>
      <c r="P1166" s="10">
        <f>IFERROR(O1166/M1166,0)</f>
        <v/>
      </c>
      <c r="Q1166" s="3">
        <f>IF(H1166&lt;=0,"Review: quantity &lt;= 0",IF(K1166&gt;0.3,"Review: discount &gt; 30%",IF(G1166="","Review: missing customer type","OK")))</f>
        <v/>
      </c>
    </row>
    <row r="1167">
      <c r="A1167" s="3" t="inlineStr">
        <is>
          <t>ORD-11166</t>
        </is>
      </c>
      <c r="B1167" s="7" t="n">
        <v>46011</v>
      </c>
      <c r="C1167" s="3" t="inlineStr">
        <is>
          <t>Clothing</t>
        </is>
      </c>
      <c r="D1167" s="3" t="inlineStr">
        <is>
          <t>Dresses</t>
        </is>
      </c>
      <c r="E1167" s="3" t="inlineStr">
        <is>
          <t>Greater Accra</t>
        </is>
      </c>
      <c r="F1167" s="3" t="inlineStr">
        <is>
          <t>Online</t>
        </is>
      </c>
      <c r="G1167" s="3" t="inlineStr">
        <is>
          <t>Returning</t>
        </is>
      </c>
      <c r="H1167" s="3" t="n">
        <v>2</v>
      </c>
      <c r="I1167" s="8" t="n">
        <v>130</v>
      </c>
      <c r="J1167" s="8" t="n">
        <v>63.79</v>
      </c>
      <c r="K1167" s="9" t="n">
        <v>0</v>
      </c>
      <c r="L1167" s="8" t="n">
        <v>30.88</v>
      </c>
      <c r="M1167" s="8">
        <f>H1167*I1167*(1-K1167)</f>
        <v/>
      </c>
      <c r="N1167" s="8">
        <f>H1167*J1167</f>
        <v/>
      </c>
      <c r="O1167" s="8">
        <f>M1167-N1167-L1167</f>
        <v/>
      </c>
      <c r="P1167" s="10">
        <f>IFERROR(O1167/M1167,0)</f>
        <v/>
      </c>
      <c r="Q1167" s="3">
        <f>IF(H1167&lt;=0,"Review: quantity &lt;= 0",IF(K1167&gt;0.3,"Review: discount &gt; 30%",IF(G1167="","Review: missing customer type","OK")))</f>
        <v/>
      </c>
    </row>
    <row r="1168">
      <c r="A1168" s="3" t="inlineStr">
        <is>
          <t>ORD-11167</t>
        </is>
      </c>
      <c r="B1168" s="7" t="n">
        <v>45802</v>
      </c>
      <c r="C1168" s="3" t="inlineStr">
        <is>
          <t>Footwear</t>
        </is>
      </c>
      <c r="D1168" s="3" t="inlineStr">
        <is>
          <t>Formal Shoes</t>
        </is>
      </c>
      <c r="E1168" s="3" t="inlineStr">
        <is>
          <t>Central</t>
        </is>
      </c>
      <c r="F1168" s="3" t="inlineStr">
        <is>
          <t>Phone/WhatsApp</t>
        </is>
      </c>
      <c r="G1168" s="3" t="inlineStr">
        <is>
          <t>Returning</t>
        </is>
      </c>
      <c r="H1168" s="3" t="n">
        <v>4</v>
      </c>
      <c r="I1168" s="8" t="n">
        <v>200</v>
      </c>
      <c r="J1168" s="8" t="n">
        <v>118.21</v>
      </c>
      <c r="K1168" s="9" t="n">
        <v>0</v>
      </c>
      <c r="L1168" s="8" t="n">
        <v>8.77</v>
      </c>
      <c r="M1168" s="8">
        <f>H1168*I1168*(1-K1168)</f>
        <v/>
      </c>
      <c r="N1168" s="8">
        <f>H1168*J1168</f>
        <v/>
      </c>
      <c r="O1168" s="8">
        <f>M1168-N1168-L1168</f>
        <v/>
      </c>
      <c r="P1168" s="10">
        <f>IFERROR(O1168/M1168,0)</f>
        <v/>
      </c>
      <c r="Q1168" s="3">
        <f>IF(H1168&lt;=0,"Review: quantity &lt;= 0",IF(K1168&gt;0.3,"Review: discount &gt; 30%",IF(G1168="","Review: missing customer type","OK")))</f>
        <v/>
      </c>
    </row>
    <row r="1169">
      <c r="A1169" s="3" t="inlineStr">
        <is>
          <t>ORD-11168</t>
        </is>
      </c>
      <c r="B1169" s="7" t="n">
        <v>45911</v>
      </c>
      <c r="C1169" s="3" t="inlineStr">
        <is>
          <t>Accessories</t>
        </is>
      </c>
      <c r="D1169" s="3" t="inlineStr">
        <is>
          <t>Watches</t>
        </is>
      </c>
      <c r="E1169" s="3" t="inlineStr">
        <is>
          <t>Central</t>
        </is>
      </c>
      <c r="F1169" s="3" t="inlineStr">
        <is>
          <t>Online</t>
        </is>
      </c>
      <c r="G1169" s="3" t="inlineStr">
        <is>
          <t>Returning</t>
        </is>
      </c>
      <c r="H1169" s="3" t="n">
        <v>3</v>
      </c>
      <c r="I1169" s="8" t="n">
        <v>110</v>
      </c>
      <c r="J1169" s="8" t="n">
        <v>55.88</v>
      </c>
      <c r="K1169" s="9" t="n">
        <v>0.15</v>
      </c>
      <c r="L1169" s="8" t="n">
        <v>30.72</v>
      </c>
      <c r="M1169" s="8">
        <f>H1169*I1169*(1-K1169)</f>
        <v/>
      </c>
      <c r="N1169" s="8">
        <f>H1169*J1169</f>
        <v/>
      </c>
      <c r="O1169" s="8">
        <f>M1169-N1169-L1169</f>
        <v/>
      </c>
      <c r="P1169" s="10">
        <f>IFERROR(O1169/M1169,0)</f>
        <v/>
      </c>
      <c r="Q1169" s="3">
        <f>IF(H1169&lt;=0,"Review: quantity &lt;= 0",IF(K1169&gt;0.3,"Review: discount &gt; 30%",IF(G1169="","Review: missing customer type","OK")))</f>
        <v/>
      </c>
    </row>
    <row r="1170">
      <c r="A1170" s="3" t="inlineStr">
        <is>
          <t>ORD-11169</t>
        </is>
      </c>
      <c r="B1170" s="7" t="n">
        <v>45683</v>
      </c>
      <c r="C1170" s="3" t="inlineStr">
        <is>
          <t>Clothing</t>
        </is>
      </c>
      <c r="D1170" s="3" t="inlineStr">
        <is>
          <t>Jackets</t>
        </is>
      </c>
      <c r="E1170" s="3" t="inlineStr">
        <is>
          <t>Western</t>
        </is>
      </c>
      <c r="F1170" s="3" t="inlineStr">
        <is>
          <t>Phone/WhatsApp</t>
        </is>
      </c>
      <c r="G1170" s="3" t="inlineStr">
        <is>
          <t>New</t>
        </is>
      </c>
      <c r="H1170" s="3" t="n">
        <v>2</v>
      </c>
      <c r="I1170" s="8" t="n">
        <v>140</v>
      </c>
      <c r="J1170" s="8" t="n">
        <v>71.95</v>
      </c>
      <c r="K1170" s="9" t="n">
        <v>0.15</v>
      </c>
      <c r="L1170" s="8" t="n">
        <v>14.35</v>
      </c>
      <c r="M1170" s="8">
        <f>H1170*I1170*(1-K1170)</f>
        <v/>
      </c>
      <c r="N1170" s="8">
        <f>H1170*J1170</f>
        <v/>
      </c>
      <c r="O1170" s="8">
        <f>M1170-N1170-L1170</f>
        <v/>
      </c>
      <c r="P1170" s="10">
        <f>IFERROR(O1170/M1170,0)</f>
        <v/>
      </c>
      <c r="Q1170" s="3">
        <f>IF(H1170&lt;=0,"Review: quantity &lt;= 0",IF(K1170&gt;0.3,"Review: discount &gt; 30%",IF(G1170="","Review: missing customer type","OK")))</f>
        <v/>
      </c>
    </row>
    <row r="1171">
      <c r="A1171" s="3" t="inlineStr">
        <is>
          <t>ORD-11170</t>
        </is>
      </c>
      <c r="B1171" s="7" t="n">
        <v>45660</v>
      </c>
      <c r="C1171" s="3" t="inlineStr">
        <is>
          <t>Footwear</t>
        </is>
      </c>
      <c r="D1171" s="3" t="inlineStr">
        <is>
          <t>Formal Shoes</t>
        </is>
      </c>
      <c r="E1171" s="3" t="inlineStr">
        <is>
          <t>Greater Accra</t>
        </is>
      </c>
      <c r="F1171" s="3" t="inlineStr">
        <is>
          <t>Retail Shop</t>
        </is>
      </c>
      <c r="G1171" s="3" t="inlineStr">
        <is>
          <t>Returning</t>
        </is>
      </c>
      <c r="H1171" s="3" t="n">
        <v>3</v>
      </c>
      <c r="I1171" s="8" t="n">
        <v>185</v>
      </c>
      <c r="J1171" s="8" t="n">
        <v>112.57</v>
      </c>
      <c r="K1171" s="9" t="n">
        <v>0</v>
      </c>
      <c r="L1171" s="8" t="n">
        <v>0.39</v>
      </c>
      <c r="M1171" s="8">
        <f>H1171*I1171*(1-K1171)</f>
        <v/>
      </c>
      <c r="N1171" s="8">
        <f>H1171*J1171</f>
        <v/>
      </c>
      <c r="O1171" s="8">
        <f>M1171-N1171-L1171</f>
        <v/>
      </c>
      <c r="P1171" s="10">
        <f>IFERROR(O1171/M1171,0)</f>
        <v/>
      </c>
      <c r="Q1171" s="3">
        <f>IF(H1171&lt;=0,"Review: quantity &lt;= 0",IF(K1171&gt;0.3,"Review: discount &gt; 30%",IF(G1171="","Review: missing customer type","OK")))</f>
        <v/>
      </c>
    </row>
    <row r="1172">
      <c r="A1172" s="3" t="inlineStr">
        <is>
          <t>ORD-11171</t>
        </is>
      </c>
      <c r="B1172" s="7" t="n">
        <v>45674</v>
      </c>
      <c r="C1172" s="3" t="inlineStr">
        <is>
          <t>Footwear</t>
        </is>
      </c>
      <c r="D1172" s="3" t="inlineStr">
        <is>
          <t>Formal Shoes</t>
        </is>
      </c>
      <c r="E1172" s="3" t="inlineStr">
        <is>
          <t>Northern</t>
        </is>
      </c>
      <c r="F1172" s="3" t="inlineStr">
        <is>
          <t>Retail Shop</t>
        </is>
      </c>
      <c r="G1172" s="3" t="inlineStr">
        <is>
          <t>Returning</t>
        </is>
      </c>
      <c r="H1172" s="3" t="n">
        <v>5</v>
      </c>
      <c r="I1172" s="8" t="n">
        <v>390</v>
      </c>
      <c r="J1172" s="8" t="n">
        <v>241.05</v>
      </c>
      <c r="K1172" s="9" t="n">
        <v>0.2</v>
      </c>
      <c r="L1172" s="8" t="n">
        <v>1.22</v>
      </c>
      <c r="M1172" s="8">
        <f>H1172*I1172*(1-K1172)</f>
        <v/>
      </c>
      <c r="N1172" s="8">
        <f>H1172*J1172</f>
        <v/>
      </c>
      <c r="O1172" s="8">
        <f>M1172-N1172-L1172</f>
        <v/>
      </c>
      <c r="P1172" s="10">
        <f>IFERROR(O1172/M1172,0)</f>
        <v/>
      </c>
      <c r="Q1172" s="3">
        <f>IF(H1172&lt;=0,"Review: quantity &lt;= 0",IF(K1172&gt;0.3,"Review: discount &gt; 30%",IF(G1172="","Review: missing customer type","OK")))</f>
        <v/>
      </c>
    </row>
    <row r="1173">
      <c r="A1173" s="3" t="inlineStr">
        <is>
          <t>ORD-11172</t>
        </is>
      </c>
      <c r="B1173" s="7" t="n">
        <v>45815</v>
      </c>
      <c r="C1173" s="3" t="inlineStr">
        <is>
          <t>Footwear</t>
        </is>
      </c>
      <c r="D1173" s="3" t="inlineStr">
        <is>
          <t>Sandals</t>
        </is>
      </c>
      <c r="E1173" s="3" t="inlineStr">
        <is>
          <t>Ashanti</t>
        </is>
      </c>
      <c r="F1173" s="3" t="inlineStr">
        <is>
          <t>Retail Shop</t>
        </is>
      </c>
      <c r="G1173" s="3" t="inlineStr">
        <is>
          <t>Returning</t>
        </is>
      </c>
      <c r="H1173" s="3" t="n">
        <v>2</v>
      </c>
      <c r="I1173" s="8" t="n">
        <v>190</v>
      </c>
      <c r="J1173" s="8" t="n">
        <v>100.36</v>
      </c>
      <c r="K1173" s="9" t="n">
        <v>0.05</v>
      </c>
      <c r="L1173" s="8" t="n">
        <v>6.65</v>
      </c>
      <c r="M1173" s="8">
        <f>H1173*I1173*(1-K1173)</f>
        <v/>
      </c>
      <c r="N1173" s="8">
        <f>H1173*J1173</f>
        <v/>
      </c>
      <c r="O1173" s="8">
        <f>M1173-N1173-L1173</f>
        <v/>
      </c>
      <c r="P1173" s="10">
        <f>IFERROR(O1173/M1173,0)</f>
        <v/>
      </c>
      <c r="Q1173" s="3">
        <f>IF(H1173&lt;=0,"Review: quantity &lt;= 0",IF(K1173&gt;0.3,"Review: discount &gt; 30%",IF(G1173="","Review: missing customer type","OK")))</f>
        <v/>
      </c>
    </row>
    <row r="1174">
      <c r="A1174" s="3" t="inlineStr">
        <is>
          <t>ORD-11173</t>
        </is>
      </c>
      <c r="B1174" s="7" t="n">
        <v>45708</v>
      </c>
      <c r="C1174" s="3" t="inlineStr">
        <is>
          <t>Home &amp; Lifestyle</t>
        </is>
      </c>
      <c r="D1174" s="3" t="inlineStr">
        <is>
          <t>Travel Mugs</t>
        </is>
      </c>
      <c r="E1174" s="3" t="inlineStr">
        <is>
          <t>Greater Accra</t>
        </is>
      </c>
      <c r="F1174" s="3" t="inlineStr">
        <is>
          <t>Retail Shop</t>
        </is>
      </c>
      <c r="G1174" s="3" t="inlineStr">
        <is>
          <t>Returning</t>
        </is>
      </c>
      <c r="H1174" s="3" t="n">
        <v>5</v>
      </c>
      <c r="I1174" s="8" t="n">
        <v>110</v>
      </c>
      <c r="J1174" s="8" t="n">
        <v>54.15</v>
      </c>
      <c r="K1174" s="9" t="n">
        <v>0.1</v>
      </c>
      <c r="L1174" s="8" t="n">
        <v>4.71</v>
      </c>
      <c r="M1174" s="8">
        <f>H1174*I1174*(1-K1174)</f>
        <v/>
      </c>
      <c r="N1174" s="8">
        <f>H1174*J1174</f>
        <v/>
      </c>
      <c r="O1174" s="8">
        <f>M1174-N1174-L1174</f>
        <v/>
      </c>
      <c r="P1174" s="10">
        <f>IFERROR(O1174/M1174,0)</f>
        <v/>
      </c>
      <c r="Q1174" s="3">
        <f>IF(H1174&lt;=0,"Review: quantity &lt;= 0",IF(K1174&gt;0.3,"Review: discount &gt; 30%",IF(G1174="","Review: missing customer type","OK")))</f>
        <v/>
      </c>
    </row>
    <row r="1175">
      <c r="A1175" s="3" t="inlineStr">
        <is>
          <t>ORD-11174</t>
        </is>
      </c>
      <c r="B1175" s="7" t="n">
        <v>45666</v>
      </c>
      <c r="C1175" s="3" t="inlineStr">
        <is>
          <t>Footwear</t>
        </is>
      </c>
      <c r="D1175" s="3" t="inlineStr">
        <is>
          <t>Boots</t>
        </is>
      </c>
      <c r="E1175" s="3" t="inlineStr">
        <is>
          <t>Western</t>
        </is>
      </c>
      <c r="F1175" s="3" t="inlineStr">
        <is>
          <t>Retail Shop</t>
        </is>
      </c>
      <c r="G1175" s="3" t="inlineStr">
        <is>
          <t>New</t>
        </is>
      </c>
      <c r="H1175" s="3" t="n">
        <v>2</v>
      </c>
      <c r="I1175" s="8" t="n">
        <v>225</v>
      </c>
      <c r="J1175" s="8" t="n">
        <v>136.03</v>
      </c>
      <c r="K1175" s="9" t="n">
        <v>0.05</v>
      </c>
      <c r="L1175" s="8" t="n">
        <v>11.28</v>
      </c>
      <c r="M1175" s="8">
        <f>H1175*I1175*(1-K1175)</f>
        <v/>
      </c>
      <c r="N1175" s="8">
        <f>H1175*J1175</f>
        <v/>
      </c>
      <c r="O1175" s="8">
        <f>M1175-N1175-L1175</f>
        <v/>
      </c>
      <c r="P1175" s="10">
        <f>IFERROR(O1175/M1175,0)</f>
        <v/>
      </c>
      <c r="Q1175" s="3">
        <f>IF(H1175&lt;=0,"Review: quantity &lt;= 0",IF(K1175&gt;0.3,"Review: discount &gt; 30%",IF(G1175="","Review: missing customer type","OK")))</f>
        <v/>
      </c>
    </row>
    <row r="1176">
      <c r="A1176" s="3" t="inlineStr">
        <is>
          <t>ORD-11175</t>
        </is>
      </c>
      <c r="B1176" s="7" t="n">
        <v>46011</v>
      </c>
      <c r="C1176" s="3" t="inlineStr">
        <is>
          <t>Clothing</t>
        </is>
      </c>
      <c r="D1176" s="3" t="inlineStr">
        <is>
          <t>Dresses</t>
        </is>
      </c>
      <c r="E1176" s="3" t="inlineStr">
        <is>
          <t>Greater Accra</t>
        </is>
      </c>
      <c r="F1176" s="3" t="inlineStr">
        <is>
          <t>Retail Shop</t>
        </is>
      </c>
      <c r="G1176" s="3" t="inlineStr">
        <is>
          <t>New</t>
        </is>
      </c>
      <c r="H1176" s="3" t="n">
        <v>2</v>
      </c>
      <c r="I1176" s="8" t="n">
        <v>185</v>
      </c>
      <c r="J1176" s="8" t="n">
        <v>101.1</v>
      </c>
      <c r="K1176" s="9" t="n">
        <v>0.1</v>
      </c>
      <c r="L1176" s="8" t="n">
        <v>5.67</v>
      </c>
      <c r="M1176" s="8">
        <f>H1176*I1176*(1-K1176)</f>
        <v/>
      </c>
      <c r="N1176" s="8">
        <f>H1176*J1176</f>
        <v/>
      </c>
      <c r="O1176" s="8">
        <f>M1176-N1176-L1176</f>
        <v/>
      </c>
      <c r="P1176" s="10">
        <f>IFERROR(O1176/M1176,0)</f>
        <v/>
      </c>
      <c r="Q1176" s="3">
        <f>IF(H1176&lt;=0,"Review: quantity &lt;= 0",IF(K1176&gt;0.3,"Review: discount &gt; 30%",IF(G1176="","Review: missing customer type","OK")))</f>
        <v/>
      </c>
    </row>
    <row r="1177">
      <c r="A1177" s="3" t="inlineStr">
        <is>
          <t>ORD-11176</t>
        </is>
      </c>
      <c r="B1177" s="7" t="n">
        <v>46017</v>
      </c>
      <c r="C1177" s="3" t="inlineStr">
        <is>
          <t>Accessories</t>
        </is>
      </c>
      <c r="D1177" s="3" t="inlineStr">
        <is>
          <t>Watches</t>
        </is>
      </c>
      <c r="E1177" s="3" t="inlineStr">
        <is>
          <t>Western</t>
        </is>
      </c>
      <c r="F1177" s="3" t="inlineStr">
        <is>
          <t>Retail Shop</t>
        </is>
      </c>
      <c r="G1177" s="3" t="inlineStr">
        <is>
          <t>Returning</t>
        </is>
      </c>
      <c r="H1177" s="3" t="n">
        <v>2</v>
      </c>
      <c r="I1177" s="8" t="n">
        <v>90</v>
      </c>
      <c r="J1177" s="8" t="n">
        <v>48.06</v>
      </c>
      <c r="K1177" s="9" t="n">
        <v>0.05</v>
      </c>
      <c r="L1177" s="8" t="n">
        <v>3.97</v>
      </c>
      <c r="M1177" s="8">
        <f>H1177*I1177*(1-K1177)</f>
        <v/>
      </c>
      <c r="N1177" s="8">
        <f>H1177*J1177</f>
        <v/>
      </c>
      <c r="O1177" s="8">
        <f>M1177-N1177-L1177</f>
        <v/>
      </c>
      <c r="P1177" s="10">
        <f>IFERROR(O1177/M1177,0)</f>
        <v/>
      </c>
      <c r="Q1177" s="3">
        <f>IF(H1177&lt;=0,"Review: quantity &lt;= 0",IF(K1177&gt;0.3,"Review: discount &gt; 30%",IF(G1177="","Review: missing customer type","OK")))</f>
        <v/>
      </c>
    </row>
    <row r="1178">
      <c r="A1178" s="3" t="inlineStr">
        <is>
          <t>ORD-11177</t>
        </is>
      </c>
      <c r="B1178" s="7" t="n">
        <v>46010</v>
      </c>
      <c r="C1178" s="3" t="inlineStr">
        <is>
          <t>Clothing</t>
        </is>
      </c>
      <c r="D1178" s="3" t="inlineStr">
        <is>
          <t>Shirts</t>
        </is>
      </c>
      <c r="E1178" s="3" t="inlineStr">
        <is>
          <t>Central</t>
        </is>
      </c>
      <c r="F1178" s="3" t="inlineStr">
        <is>
          <t>Retail Shop</t>
        </is>
      </c>
      <c r="G1178" s="3" t="inlineStr">
        <is>
          <t>New</t>
        </is>
      </c>
      <c r="H1178" s="3" t="n">
        <v>5</v>
      </c>
      <c r="I1178" s="8" t="n">
        <v>95</v>
      </c>
      <c r="J1178" s="8" t="n">
        <v>51.36</v>
      </c>
      <c r="K1178" s="9" t="n">
        <v>0.05</v>
      </c>
      <c r="L1178" s="8" t="n">
        <v>4.52</v>
      </c>
      <c r="M1178" s="8">
        <f>H1178*I1178*(1-K1178)</f>
        <v/>
      </c>
      <c r="N1178" s="8">
        <f>H1178*J1178</f>
        <v/>
      </c>
      <c r="O1178" s="8">
        <f>M1178-N1178-L1178</f>
        <v/>
      </c>
      <c r="P1178" s="10">
        <f>IFERROR(O1178/M1178,0)</f>
        <v/>
      </c>
      <c r="Q1178" s="3">
        <f>IF(H1178&lt;=0,"Review: quantity &lt;= 0",IF(K1178&gt;0.3,"Review: discount &gt; 30%",IF(G1178="","Review: missing customer type","OK")))</f>
        <v/>
      </c>
    </row>
    <row r="1179">
      <c r="A1179" s="3" t="inlineStr">
        <is>
          <t>ORD-11178</t>
        </is>
      </c>
      <c r="B1179" s="7" t="n">
        <v>45880</v>
      </c>
      <c r="C1179" s="3" t="inlineStr">
        <is>
          <t>Home &amp; Lifestyle</t>
        </is>
      </c>
      <c r="D1179" s="3" t="inlineStr">
        <is>
          <t>Backpacks</t>
        </is>
      </c>
      <c r="E1179" s="3" t="inlineStr">
        <is>
          <t>Ashanti</t>
        </is>
      </c>
      <c r="F1179" s="3" t="inlineStr">
        <is>
          <t>Phone/WhatsApp</t>
        </is>
      </c>
      <c r="G1179" s="3" t="inlineStr">
        <is>
          <t>Returning</t>
        </is>
      </c>
      <c r="H1179" s="3" t="n">
        <v>4</v>
      </c>
      <c r="I1179" s="8" t="n">
        <v>130</v>
      </c>
      <c r="J1179" s="8" t="n">
        <v>77.73</v>
      </c>
      <c r="K1179" s="9" t="n">
        <v>0.1</v>
      </c>
      <c r="L1179" s="8" t="n">
        <v>43.98</v>
      </c>
      <c r="M1179" s="8">
        <f>H1179*I1179*(1-K1179)</f>
        <v/>
      </c>
      <c r="N1179" s="8">
        <f>H1179*J1179</f>
        <v/>
      </c>
      <c r="O1179" s="8">
        <f>M1179-N1179-L1179</f>
        <v/>
      </c>
      <c r="P1179" s="10">
        <f>IFERROR(O1179/M1179,0)</f>
        <v/>
      </c>
      <c r="Q1179" s="3">
        <f>IF(H1179&lt;=0,"Review: quantity &lt;= 0",IF(K1179&gt;0.3,"Review: discount &gt; 30%",IF(G1179="","Review: missing customer type","OK")))</f>
        <v/>
      </c>
    </row>
    <row r="1180">
      <c r="A1180" s="3" t="inlineStr">
        <is>
          <t>ORD-11179</t>
        </is>
      </c>
      <c r="B1180" s="7" t="n">
        <v>45803</v>
      </c>
      <c r="C1180" s="3" t="inlineStr">
        <is>
          <t>Clothing</t>
        </is>
      </c>
      <c r="D1180" s="3" t="inlineStr">
        <is>
          <t>Jackets</t>
        </is>
      </c>
      <c r="E1180" s="3" t="inlineStr">
        <is>
          <t>Ashanti</t>
        </is>
      </c>
      <c r="F1180" s="3" t="inlineStr">
        <is>
          <t>Retail Shop</t>
        </is>
      </c>
      <c r="G1180" s="3" t="inlineStr">
        <is>
          <t>Returning</t>
        </is>
      </c>
      <c r="H1180" s="3" t="n">
        <v>2</v>
      </c>
      <c r="I1180" s="8" t="n">
        <v>135</v>
      </c>
      <c r="J1180" s="8" t="n">
        <v>65.7</v>
      </c>
      <c r="K1180" s="9" t="n">
        <v>0</v>
      </c>
      <c r="L1180" s="8" t="n">
        <v>1.74</v>
      </c>
      <c r="M1180" s="8">
        <f>H1180*I1180*(1-K1180)</f>
        <v/>
      </c>
      <c r="N1180" s="8">
        <f>H1180*J1180</f>
        <v/>
      </c>
      <c r="O1180" s="8">
        <f>M1180-N1180-L1180</f>
        <v/>
      </c>
      <c r="P1180" s="10">
        <f>IFERROR(O1180/M1180,0)</f>
        <v/>
      </c>
      <c r="Q1180" s="3">
        <f>IF(H1180&lt;=0,"Review: quantity &lt;= 0",IF(K1180&gt;0.3,"Review: discount &gt; 30%",IF(G1180="","Review: missing customer type","OK")))</f>
        <v/>
      </c>
    </row>
    <row r="1181">
      <c r="A1181" s="3" t="inlineStr">
        <is>
          <t>ORD-11180</t>
        </is>
      </c>
      <c r="B1181" s="7" t="n">
        <v>45955</v>
      </c>
      <c r="C1181" s="3" t="inlineStr">
        <is>
          <t>Footwear</t>
        </is>
      </c>
      <c r="D1181" s="3" t="inlineStr">
        <is>
          <t>Formal Shoes</t>
        </is>
      </c>
      <c r="E1181" s="3" t="inlineStr">
        <is>
          <t>Greater Accra</t>
        </is>
      </c>
      <c r="F1181" s="3" t="inlineStr">
        <is>
          <t>Online</t>
        </is>
      </c>
      <c r="G1181" s="3" t="inlineStr">
        <is>
          <t>New</t>
        </is>
      </c>
      <c r="H1181" s="3" t="n">
        <v>10</v>
      </c>
      <c r="I1181" s="8" t="n">
        <v>290</v>
      </c>
      <c r="J1181" s="8" t="n">
        <v>183.33</v>
      </c>
      <c r="K1181" s="9" t="n">
        <v>0.1</v>
      </c>
      <c r="L1181" s="8" t="n">
        <v>20.18</v>
      </c>
      <c r="M1181" s="8">
        <f>H1181*I1181*(1-K1181)</f>
        <v/>
      </c>
      <c r="N1181" s="8">
        <f>H1181*J1181</f>
        <v/>
      </c>
      <c r="O1181" s="8">
        <f>M1181-N1181-L1181</f>
        <v/>
      </c>
      <c r="P1181" s="10">
        <f>IFERROR(O1181/M1181,0)</f>
        <v/>
      </c>
      <c r="Q1181" s="3">
        <f>IF(H1181&lt;=0,"Review: quantity &lt;= 0",IF(K1181&gt;0.3,"Review: discount &gt; 30%",IF(G1181="","Review: missing customer type","OK")))</f>
        <v/>
      </c>
    </row>
    <row r="1182">
      <c r="A1182" s="3" t="inlineStr">
        <is>
          <t>ORD-11181</t>
        </is>
      </c>
      <c r="B1182" s="7" t="n">
        <v>45943</v>
      </c>
      <c r="C1182" s="3" t="inlineStr">
        <is>
          <t>Accessories</t>
        </is>
      </c>
      <c r="D1182" s="3" t="inlineStr">
        <is>
          <t>Watches</t>
        </is>
      </c>
      <c r="E1182" s="3" t="inlineStr">
        <is>
          <t>Western</t>
        </is>
      </c>
      <c r="F1182" s="3" t="inlineStr">
        <is>
          <t>Retail Shop</t>
        </is>
      </c>
      <c r="G1182" s="3" t="inlineStr">
        <is>
          <t>New</t>
        </is>
      </c>
      <c r="H1182" s="3" t="n">
        <v>1</v>
      </c>
      <c r="I1182" s="8" t="n">
        <v>85</v>
      </c>
      <c r="J1182" s="8" t="n">
        <v>42.14</v>
      </c>
      <c r="K1182" s="9" t="n">
        <v>0</v>
      </c>
      <c r="L1182" s="8" t="n">
        <v>11.36</v>
      </c>
      <c r="M1182" s="8">
        <f>H1182*I1182*(1-K1182)</f>
        <v/>
      </c>
      <c r="N1182" s="8">
        <f>H1182*J1182</f>
        <v/>
      </c>
      <c r="O1182" s="8">
        <f>M1182-N1182-L1182</f>
        <v/>
      </c>
      <c r="P1182" s="10">
        <f>IFERROR(O1182/M1182,0)</f>
        <v/>
      </c>
      <c r="Q1182" s="3">
        <f>IF(H1182&lt;=0,"Review: quantity &lt;= 0",IF(K1182&gt;0.3,"Review: discount &gt; 30%",IF(G1182="","Review: missing customer type","OK")))</f>
        <v/>
      </c>
    </row>
    <row r="1183">
      <c r="A1183" s="3" t="inlineStr">
        <is>
          <t>ORD-11182</t>
        </is>
      </c>
      <c r="B1183" s="7" t="n">
        <v>45849</v>
      </c>
      <c r="C1183" s="3" t="inlineStr">
        <is>
          <t>Footwear</t>
        </is>
      </c>
      <c r="D1183" s="3" t="inlineStr">
        <is>
          <t>Sandals</t>
        </is>
      </c>
      <c r="E1183" s="3" t="inlineStr">
        <is>
          <t>Ashanti</t>
        </is>
      </c>
      <c r="F1183" s="3" t="inlineStr">
        <is>
          <t>Online</t>
        </is>
      </c>
      <c r="G1183" s="3" t="inlineStr">
        <is>
          <t>New</t>
        </is>
      </c>
      <c r="H1183" s="3" t="n">
        <v>4</v>
      </c>
      <c r="I1183" s="8" t="n">
        <v>375</v>
      </c>
      <c r="J1183" s="8" t="n">
        <v>222.56</v>
      </c>
      <c r="K1183" s="9" t="n">
        <v>0.15</v>
      </c>
      <c r="L1183" s="8" t="n">
        <v>29.94</v>
      </c>
      <c r="M1183" s="8">
        <f>H1183*I1183*(1-K1183)</f>
        <v/>
      </c>
      <c r="N1183" s="8">
        <f>H1183*J1183</f>
        <v/>
      </c>
      <c r="O1183" s="8">
        <f>M1183-N1183-L1183</f>
        <v/>
      </c>
      <c r="P1183" s="10">
        <f>IFERROR(O1183/M1183,0)</f>
        <v/>
      </c>
      <c r="Q1183" s="3">
        <f>IF(H1183&lt;=0,"Review: quantity &lt;= 0",IF(K1183&gt;0.3,"Review: discount &gt; 30%",IF(G1183="","Review: missing customer type","OK")))</f>
        <v/>
      </c>
    </row>
    <row r="1184">
      <c r="A1184" s="3" t="inlineStr">
        <is>
          <t>ORD-11183</t>
        </is>
      </c>
      <c r="B1184" s="7" t="n">
        <v>45830</v>
      </c>
      <c r="C1184" s="3" t="inlineStr">
        <is>
          <t>Footwear</t>
        </is>
      </c>
      <c r="D1184" s="3" t="inlineStr">
        <is>
          <t>Formal Shoes</t>
        </is>
      </c>
      <c r="E1184" s="3" t="inlineStr">
        <is>
          <t>Greater Accra</t>
        </is>
      </c>
      <c r="F1184" s="3" t="inlineStr">
        <is>
          <t>Retail Shop</t>
        </is>
      </c>
      <c r="G1184" s="3" t="inlineStr">
        <is>
          <t>Returning</t>
        </is>
      </c>
      <c r="H1184" s="3" t="n">
        <v>2</v>
      </c>
      <c r="I1184" s="8" t="n">
        <v>310</v>
      </c>
      <c r="J1184" s="8" t="n">
        <v>162.24</v>
      </c>
      <c r="K1184" s="9" t="n">
        <v>0</v>
      </c>
      <c r="L1184" s="8" t="n">
        <v>8.08</v>
      </c>
      <c r="M1184" s="8">
        <f>H1184*I1184*(1-K1184)</f>
        <v/>
      </c>
      <c r="N1184" s="8">
        <f>H1184*J1184</f>
        <v/>
      </c>
      <c r="O1184" s="8">
        <f>M1184-N1184-L1184</f>
        <v/>
      </c>
      <c r="P1184" s="10">
        <f>IFERROR(O1184/M1184,0)</f>
        <v/>
      </c>
      <c r="Q1184" s="3">
        <f>IF(H1184&lt;=0,"Review: quantity &lt;= 0",IF(K1184&gt;0.3,"Review: discount &gt; 30%",IF(G1184="","Review: missing customer type","OK")))</f>
        <v/>
      </c>
    </row>
    <row r="1185">
      <c r="A1185" s="3" t="inlineStr">
        <is>
          <t>ORD-11184</t>
        </is>
      </c>
      <c r="B1185" s="7" t="n">
        <v>45822</v>
      </c>
      <c r="C1185" s="3" t="inlineStr">
        <is>
          <t>Home &amp; Lifestyle</t>
        </is>
      </c>
      <c r="D1185" s="3" t="inlineStr">
        <is>
          <t>Travel Mugs</t>
        </is>
      </c>
      <c r="E1185" s="3" t="inlineStr">
        <is>
          <t>Western</t>
        </is>
      </c>
      <c r="F1185" s="3" t="inlineStr">
        <is>
          <t>Retail Shop</t>
        </is>
      </c>
      <c r="G1185" s="3" t="inlineStr">
        <is>
          <t>New</t>
        </is>
      </c>
      <c r="H1185" s="3" t="n">
        <v>3</v>
      </c>
      <c r="I1185" s="8" t="n">
        <v>180</v>
      </c>
      <c r="J1185" s="8" t="n">
        <v>88.78</v>
      </c>
      <c r="K1185" s="9" t="n">
        <v>0</v>
      </c>
      <c r="L1185" s="8" t="n">
        <v>3.62</v>
      </c>
      <c r="M1185" s="8">
        <f>H1185*I1185*(1-K1185)</f>
        <v/>
      </c>
      <c r="N1185" s="8">
        <f>H1185*J1185</f>
        <v/>
      </c>
      <c r="O1185" s="8">
        <f>M1185-N1185-L1185</f>
        <v/>
      </c>
      <c r="P1185" s="10">
        <f>IFERROR(O1185/M1185,0)</f>
        <v/>
      </c>
      <c r="Q1185" s="3">
        <f>IF(H1185&lt;=0,"Review: quantity &lt;= 0",IF(K1185&gt;0.3,"Review: discount &gt; 30%",IF(G1185="","Review: missing customer type","OK")))</f>
        <v/>
      </c>
    </row>
    <row r="1186">
      <c r="A1186" s="3" t="inlineStr">
        <is>
          <t>ORD-11185</t>
        </is>
      </c>
      <c r="B1186" s="7" t="n">
        <v>45906</v>
      </c>
      <c r="C1186" s="3" t="inlineStr">
        <is>
          <t>Footwear</t>
        </is>
      </c>
      <c r="D1186" s="3" t="inlineStr">
        <is>
          <t>Sneakers</t>
        </is>
      </c>
      <c r="E1186" s="3" t="inlineStr">
        <is>
          <t>Western</t>
        </is>
      </c>
      <c r="F1186" s="3" t="inlineStr">
        <is>
          <t>Online</t>
        </is>
      </c>
      <c r="G1186" s="3" t="inlineStr">
        <is>
          <t>Returning</t>
        </is>
      </c>
      <c r="H1186" s="3" t="n">
        <v>8</v>
      </c>
      <c r="I1186" s="8" t="n">
        <v>435</v>
      </c>
      <c r="J1186" s="8" t="n">
        <v>239.9</v>
      </c>
      <c r="K1186" s="9" t="n">
        <v>0.15</v>
      </c>
      <c r="L1186" s="8" t="n">
        <v>19.59</v>
      </c>
      <c r="M1186" s="8">
        <f>H1186*I1186*(1-K1186)</f>
        <v/>
      </c>
      <c r="N1186" s="8">
        <f>H1186*J1186</f>
        <v/>
      </c>
      <c r="O1186" s="8">
        <f>M1186-N1186-L1186</f>
        <v/>
      </c>
      <c r="P1186" s="10">
        <f>IFERROR(O1186/M1186,0)</f>
        <v/>
      </c>
      <c r="Q1186" s="3">
        <f>IF(H1186&lt;=0,"Review: quantity &lt;= 0",IF(K1186&gt;0.3,"Review: discount &gt; 30%",IF(G1186="","Review: missing customer type","OK")))</f>
        <v/>
      </c>
    </row>
    <row r="1187">
      <c r="A1187" s="3" t="inlineStr">
        <is>
          <t>ORD-11186</t>
        </is>
      </c>
      <c r="B1187" s="7" t="n">
        <v>45729</v>
      </c>
      <c r="C1187" s="3" t="inlineStr">
        <is>
          <t>Clothing</t>
        </is>
      </c>
      <c r="D1187" s="3" t="inlineStr">
        <is>
          <t>Dresses</t>
        </is>
      </c>
      <c r="E1187" s="3" t="inlineStr">
        <is>
          <t>Northern</t>
        </is>
      </c>
      <c r="F1187" s="3" t="inlineStr">
        <is>
          <t>Retail Shop</t>
        </is>
      </c>
      <c r="G1187" s="3" t="inlineStr">
        <is>
          <t>New</t>
        </is>
      </c>
      <c r="H1187" s="3" t="n">
        <v>5</v>
      </c>
      <c r="I1187" s="8" t="n">
        <v>205</v>
      </c>
      <c r="J1187" s="8" t="n">
        <v>103.16</v>
      </c>
      <c r="K1187" s="9" t="n">
        <v>0</v>
      </c>
      <c r="L1187" s="8" t="n">
        <v>6.47</v>
      </c>
      <c r="M1187" s="8">
        <f>H1187*I1187*(1-K1187)</f>
        <v/>
      </c>
      <c r="N1187" s="8">
        <f>H1187*J1187</f>
        <v/>
      </c>
      <c r="O1187" s="8">
        <f>M1187-N1187-L1187</f>
        <v/>
      </c>
      <c r="P1187" s="10">
        <f>IFERROR(O1187/M1187,0)</f>
        <v/>
      </c>
      <c r="Q1187" s="3">
        <f>IF(H1187&lt;=0,"Review: quantity &lt;= 0",IF(K1187&gt;0.3,"Review: discount &gt; 30%",IF(G1187="","Review: missing customer type","OK")))</f>
        <v/>
      </c>
    </row>
    <row r="1188">
      <c r="A1188" s="3" t="inlineStr">
        <is>
          <t>ORD-11187</t>
        </is>
      </c>
      <c r="B1188" s="7" t="n">
        <v>45923</v>
      </c>
      <c r="C1188" s="3" t="inlineStr">
        <is>
          <t>Accessories</t>
        </is>
      </c>
      <c r="D1188" s="3" t="inlineStr">
        <is>
          <t>Watches</t>
        </is>
      </c>
      <c r="E1188" s="3" t="inlineStr">
        <is>
          <t>Central</t>
        </is>
      </c>
      <c r="F1188" s="3" t="inlineStr">
        <is>
          <t>Online</t>
        </is>
      </c>
      <c r="G1188" s="3" t="inlineStr">
        <is>
          <t>Returning</t>
        </is>
      </c>
      <c r="H1188" s="3" t="n">
        <v>2</v>
      </c>
      <c r="I1188" s="8" t="n">
        <v>85</v>
      </c>
      <c r="J1188" s="8" t="n">
        <v>44.07</v>
      </c>
      <c r="K1188" s="9" t="n">
        <v>0.05</v>
      </c>
      <c r="L1188" s="8" t="n">
        <v>31.3</v>
      </c>
      <c r="M1188" s="8">
        <f>H1188*I1188*(1-K1188)</f>
        <v/>
      </c>
      <c r="N1188" s="8">
        <f>H1188*J1188</f>
        <v/>
      </c>
      <c r="O1188" s="8">
        <f>M1188-N1188-L1188</f>
        <v/>
      </c>
      <c r="P1188" s="10">
        <f>IFERROR(O1188/M1188,0)</f>
        <v/>
      </c>
      <c r="Q1188" s="3">
        <f>IF(H1188&lt;=0,"Review: quantity &lt;= 0",IF(K1188&gt;0.3,"Review: discount &gt; 30%",IF(G1188="","Review: missing customer type","OK")))</f>
        <v/>
      </c>
    </row>
    <row r="1189">
      <c r="A1189" s="3" t="inlineStr">
        <is>
          <t>ORD-11188</t>
        </is>
      </c>
      <c r="B1189" s="7" t="n">
        <v>45703</v>
      </c>
      <c r="C1189" s="3" t="inlineStr">
        <is>
          <t>Accessories</t>
        </is>
      </c>
      <c r="D1189" s="3" t="inlineStr">
        <is>
          <t>Bags</t>
        </is>
      </c>
      <c r="E1189" s="3" t="inlineStr">
        <is>
          <t>Ashanti</t>
        </is>
      </c>
      <c r="F1189" s="3" t="inlineStr">
        <is>
          <t>Phone/WhatsApp</t>
        </is>
      </c>
      <c r="G1189" s="3" t="inlineStr">
        <is>
          <t>Returning</t>
        </is>
      </c>
      <c r="H1189" s="3" t="n">
        <v>2</v>
      </c>
      <c r="I1189" s="8" t="n">
        <v>125</v>
      </c>
      <c r="J1189" s="8" t="n">
        <v>55.67</v>
      </c>
      <c r="K1189" s="9" t="n">
        <v>0.15</v>
      </c>
      <c r="L1189" s="8" t="n">
        <v>26.66</v>
      </c>
      <c r="M1189" s="8">
        <f>H1189*I1189*(1-K1189)</f>
        <v/>
      </c>
      <c r="N1189" s="8">
        <f>H1189*J1189</f>
        <v/>
      </c>
      <c r="O1189" s="8">
        <f>M1189-N1189-L1189</f>
        <v/>
      </c>
      <c r="P1189" s="10">
        <f>IFERROR(O1189/M1189,0)</f>
        <v/>
      </c>
      <c r="Q1189" s="3">
        <f>IF(H1189&lt;=0,"Review: quantity &lt;= 0",IF(K1189&gt;0.3,"Review: discount &gt; 30%",IF(G1189="","Review: missing customer type","OK")))</f>
        <v/>
      </c>
    </row>
    <row r="1190">
      <c r="A1190" s="3" t="inlineStr">
        <is>
          <t>ORD-11189</t>
        </is>
      </c>
      <c r="B1190" s="7" t="n">
        <v>45682</v>
      </c>
      <c r="C1190" s="3" t="inlineStr">
        <is>
          <t>Footwear</t>
        </is>
      </c>
      <c r="D1190" s="3" t="inlineStr">
        <is>
          <t>Formal Shoes</t>
        </is>
      </c>
      <c r="E1190" s="3" t="inlineStr">
        <is>
          <t>Central</t>
        </is>
      </c>
      <c r="F1190" s="3" t="inlineStr">
        <is>
          <t>Retail Shop</t>
        </is>
      </c>
      <c r="G1190" s="3" t="inlineStr">
        <is>
          <t>Returning</t>
        </is>
      </c>
      <c r="H1190" s="3" t="n">
        <v>1</v>
      </c>
      <c r="I1190" s="8" t="n">
        <v>215</v>
      </c>
      <c r="J1190" s="8" t="n">
        <v>135.98</v>
      </c>
      <c r="K1190" s="9" t="n">
        <v>0</v>
      </c>
      <c r="L1190" s="8" t="n">
        <v>3.51</v>
      </c>
      <c r="M1190" s="8">
        <f>H1190*I1190*(1-K1190)</f>
        <v/>
      </c>
      <c r="N1190" s="8">
        <f>H1190*J1190</f>
        <v/>
      </c>
      <c r="O1190" s="8">
        <f>M1190-N1190-L1190</f>
        <v/>
      </c>
      <c r="P1190" s="10">
        <f>IFERROR(O1190/M1190,0)</f>
        <v/>
      </c>
      <c r="Q1190" s="3">
        <f>IF(H1190&lt;=0,"Review: quantity &lt;= 0",IF(K1190&gt;0.3,"Review: discount &gt; 30%",IF(G1190="","Review: missing customer type","OK")))</f>
        <v/>
      </c>
    </row>
    <row r="1191">
      <c r="A1191" s="3" t="inlineStr">
        <is>
          <t>ORD-11190</t>
        </is>
      </c>
      <c r="B1191" s="7" t="n">
        <v>45911</v>
      </c>
      <c r="C1191" s="3" t="inlineStr">
        <is>
          <t>Clothing</t>
        </is>
      </c>
      <c r="D1191" s="3" t="inlineStr">
        <is>
          <t>Shirts</t>
        </is>
      </c>
      <c r="E1191" s="3" t="inlineStr">
        <is>
          <t>Ashanti</t>
        </is>
      </c>
      <c r="F1191" s="3" t="inlineStr">
        <is>
          <t>Online</t>
        </is>
      </c>
      <c r="G1191" s="3" t="inlineStr">
        <is>
          <t>New</t>
        </is>
      </c>
      <c r="H1191" s="3" t="n">
        <v>2</v>
      </c>
      <c r="I1191" s="8" t="n">
        <v>60</v>
      </c>
      <c r="J1191" s="8" t="n">
        <v>33.78</v>
      </c>
      <c r="K1191" s="9" t="n">
        <v>0.15</v>
      </c>
      <c r="L1191" s="8" t="n">
        <v>20.38</v>
      </c>
      <c r="M1191" s="8">
        <f>H1191*I1191*(1-K1191)</f>
        <v/>
      </c>
      <c r="N1191" s="8">
        <f>H1191*J1191</f>
        <v/>
      </c>
      <c r="O1191" s="8">
        <f>M1191-N1191-L1191</f>
        <v/>
      </c>
      <c r="P1191" s="10">
        <f>IFERROR(O1191/M1191,0)</f>
        <v/>
      </c>
      <c r="Q1191" s="3">
        <f>IF(H1191&lt;=0,"Review: quantity &lt;= 0",IF(K1191&gt;0.3,"Review: discount &gt; 30%",IF(G1191="","Review: missing customer type","OK")))</f>
        <v/>
      </c>
    </row>
    <row r="1192">
      <c r="A1192" s="3" t="inlineStr">
        <is>
          <t>ORD-11191</t>
        </is>
      </c>
      <c r="B1192" s="7" t="n">
        <v>45795</v>
      </c>
      <c r="C1192" s="3" t="inlineStr">
        <is>
          <t>Footwear</t>
        </is>
      </c>
      <c r="D1192" s="3" t="inlineStr">
        <is>
          <t>Formal Shoes</t>
        </is>
      </c>
      <c r="E1192" s="3" t="inlineStr">
        <is>
          <t>Greater Accra</t>
        </is>
      </c>
      <c r="F1192" s="3" t="inlineStr">
        <is>
          <t>Retail Shop</t>
        </is>
      </c>
      <c r="G1192" s="3" t="inlineStr">
        <is>
          <t>Returning</t>
        </is>
      </c>
      <c r="H1192" s="3" t="n">
        <v>1</v>
      </c>
      <c r="I1192" s="8" t="n">
        <v>180</v>
      </c>
      <c r="J1192" s="8" t="n">
        <v>93.40000000000001</v>
      </c>
      <c r="K1192" s="9" t="n">
        <v>0</v>
      </c>
      <c r="L1192" s="8" t="n">
        <v>3.58</v>
      </c>
      <c r="M1192" s="8">
        <f>H1192*I1192*(1-K1192)</f>
        <v/>
      </c>
      <c r="N1192" s="8">
        <f>H1192*J1192</f>
        <v/>
      </c>
      <c r="O1192" s="8">
        <f>M1192-N1192-L1192</f>
        <v/>
      </c>
      <c r="P1192" s="10">
        <f>IFERROR(O1192/M1192,0)</f>
        <v/>
      </c>
      <c r="Q1192" s="3">
        <f>IF(H1192&lt;=0,"Review: quantity &lt;= 0",IF(K1192&gt;0.3,"Review: discount &gt; 30%",IF(G1192="","Review: missing customer type","OK")))</f>
        <v/>
      </c>
    </row>
    <row r="1193">
      <c r="A1193" s="3" t="inlineStr">
        <is>
          <t>ORD-11192</t>
        </is>
      </c>
      <c r="B1193" s="7" t="n">
        <v>45937</v>
      </c>
      <c r="C1193" s="3" t="inlineStr">
        <is>
          <t>Footwear</t>
        </is>
      </c>
      <c r="D1193" s="3" t="inlineStr">
        <is>
          <t>Sandals</t>
        </is>
      </c>
      <c r="E1193" s="3" t="inlineStr">
        <is>
          <t>Greater Accra</t>
        </is>
      </c>
      <c r="F1193" s="3" t="inlineStr">
        <is>
          <t>Phone/WhatsApp</t>
        </is>
      </c>
      <c r="G1193" s="3" t="inlineStr">
        <is>
          <t>New</t>
        </is>
      </c>
      <c r="H1193" s="3" t="n">
        <v>4</v>
      </c>
      <c r="I1193" s="8" t="n">
        <v>315</v>
      </c>
      <c r="J1193" s="8" t="n">
        <v>168.13</v>
      </c>
      <c r="K1193" s="9" t="n">
        <v>0</v>
      </c>
      <c r="L1193" s="8" t="n">
        <v>8.949999999999999</v>
      </c>
      <c r="M1193" s="8">
        <f>H1193*I1193*(1-K1193)</f>
        <v/>
      </c>
      <c r="N1193" s="8">
        <f>H1193*J1193</f>
        <v/>
      </c>
      <c r="O1193" s="8">
        <f>M1193-N1193-L1193</f>
        <v/>
      </c>
      <c r="P1193" s="10">
        <f>IFERROR(O1193/M1193,0)</f>
        <v/>
      </c>
      <c r="Q1193" s="3">
        <f>IF(H1193&lt;=0,"Review: quantity &lt;= 0",IF(K1193&gt;0.3,"Review: discount &gt; 30%",IF(G1193="","Review: missing customer type","OK")))</f>
        <v/>
      </c>
    </row>
    <row r="1194">
      <c r="A1194" s="3" t="inlineStr">
        <is>
          <t>ORD-11193</t>
        </is>
      </c>
      <c r="B1194" s="7" t="n">
        <v>45748</v>
      </c>
      <c r="C1194" s="3" t="inlineStr">
        <is>
          <t>Footwear</t>
        </is>
      </c>
      <c r="D1194" s="3" t="inlineStr">
        <is>
          <t>Formal Shoes</t>
        </is>
      </c>
      <c r="E1194" s="3" t="inlineStr">
        <is>
          <t>Greater Accra</t>
        </is>
      </c>
      <c r="F1194" s="3" t="inlineStr">
        <is>
          <t>Retail Shop</t>
        </is>
      </c>
      <c r="G1194" s="3" t="inlineStr">
        <is>
          <t>Returning</t>
        </is>
      </c>
      <c r="H1194" s="3" t="n">
        <v>2</v>
      </c>
      <c r="I1194" s="8" t="n">
        <v>245</v>
      </c>
      <c r="J1194" s="8" t="n">
        <v>129.74</v>
      </c>
      <c r="K1194" s="9" t="n">
        <v>0.1</v>
      </c>
      <c r="L1194" s="8" t="n">
        <v>11.25</v>
      </c>
      <c r="M1194" s="8">
        <f>H1194*I1194*(1-K1194)</f>
        <v/>
      </c>
      <c r="N1194" s="8">
        <f>H1194*J1194</f>
        <v/>
      </c>
      <c r="O1194" s="8">
        <f>M1194-N1194-L1194</f>
        <v/>
      </c>
      <c r="P1194" s="10">
        <f>IFERROR(O1194/M1194,0)</f>
        <v/>
      </c>
      <c r="Q1194" s="3">
        <f>IF(H1194&lt;=0,"Review: quantity &lt;= 0",IF(K1194&gt;0.3,"Review: discount &gt; 30%",IF(G1194="","Review: missing customer type","OK")))</f>
        <v/>
      </c>
    </row>
    <row r="1195">
      <c r="A1195" s="3" t="inlineStr">
        <is>
          <t>ORD-11194</t>
        </is>
      </c>
      <c r="B1195" s="7" t="n">
        <v>45735</v>
      </c>
      <c r="C1195" s="3" t="inlineStr">
        <is>
          <t>Clothing</t>
        </is>
      </c>
      <c r="D1195" s="3" t="inlineStr">
        <is>
          <t>Shirts</t>
        </is>
      </c>
      <c r="E1195" s="3" t="inlineStr">
        <is>
          <t>Ashanti</t>
        </is>
      </c>
      <c r="F1195" s="3" t="inlineStr">
        <is>
          <t>Phone/WhatsApp</t>
        </is>
      </c>
      <c r="G1195" s="3" t="inlineStr">
        <is>
          <t>Returning</t>
        </is>
      </c>
      <c r="H1195" s="3" t="n">
        <v>1</v>
      </c>
      <c r="I1195" s="8" t="n">
        <v>120</v>
      </c>
      <c r="J1195" s="8" t="n">
        <v>68.59999999999999</v>
      </c>
      <c r="K1195" s="9" t="n">
        <v>0.1</v>
      </c>
      <c r="L1195" s="8" t="n">
        <v>37.53</v>
      </c>
      <c r="M1195" s="8">
        <f>H1195*I1195*(1-K1195)</f>
        <v/>
      </c>
      <c r="N1195" s="8">
        <f>H1195*J1195</f>
        <v/>
      </c>
      <c r="O1195" s="8">
        <f>M1195-N1195-L1195</f>
        <v/>
      </c>
      <c r="P1195" s="10">
        <f>IFERROR(O1195/M1195,0)</f>
        <v/>
      </c>
      <c r="Q1195" s="3">
        <f>IF(H1195&lt;=0,"Review: quantity &lt;= 0",IF(K1195&gt;0.3,"Review: discount &gt; 30%",IF(G1195="","Review: missing customer type","OK")))</f>
        <v/>
      </c>
    </row>
    <row r="1196">
      <c r="A1196" s="3" t="inlineStr">
        <is>
          <t>ORD-11195</t>
        </is>
      </c>
      <c r="B1196" s="7" t="n">
        <v>45917</v>
      </c>
      <c r="C1196" s="3" t="inlineStr">
        <is>
          <t>Clothing</t>
        </is>
      </c>
      <c r="D1196" s="3" t="inlineStr">
        <is>
          <t>Trousers</t>
        </is>
      </c>
      <c r="E1196" s="3" t="inlineStr">
        <is>
          <t>Ashanti</t>
        </is>
      </c>
      <c r="F1196" s="3" t="inlineStr">
        <is>
          <t>Online</t>
        </is>
      </c>
      <c r="G1196" s="3" t="inlineStr">
        <is>
          <t>Returning</t>
        </is>
      </c>
      <c r="H1196" s="3" t="n">
        <v>2</v>
      </c>
      <c r="I1196" s="8" t="n">
        <v>240</v>
      </c>
      <c r="J1196" s="8" t="n">
        <v>138.82</v>
      </c>
      <c r="K1196" s="9" t="n">
        <v>0.1</v>
      </c>
      <c r="L1196" s="8" t="n">
        <v>13.36</v>
      </c>
      <c r="M1196" s="8">
        <f>H1196*I1196*(1-K1196)</f>
        <v/>
      </c>
      <c r="N1196" s="8">
        <f>H1196*J1196</f>
        <v/>
      </c>
      <c r="O1196" s="8">
        <f>M1196-N1196-L1196</f>
        <v/>
      </c>
      <c r="P1196" s="10">
        <f>IFERROR(O1196/M1196,0)</f>
        <v/>
      </c>
      <c r="Q1196" s="3">
        <f>IF(H1196&lt;=0,"Review: quantity &lt;= 0",IF(K1196&gt;0.3,"Review: discount &gt; 30%",IF(G1196="","Review: missing customer type","OK")))</f>
        <v/>
      </c>
    </row>
    <row r="1197">
      <c r="A1197" s="3" t="inlineStr">
        <is>
          <t>ORD-11196</t>
        </is>
      </c>
      <c r="B1197" s="7" t="n">
        <v>45894</v>
      </c>
      <c r="C1197" s="3" t="inlineStr">
        <is>
          <t>Footwear</t>
        </is>
      </c>
      <c r="D1197" s="3" t="inlineStr">
        <is>
          <t>Sneakers</t>
        </is>
      </c>
      <c r="E1197" s="3" t="inlineStr">
        <is>
          <t>Western</t>
        </is>
      </c>
      <c r="F1197" s="3" t="inlineStr">
        <is>
          <t>Phone/WhatsApp</t>
        </is>
      </c>
      <c r="G1197" s="3" t="inlineStr">
        <is>
          <t>Returning</t>
        </is>
      </c>
      <c r="H1197" s="3" t="n">
        <v>1</v>
      </c>
      <c r="I1197" s="8" t="n">
        <v>245</v>
      </c>
      <c r="J1197" s="8" t="n">
        <v>132.28</v>
      </c>
      <c r="K1197" s="9" t="n">
        <v>0.05</v>
      </c>
      <c r="L1197" s="8" t="n">
        <v>39.77</v>
      </c>
      <c r="M1197" s="8">
        <f>H1197*I1197*(1-K1197)</f>
        <v/>
      </c>
      <c r="N1197" s="8">
        <f>H1197*J1197</f>
        <v/>
      </c>
      <c r="O1197" s="8">
        <f>M1197-N1197-L1197</f>
        <v/>
      </c>
      <c r="P1197" s="10">
        <f>IFERROR(O1197/M1197,0)</f>
        <v/>
      </c>
      <c r="Q1197" s="3">
        <f>IF(H1197&lt;=0,"Review: quantity &lt;= 0",IF(K1197&gt;0.3,"Review: discount &gt; 30%",IF(G1197="","Review: missing customer type","OK")))</f>
        <v/>
      </c>
    </row>
    <row r="1198">
      <c r="A1198" s="3" t="inlineStr">
        <is>
          <t>ORD-11197</t>
        </is>
      </c>
      <c r="B1198" s="7" t="n">
        <v>45796</v>
      </c>
      <c r="C1198" s="3" t="inlineStr">
        <is>
          <t>Home &amp; Lifestyle</t>
        </is>
      </c>
      <c r="D1198" s="3" t="inlineStr">
        <is>
          <t>Backpacks</t>
        </is>
      </c>
      <c r="E1198" s="3" t="inlineStr">
        <is>
          <t>Greater Accra</t>
        </is>
      </c>
      <c r="F1198" s="3" t="inlineStr">
        <is>
          <t>Online</t>
        </is>
      </c>
      <c r="G1198" s="3" t="inlineStr">
        <is>
          <t>Returning</t>
        </is>
      </c>
      <c r="H1198" s="3" t="n">
        <v>2</v>
      </c>
      <c r="I1198" s="8" t="n">
        <v>105</v>
      </c>
      <c r="J1198" s="8" t="n">
        <v>59.34</v>
      </c>
      <c r="K1198" s="9" t="n">
        <v>0.15</v>
      </c>
      <c r="L1198" s="8" t="n">
        <v>24.99</v>
      </c>
      <c r="M1198" s="8">
        <f>H1198*I1198*(1-K1198)</f>
        <v/>
      </c>
      <c r="N1198" s="8">
        <f>H1198*J1198</f>
        <v/>
      </c>
      <c r="O1198" s="8">
        <f>M1198-N1198-L1198</f>
        <v/>
      </c>
      <c r="P1198" s="10">
        <f>IFERROR(O1198/M1198,0)</f>
        <v/>
      </c>
      <c r="Q1198" s="3">
        <f>IF(H1198&lt;=0,"Review: quantity &lt;= 0",IF(K1198&gt;0.3,"Review: discount &gt; 30%",IF(G1198="","Review: missing customer type","OK")))</f>
        <v/>
      </c>
    </row>
    <row r="1199">
      <c r="A1199" s="3" t="inlineStr">
        <is>
          <t>ORD-11198</t>
        </is>
      </c>
      <c r="B1199" s="7" t="n">
        <v>45779</v>
      </c>
      <c r="C1199" s="3" t="inlineStr">
        <is>
          <t>Clothing</t>
        </is>
      </c>
      <c r="D1199" s="3" t="inlineStr">
        <is>
          <t>Shirts</t>
        </is>
      </c>
      <c r="E1199" s="3" t="inlineStr">
        <is>
          <t>Ashanti</t>
        </is>
      </c>
      <c r="F1199" s="3" t="inlineStr">
        <is>
          <t>Retail Shop</t>
        </is>
      </c>
      <c r="G1199" s="3" t="inlineStr">
        <is>
          <t>Returning</t>
        </is>
      </c>
      <c r="H1199" s="3" t="n">
        <v>4</v>
      </c>
      <c r="I1199" s="8" t="n">
        <v>170</v>
      </c>
      <c r="J1199" s="8" t="n">
        <v>85.20999999999999</v>
      </c>
      <c r="K1199" s="9" t="n">
        <v>0</v>
      </c>
      <c r="L1199" s="8" t="n">
        <v>3.51</v>
      </c>
      <c r="M1199" s="8">
        <f>H1199*I1199*(1-K1199)</f>
        <v/>
      </c>
      <c r="N1199" s="8">
        <f>H1199*J1199</f>
        <v/>
      </c>
      <c r="O1199" s="8">
        <f>M1199-N1199-L1199</f>
        <v/>
      </c>
      <c r="P1199" s="10">
        <f>IFERROR(O1199/M1199,0)</f>
        <v/>
      </c>
      <c r="Q1199" s="3">
        <f>IF(H1199&lt;=0,"Review: quantity &lt;= 0",IF(K1199&gt;0.3,"Review: discount &gt; 30%",IF(G1199="","Review: missing customer type","OK")))</f>
        <v/>
      </c>
    </row>
    <row r="1200">
      <c r="A1200" s="3" t="inlineStr">
        <is>
          <t>ORD-11199</t>
        </is>
      </c>
      <c r="B1200" s="7" t="n">
        <v>45892</v>
      </c>
      <c r="C1200" s="3" t="inlineStr">
        <is>
          <t>Footwear</t>
        </is>
      </c>
      <c r="D1200" s="3" t="inlineStr">
        <is>
          <t>Boots</t>
        </is>
      </c>
      <c r="E1200" s="3" t="inlineStr">
        <is>
          <t>Ashanti</t>
        </is>
      </c>
      <c r="F1200" s="3" t="inlineStr">
        <is>
          <t>Online</t>
        </is>
      </c>
      <c r="G1200" s="3" t="inlineStr">
        <is>
          <t>Returning</t>
        </is>
      </c>
      <c r="H1200" s="3" t="n">
        <v>5</v>
      </c>
      <c r="I1200" s="8" t="n">
        <v>300</v>
      </c>
      <c r="J1200" s="8" t="n">
        <v>166.28</v>
      </c>
      <c r="K1200" s="9" t="n">
        <v>0.2</v>
      </c>
      <c r="L1200" s="8" t="n">
        <v>11.88</v>
      </c>
      <c r="M1200" s="8">
        <f>H1200*I1200*(1-K1200)</f>
        <v/>
      </c>
      <c r="N1200" s="8">
        <f>H1200*J1200</f>
        <v/>
      </c>
      <c r="O1200" s="8">
        <f>M1200-N1200-L1200</f>
        <v/>
      </c>
      <c r="P1200" s="10">
        <f>IFERROR(O1200/M1200,0)</f>
        <v/>
      </c>
      <c r="Q1200" s="3">
        <f>IF(H1200&lt;=0,"Review: quantity &lt;= 0",IF(K1200&gt;0.3,"Review: discount &gt; 30%",IF(G1200="","Review: missing customer type","OK")))</f>
        <v/>
      </c>
    </row>
    <row r="1201">
      <c r="A1201" s="3" t="inlineStr">
        <is>
          <t>ORD-11200</t>
        </is>
      </c>
      <c r="B1201" s="7" t="n">
        <v>45673</v>
      </c>
      <c r="C1201" s="3" t="inlineStr">
        <is>
          <t>Footwear</t>
        </is>
      </c>
      <c r="D1201" s="3" t="inlineStr">
        <is>
          <t>Boots</t>
        </is>
      </c>
      <c r="E1201" s="3" t="inlineStr">
        <is>
          <t>Ashanti</t>
        </is>
      </c>
      <c r="F1201" s="3" t="inlineStr">
        <is>
          <t>Online</t>
        </is>
      </c>
      <c r="G1201" s="3" t="inlineStr">
        <is>
          <t>Returning</t>
        </is>
      </c>
      <c r="H1201" s="3" t="n">
        <v>1</v>
      </c>
      <c r="I1201" s="8" t="n">
        <v>260</v>
      </c>
      <c r="J1201" s="8" t="n">
        <v>142.69</v>
      </c>
      <c r="K1201" s="9" t="n">
        <v>0</v>
      </c>
      <c r="L1201" s="8" t="n">
        <v>28.81</v>
      </c>
      <c r="M1201" s="8">
        <f>H1201*I1201*(1-K1201)</f>
        <v/>
      </c>
      <c r="N1201" s="8">
        <f>H1201*J1201</f>
        <v/>
      </c>
      <c r="O1201" s="8">
        <f>M1201-N1201-L1201</f>
        <v/>
      </c>
      <c r="P1201" s="10">
        <f>IFERROR(O1201/M1201,0)</f>
        <v/>
      </c>
      <c r="Q1201" s="3">
        <f>IF(H1201&lt;=0,"Review: quantity &lt;= 0",IF(K1201&gt;0.3,"Review: discount &gt; 30%",IF(G1201="","Review: missing customer type","OK")))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30" customWidth="1" min="3" max="3"/>
    <col width="17" customWidth="1" min="4" max="4"/>
    <col width="21" customWidth="1" min="5" max="5"/>
  </cols>
  <sheetData>
    <row r="1" ht="28" customHeight="1">
      <c r="A1" s="1" t="inlineStr">
        <is>
          <t>Month</t>
        </is>
      </c>
      <c r="B1" s="1" t="inlineStr">
        <is>
          <t>Net Sales (GHS)</t>
        </is>
      </c>
      <c r="C1" s="1" t="inlineStr">
        <is>
          <t>Estimated Contribution (GHS)</t>
        </is>
      </c>
      <c r="D1" s="1" t="inlineStr">
        <is>
          <t>Orders</t>
        </is>
      </c>
      <c r="E1" s="1" t="inlineStr">
        <is>
          <t>Contribution Margin</t>
        </is>
      </c>
    </row>
    <row r="2">
      <c r="A2" s="11" t="n">
        <v>45658</v>
      </c>
      <c r="B2" s="8">
        <f>SUMIFS('Clean Data'!$M:$M,'Clean Data'!$B:$B,"&gt;="&amp;A2,'Clean Data'!$B:$B,"&lt;"&amp;EDATE(A2,1))</f>
        <v/>
      </c>
      <c r="C2" s="8">
        <f>SUMIFS('Clean Data'!$O:$O,'Clean Data'!$B:$B,"&gt;="&amp;A2,'Clean Data'!$B:$B,"&lt;"&amp;EDATE(A2,1))</f>
        <v/>
      </c>
      <c r="D2" s="3">
        <f>COUNTIFS('Clean Data'!$B:$B,"&gt;="&amp;A2,'Clean Data'!$B:$B,"&lt;"&amp;EDATE(A2,1))</f>
        <v/>
      </c>
      <c r="E2" s="10">
        <f>IFERROR(C2/B2,0)</f>
        <v/>
      </c>
    </row>
    <row r="3">
      <c r="A3" s="11" t="n">
        <v>45689</v>
      </c>
      <c r="B3" s="8">
        <f>SUMIFS('Clean Data'!$M:$M,'Clean Data'!$B:$B,"&gt;="&amp;A3,'Clean Data'!$B:$B,"&lt;"&amp;EDATE(A3,1))</f>
        <v/>
      </c>
      <c r="C3" s="8">
        <f>SUMIFS('Clean Data'!$O:$O,'Clean Data'!$B:$B,"&gt;="&amp;A3,'Clean Data'!$B:$B,"&lt;"&amp;EDATE(A3,1))</f>
        <v/>
      </c>
      <c r="D3" s="3">
        <f>COUNTIFS('Clean Data'!$B:$B,"&gt;="&amp;A3,'Clean Data'!$B:$B,"&lt;"&amp;EDATE(A3,1))</f>
        <v/>
      </c>
      <c r="E3" s="10">
        <f>IFERROR(C3/B3,0)</f>
        <v/>
      </c>
    </row>
    <row r="4">
      <c r="A4" s="11" t="n">
        <v>45717</v>
      </c>
      <c r="B4" s="8">
        <f>SUMIFS('Clean Data'!$M:$M,'Clean Data'!$B:$B,"&gt;="&amp;A4,'Clean Data'!$B:$B,"&lt;"&amp;EDATE(A4,1))</f>
        <v/>
      </c>
      <c r="C4" s="8">
        <f>SUMIFS('Clean Data'!$O:$O,'Clean Data'!$B:$B,"&gt;="&amp;A4,'Clean Data'!$B:$B,"&lt;"&amp;EDATE(A4,1))</f>
        <v/>
      </c>
      <c r="D4" s="3">
        <f>COUNTIFS('Clean Data'!$B:$B,"&gt;="&amp;A4,'Clean Data'!$B:$B,"&lt;"&amp;EDATE(A4,1))</f>
        <v/>
      </c>
      <c r="E4" s="10">
        <f>IFERROR(C4/B4,0)</f>
        <v/>
      </c>
    </row>
    <row r="5">
      <c r="A5" s="11" t="n">
        <v>45748</v>
      </c>
      <c r="B5" s="8">
        <f>SUMIFS('Clean Data'!$M:$M,'Clean Data'!$B:$B,"&gt;="&amp;A5,'Clean Data'!$B:$B,"&lt;"&amp;EDATE(A5,1))</f>
        <v/>
      </c>
      <c r="C5" s="8">
        <f>SUMIFS('Clean Data'!$O:$O,'Clean Data'!$B:$B,"&gt;="&amp;A5,'Clean Data'!$B:$B,"&lt;"&amp;EDATE(A5,1))</f>
        <v/>
      </c>
      <c r="D5" s="3">
        <f>COUNTIFS('Clean Data'!$B:$B,"&gt;="&amp;A5,'Clean Data'!$B:$B,"&lt;"&amp;EDATE(A5,1))</f>
        <v/>
      </c>
      <c r="E5" s="10">
        <f>IFERROR(C5/B5,0)</f>
        <v/>
      </c>
    </row>
    <row r="6">
      <c r="A6" s="11" t="n">
        <v>45778</v>
      </c>
      <c r="B6" s="8">
        <f>SUMIFS('Clean Data'!$M:$M,'Clean Data'!$B:$B,"&gt;="&amp;A6,'Clean Data'!$B:$B,"&lt;"&amp;EDATE(A6,1))</f>
        <v/>
      </c>
      <c r="C6" s="8">
        <f>SUMIFS('Clean Data'!$O:$O,'Clean Data'!$B:$B,"&gt;="&amp;A6,'Clean Data'!$B:$B,"&lt;"&amp;EDATE(A6,1))</f>
        <v/>
      </c>
      <c r="D6" s="3">
        <f>COUNTIFS('Clean Data'!$B:$B,"&gt;="&amp;A6,'Clean Data'!$B:$B,"&lt;"&amp;EDATE(A6,1))</f>
        <v/>
      </c>
      <c r="E6" s="10">
        <f>IFERROR(C6/B6,0)</f>
        <v/>
      </c>
    </row>
    <row r="7">
      <c r="A7" s="11" t="n">
        <v>45809</v>
      </c>
      <c r="B7" s="8">
        <f>SUMIFS('Clean Data'!$M:$M,'Clean Data'!$B:$B,"&gt;="&amp;A7,'Clean Data'!$B:$B,"&lt;"&amp;EDATE(A7,1))</f>
        <v/>
      </c>
      <c r="C7" s="8">
        <f>SUMIFS('Clean Data'!$O:$O,'Clean Data'!$B:$B,"&gt;="&amp;A7,'Clean Data'!$B:$B,"&lt;"&amp;EDATE(A7,1))</f>
        <v/>
      </c>
      <c r="D7" s="3">
        <f>COUNTIFS('Clean Data'!$B:$B,"&gt;="&amp;A7,'Clean Data'!$B:$B,"&lt;"&amp;EDATE(A7,1))</f>
        <v/>
      </c>
      <c r="E7" s="10">
        <f>IFERROR(C7/B7,0)</f>
        <v/>
      </c>
    </row>
    <row r="8">
      <c r="A8" s="11" t="n">
        <v>45839</v>
      </c>
      <c r="B8" s="8">
        <f>SUMIFS('Clean Data'!$M:$M,'Clean Data'!$B:$B,"&gt;="&amp;A8,'Clean Data'!$B:$B,"&lt;"&amp;EDATE(A8,1))</f>
        <v/>
      </c>
      <c r="C8" s="8">
        <f>SUMIFS('Clean Data'!$O:$O,'Clean Data'!$B:$B,"&gt;="&amp;A8,'Clean Data'!$B:$B,"&lt;"&amp;EDATE(A8,1))</f>
        <v/>
      </c>
      <c r="D8" s="3">
        <f>COUNTIFS('Clean Data'!$B:$B,"&gt;="&amp;A8,'Clean Data'!$B:$B,"&lt;"&amp;EDATE(A8,1))</f>
        <v/>
      </c>
      <c r="E8" s="10">
        <f>IFERROR(C8/B8,0)</f>
        <v/>
      </c>
    </row>
    <row r="9">
      <c r="A9" s="11" t="n">
        <v>45870</v>
      </c>
      <c r="B9" s="8">
        <f>SUMIFS('Clean Data'!$M:$M,'Clean Data'!$B:$B,"&gt;="&amp;A9,'Clean Data'!$B:$B,"&lt;"&amp;EDATE(A9,1))</f>
        <v/>
      </c>
      <c r="C9" s="8">
        <f>SUMIFS('Clean Data'!$O:$O,'Clean Data'!$B:$B,"&gt;="&amp;A9,'Clean Data'!$B:$B,"&lt;"&amp;EDATE(A9,1))</f>
        <v/>
      </c>
      <c r="D9" s="3">
        <f>COUNTIFS('Clean Data'!$B:$B,"&gt;="&amp;A9,'Clean Data'!$B:$B,"&lt;"&amp;EDATE(A9,1))</f>
        <v/>
      </c>
      <c r="E9" s="10">
        <f>IFERROR(C9/B9,0)</f>
        <v/>
      </c>
    </row>
    <row r="10">
      <c r="A10" s="11" t="n">
        <v>45901</v>
      </c>
      <c r="B10" s="8">
        <f>SUMIFS('Clean Data'!$M:$M,'Clean Data'!$B:$B,"&gt;="&amp;A10,'Clean Data'!$B:$B,"&lt;"&amp;EDATE(A10,1))</f>
        <v/>
      </c>
      <c r="C10" s="8">
        <f>SUMIFS('Clean Data'!$O:$O,'Clean Data'!$B:$B,"&gt;="&amp;A10,'Clean Data'!$B:$B,"&lt;"&amp;EDATE(A10,1))</f>
        <v/>
      </c>
      <c r="D10" s="3">
        <f>COUNTIFS('Clean Data'!$B:$B,"&gt;="&amp;A10,'Clean Data'!$B:$B,"&lt;"&amp;EDATE(A10,1))</f>
        <v/>
      </c>
      <c r="E10" s="10">
        <f>IFERROR(C10/B10,0)</f>
        <v/>
      </c>
    </row>
    <row r="11">
      <c r="A11" s="11" t="n">
        <v>45931</v>
      </c>
      <c r="B11" s="8">
        <f>SUMIFS('Clean Data'!$M:$M,'Clean Data'!$B:$B,"&gt;="&amp;A11,'Clean Data'!$B:$B,"&lt;"&amp;EDATE(A11,1))</f>
        <v/>
      </c>
      <c r="C11" s="8">
        <f>SUMIFS('Clean Data'!$O:$O,'Clean Data'!$B:$B,"&gt;="&amp;A11,'Clean Data'!$B:$B,"&lt;"&amp;EDATE(A11,1))</f>
        <v/>
      </c>
      <c r="D11" s="3">
        <f>COUNTIFS('Clean Data'!$B:$B,"&gt;="&amp;A11,'Clean Data'!$B:$B,"&lt;"&amp;EDATE(A11,1))</f>
        <v/>
      </c>
      <c r="E11" s="10">
        <f>IFERROR(C11/B11,0)</f>
        <v/>
      </c>
    </row>
    <row r="12">
      <c r="A12" s="11" t="n">
        <v>45962</v>
      </c>
      <c r="B12" s="8">
        <f>SUMIFS('Clean Data'!$M:$M,'Clean Data'!$B:$B,"&gt;="&amp;A12,'Clean Data'!$B:$B,"&lt;"&amp;EDATE(A12,1))</f>
        <v/>
      </c>
      <c r="C12" s="8">
        <f>SUMIFS('Clean Data'!$O:$O,'Clean Data'!$B:$B,"&gt;="&amp;A12,'Clean Data'!$B:$B,"&lt;"&amp;EDATE(A12,1))</f>
        <v/>
      </c>
      <c r="D12" s="3">
        <f>COUNTIFS('Clean Data'!$B:$B,"&gt;="&amp;A12,'Clean Data'!$B:$B,"&lt;"&amp;EDATE(A12,1))</f>
        <v/>
      </c>
      <c r="E12" s="10">
        <f>IFERROR(C12/B12,0)</f>
        <v/>
      </c>
    </row>
    <row r="13">
      <c r="A13" s="11" t="n">
        <v>45992</v>
      </c>
      <c r="B13" s="8">
        <f>SUMIFS('Clean Data'!$M:$M,'Clean Data'!$B:$B,"&gt;="&amp;A13,'Clean Data'!$B:$B,"&lt;"&amp;EDATE(A13,1))</f>
        <v/>
      </c>
      <c r="C13" s="8">
        <f>SUMIFS('Clean Data'!$O:$O,'Clean Data'!$B:$B,"&gt;="&amp;A13,'Clean Data'!$B:$B,"&lt;"&amp;EDATE(A13,1))</f>
        <v/>
      </c>
      <c r="D13" s="3">
        <f>COUNTIFS('Clean Data'!$B:$B,"&gt;="&amp;A13,'Clean Data'!$B:$B,"&lt;"&amp;EDATE(A13,1))</f>
        <v/>
      </c>
      <c r="E13" s="10">
        <f>IFERROR(C13/B13,0)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30" customWidth="1" min="3" max="3"/>
    <col width="17" customWidth="1" min="4" max="4"/>
    <col width="21" customWidth="1" min="5" max="5"/>
  </cols>
  <sheetData>
    <row r="1" ht="28" customHeight="1">
      <c r="A1" s="1" t="inlineStr">
        <is>
          <t>Product Category</t>
        </is>
      </c>
      <c r="B1" s="1" t="inlineStr">
        <is>
          <t>Net Sales (GHS)</t>
        </is>
      </c>
      <c r="C1" s="1" t="inlineStr">
        <is>
          <t>Estimated Contribution (GHS)</t>
        </is>
      </c>
      <c r="D1" s="1" t="inlineStr">
        <is>
          <t>Units Sold</t>
        </is>
      </c>
      <c r="E1" s="1" t="inlineStr">
        <is>
          <t>Contribution Margin</t>
        </is>
      </c>
    </row>
    <row r="2">
      <c r="A2" s="3" t="inlineStr">
        <is>
          <t>Footwear</t>
        </is>
      </c>
      <c r="B2" s="8">
        <f>SUMIF('Clean Data'!$C:$C,A2,'Clean Data'!$M:$M)</f>
        <v/>
      </c>
      <c r="C2" s="8">
        <f>SUMIF('Clean Data'!$C:$C,A2,'Clean Data'!$O:$O)</f>
        <v/>
      </c>
      <c r="D2" s="3">
        <f>SUMIF('Clean Data'!$C:$C,A2,'Clean Data'!$H:$H)</f>
        <v/>
      </c>
      <c r="E2" s="10">
        <f>IFERROR(C2/B2,0)</f>
        <v/>
      </c>
    </row>
    <row r="3">
      <c r="A3" s="3" t="inlineStr">
        <is>
          <t>Clothing</t>
        </is>
      </c>
      <c r="B3" s="8">
        <f>SUMIF('Clean Data'!$C:$C,A3,'Clean Data'!$M:$M)</f>
        <v/>
      </c>
      <c r="C3" s="8">
        <f>SUMIF('Clean Data'!$C:$C,A3,'Clean Data'!$O:$O)</f>
        <v/>
      </c>
      <c r="D3" s="3">
        <f>SUMIF('Clean Data'!$C:$C,A3,'Clean Data'!$H:$H)</f>
        <v/>
      </c>
      <c r="E3" s="10">
        <f>IFERROR(C3/B3,0)</f>
        <v/>
      </c>
    </row>
    <row r="4">
      <c r="A4" s="3" t="inlineStr">
        <is>
          <t>Accessories</t>
        </is>
      </c>
      <c r="B4" s="8">
        <f>SUMIF('Clean Data'!$C:$C,A4,'Clean Data'!$M:$M)</f>
        <v/>
      </c>
      <c r="C4" s="8">
        <f>SUMIF('Clean Data'!$C:$C,A4,'Clean Data'!$O:$O)</f>
        <v/>
      </c>
      <c r="D4" s="3">
        <f>SUMIF('Clean Data'!$C:$C,A4,'Clean Data'!$H:$H)</f>
        <v/>
      </c>
      <c r="E4" s="10">
        <f>IFERROR(C4/B4,0)</f>
        <v/>
      </c>
    </row>
    <row r="5">
      <c r="A5" s="3" t="inlineStr">
        <is>
          <t>Home &amp; Lifestyle</t>
        </is>
      </c>
      <c r="B5" s="8">
        <f>SUMIF('Clean Data'!$C:$C,A5,'Clean Data'!$M:$M)</f>
        <v/>
      </c>
      <c r="C5" s="8">
        <f>SUMIF('Clean Data'!$C:$C,A5,'Clean Data'!$O:$O)</f>
        <v/>
      </c>
      <c r="D5" s="3">
        <f>SUMIF('Clean Data'!$C:$C,A5,'Clean Data'!$H:$H)</f>
        <v/>
      </c>
      <c r="E5" s="10">
        <f>IFERROR(C5/B5,0)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17" customWidth="1" min="4" max="4"/>
    <col width="21" customWidth="1" min="5" max="5"/>
  </cols>
  <sheetData>
    <row r="1" ht="28" customHeight="1">
      <c r="A1" s="1" t="inlineStr">
        <is>
          <t>Region</t>
        </is>
      </c>
      <c r="B1" s="1" t="inlineStr">
        <is>
          <t>Net Sales (GHS)</t>
        </is>
      </c>
      <c r="C1" s="1" t="inlineStr">
        <is>
          <t>Estimated Contribution (GHS)</t>
        </is>
      </c>
      <c r="D1" s="1" t="inlineStr">
        <is>
          <t>Orders</t>
        </is>
      </c>
      <c r="E1" s="1" t="inlineStr">
        <is>
          <t>Contribution Margin</t>
        </is>
      </c>
    </row>
    <row r="2">
      <c r="A2" s="3" t="inlineStr">
        <is>
          <t>Greater Accra</t>
        </is>
      </c>
      <c r="B2" s="8">
        <f>SUMIF('Clean Data'!$E:$E,A2,'Clean Data'!$M:$M)</f>
        <v/>
      </c>
      <c r="C2" s="8">
        <f>SUMIF('Clean Data'!$E:$E,A2,'Clean Data'!$O:$O)</f>
        <v/>
      </c>
      <c r="D2" s="3">
        <f>COUNTIF('Clean Data'!$E:$E,A2)</f>
        <v/>
      </c>
      <c r="E2" s="10">
        <f>IFERROR(C2/B2,0)</f>
        <v/>
      </c>
    </row>
    <row r="3">
      <c r="A3" s="3" t="inlineStr">
        <is>
          <t>Ashanti</t>
        </is>
      </c>
      <c r="B3" s="8">
        <f>SUMIF('Clean Data'!$E:$E,A3,'Clean Data'!$M:$M)</f>
        <v/>
      </c>
      <c r="C3" s="8">
        <f>SUMIF('Clean Data'!$E:$E,A3,'Clean Data'!$O:$O)</f>
        <v/>
      </c>
      <c r="D3" s="3">
        <f>COUNTIF('Clean Data'!$E:$E,A3)</f>
        <v/>
      </c>
      <c r="E3" s="10">
        <f>IFERROR(C3/B3,0)</f>
        <v/>
      </c>
    </row>
    <row r="4">
      <c r="A4" s="3" t="inlineStr">
        <is>
          <t>Western</t>
        </is>
      </c>
      <c r="B4" s="8">
        <f>SUMIF('Clean Data'!$E:$E,A4,'Clean Data'!$M:$M)</f>
        <v/>
      </c>
      <c r="C4" s="8">
        <f>SUMIF('Clean Data'!$E:$E,A4,'Clean Data'!$O:$O)</f>
        <v/>
      </c>
      <c r="D4" s="3">
        <f>COUNTIF('Clean Data'!$E:$E,A4)</f>
        <v/>
      </c>
      <c r="E4" s="10">
        <f>IFERROR(C4/B4,0)</f>
        <v/>
      </c>
    </row>
    <row r="5">
      <c r="A5" s="3" t="inlineStr">
        <is>
          <t>Central</t>
        </is>
      </c>
      <c r="B5" s="8">
        <f>SUMIF('Clean Data'!$E:$E,A5,'Clean Data'!$M:$M)</f>
        <v/>
      </c>
      <c r="C5" s="8">
        <f>SUMIF('Clean Data'!$E:$E,A5,'Clean Data'!$O:$O)</f>
        <v/>
      </c>
      <c r="D5" s="3">
        <f>COUNTIF('Clean Data'!$E:$E,A5)</f>
        <v/>
      </c>
      <c r="E5" s="10">
        <f>IFERROR(C5/B5,0)</f>
        <v/>
      </c>
    </row>
    <row r="6">
      <c r="A6" s="3" t="inlineStr">
        <is>
          <t>Northern</t>
        </is>
      </c>
      <c r="B6" s="8">
        <f>SUMIF('Clean Data'!$E:$E,A6,'Clean Data'!$M:$M)</f>
        <v/>
      </c>
      <c r="C6" s="8">
        <f>SUMIF('Clean Data'!$E:$E,A6,'Clean Data'!$O:$O)</f>
        <v/>
      </c>
      <c r="D6" s="3">
        <f>COUNTIF('Clean Data'!$E:$E,A6)</f>
        <v/>
      </c>
      <c r="E6" s="10">
        <f>IFERROR(C6/B6,0)</f>
        <v/>
      </c>
    </row>
    <row r="7">
      <c r="A7" s="3" t="inlineStr">
        <is>
          <t>Unknown</t>
        </is>
      </c>
      <c r="B7" s="8">
        <f>SUMIF('Clean Data'!$E:$E,A7,'Clean Data'!$M:$M)</f>
        <v/>
      </c>
      <c r="C7" s="8">
        <f>SUMIF('Clean Data'!$E:$E,A7,'Clean Data'!$O:$O)</f>
        <v/>
      </c>
      <c r="D7" s="3">
        <f>COUNTIF('Clean Data'!$E:$E,A7)</f>
        <v/>
      </c>
      <c r="E7" s="10">
        <f>IFERROR(C7/B7,0)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 ht="28" customHeight="1">
      <c r="A1" s="1" t="inlineStr">
        <is>
          <t>METHODOLOGY, KPI DEFINITIONS &amp; LIMITATIONS</t>
        </is>
      </c>
      <c r="B1" s="1" t="n"/>
      <c r="C1" s="1" t="n"/>
    </row>
    <row r="2">
      <c r="A2" s="3" t="inlineStr">
        <is>
          <t>Metric</t>
        </is>
      </c>
      <c r="B2" s="3" t="inlineStr">
        <is>
          <t>Definition / formula</t>
        </is>
      </c>
      <c r="C2" s="3" t="inlineStr">
        <is>
          <t>Interpretation</t>
        </is>
      </c>
    </row>
    <row r="3">
      <c r="A3" s="3" t="inlineStr">
        <is>
          <t>Net Sales</t>
        </is>
      </c>
      <c r="B3" s="3" t="inlineStr">
        <is>
          <t>Quantity × Unit Price × (1 − Discount Rate)</t>
        </is>
      </c>
      <c r="C3" s="3" t="inlineStr">
        <is>
          <t>Sales after recorded discounts; excludes returns and taxes unless represented in data.</t>
        </is>
      </c>
    </row>
    <row r="4">
      <c r="A4" s="3" t="inlineStr">
        <is>
          <t>Product Cost</t>
        </is>
      </c>
      <c r="B4" s="3" t="inlineStr">
        <is>
          <t>Quantity × Unit Cost</t>
        </is>
      </c>
      <c r="C4" s="3" t="inlineStr">
        <is>
          <t>Estimated cost of goods sold based on recorded unit cost.</t>
        </is>
      </c>
    </row>
    <row r="5">
      <c r="A5" s="3" t="inlineStr">
        <is>
          <t>Estimated Contribution</t>
        </is>
      </c>
      <c r="B5" s="3" t="inlineStr">
        <is>
          <t>Net Sales − Product Cost − Delivery Cost</t>
        </is>
      </c>
      <c r="C5" s="3" t="inlineStr">
        <is>
          <t>Contribution after product and delivery costs only; not full accounting profit.</t>
        </is>
      </c>
    </row>
    <row r="6">
      <c r="A6" s="3" t="inlineStr">
        <is>
          <t>Contribution Margin</t>
        </is>
      </c>
      <c r="B6" s="3" t="inlineStr">
        <is>
          <t>Estimated Contribution ÷ Net Sales</t>
        </is>
      </c>
      <c r="C6" s="3" t="inlineStr">
        <is>
          <t>Share of net sales remaining after included costs.</t>
        </is>
      </c>
    </row>
    <row r="7">
      <c r="A7" s="3" t="inlineStr">
        <is>
          <t>Monthly Growth</t>
        </is>
      </c>
      <c r="B7" s="3" t="inlineStr">
        <is>
          <t>(Current month sales − previous month sales) ÷ previous month sales</t>
        </is>
      </c>
      <c r="C7" s="3" t="inlineStr">
        <is>
          <t>Measures month-on-month change; interpret seasonality carefully.</t>
        </is>
      </c>
    </row>
    <row r="8">
      <c r="A8" s="3" t="inlineStr">
        <is>
          <t>Cleaning decision</t>
        </is>
      </c>
      <c r="B8" s="3" t="inlineStr">
        <is>
          <t>Exact duplicate Order IDs removed from Clean Data.</t>
        </is>
      </c>
      <c r="C8" s="3" t="inlineStr">
        <is>
          <t>Assumes Order ID uniquely identifies a line; real projects must confirm grain and ID design.</t>
        </is>
      </c>
    </row>
    <row r="9">
      <c r="A9" s="3" t="inlineStr">
        <is>
          <t>Missing region</t>
        </is>
      </c>
      <c r="B9" s="3" t="inlineStr">
        <is>
          <t>Missing region values labeled 'Unknown'.</t>
        </is>
      </c>
      <c r="C9" s="3" t="inlineStr">
        <is>
          <t>Avoids silently guessing missing values; investigate source records if real data.</t>
        </is>
      </c>
    </row>
    <row r="10">
      <c r="A10" s="3" t="inlineStr">
        <is>
          <t>Invalid quantity</t>
        </is>
      </c>
      <c r="B10" s="3" t="inlineStr">
        <is>
          <t>Quantity &lt;= 0 flagged for review; not automatically corrected.</t>
        </is>
      </c>
      <c r="C10" s="3" t="inlineStr">
        <is>
          <t>Exclude or correct only after verifying the source. Current summaries retain it and therefore require analyst review.</t>
        </is>
      </c>
    </row>
    <row r="11">
      <c r="A11" s="3" t="inlineStr">
        <is>
          <t>High discount</t>
        </is>
      </c>
      <c r="B11" s="3" t="inlineStr">
        <is>
          <t>Discount &gt; 30% flagged for review.</t>
        </is>
      </c>
      <c r="C11" s="3" t="inlineStr">
        <is>
          <t>A flag indicates a potential anomaly, not proof of an error.</t>
        </is>
      </c>
    </row>
    <row r="12">
      <c r="A12" s="3" t="inlineStr">
        <is>
          <t>Limitations</t>
        </is>
      </c>
      <c r="B12" s="3" t="inlineStr">
        <is>
          <t>Synthetic data; no overheads, returns, marketing, taxes, payment fees, inventory holding costs or customer acquisition costs.</t>
        </is>
      </c>
      <c r="C12" s="3" t="inlineStr">
        <is>
          <t>Do not generalize findings to a real company; validate all recommendations with actual data.</t>
        </is>
      </c>
    </row>
    <row r="13">
      <c r="A13" s="3" t="inlineStr">
        <is>
          <t>Responsible interpretation</t>
        </is>
      </c>
      <c r="B13" s="3" t="inlineStr">
        <is>
          <t>Association is not causation.</t>
        </is>
      </c>
      <c r="C13" s="3" t="inlineStr">
        <is>
          <t>A relationship between discount and margin alone does not prove discounts caused a margin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2026-10-23T01:58:29Z</dcterms:created>
  <dcterms:modified xmlns:dcterms="http://purl.org/dc/terms/" xmlns:xsi="http://www.w3.org/2001/XMLSchema-instance" xsi:type="dcterms:W3CDTF">2026-10-23T01:58:31Z</dcterms:modified>
</cp:coreProperties>
</file>